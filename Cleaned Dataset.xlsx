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277b19c27e297a/Attachments/Desktop/"/>
    </mc:Choice>
  </mc:AlternateContent>
  <xr:revisionPtr revIDLastSave="5" documentId="13_ncr:1_{182087DE-A2B8-4A6F-8EFE-1276259E6C39}" xr6:coauthVersionLast="47" xr6:coauthVersionMax="47" xr10:uidLastSave="{5BDF8D52-91A3-4196-AB2D-C089B7793A3E}"/>
  <bookViews>
    <workbookView xWindow="-110" yWindow="-110" windowWidth="19420" windowHeight="11020" xr2:uid="{00000000-000D-0000-FFFF-FFFF00000000}"/>
  </bookViews>
  <sheets>
    <sheet name="Retail Sales" sheetId="2" r:id="rId1"/>
  </sheets>
  <externalReferences>
    <externalReference r:id="rId2"/>
  </externalReferences>
  <definedNames>
    <definedName name="_xlnm._FilterDatabase" localSheetId="0" hidden="1">'Retail Sales'!$A$1:$W$600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03" i="2" l="1"/>
  <c r="W191" i="2"/>
  <c r="W288" i="2"/>
  <c r="W44" i="2"/>
  <c r="W560" i="2"/>
  <c r="W199" i="2"/>
  <c r="W415" i="2"/>
  <c r="W72" i="2"/>
  <c r="W17" i="2"/>
  <c r="W56" i="2"/>
  <c r="W231" i="2"/>
  <c r="W312" i="2"/>
  <c r="W496" i="2"/>
  <c r="W348" i="2"/>
  <c r="W509" i="2"/>
  <c r="W243" i="2"/>
  <c r="W469" i="2"/>
  <c r="W597" i="2"/>
  <c r="W8" i="2"/>
  <c r="W269" i="2"/>
  <c r="W142" i="2"/>
  <c r="W374" i="2"/>
  <c r="W430" i="2"/>
  <c r="W591" i="2"/>
  <c r="W554" i="2"/>
  <c r="W208" i="2"/>
  <c r="W539" i="2"/>
  <c r="W182" i="2"/>
  <c r="W64" i="2"/>
  <c r="W248" i="2"/>
  <c r="W365" i="2"/>
  <c r="W137" i="2"/>
  <c r="W498" i="2"/>
  <c r="W209" i="2"/>
  <c r="W576" i="2"/>
  <c r="W351" i="2"/>
  <c r="W281" i="2"/>
  <c r="W535" i="2"/>
  <c r="W4" i="2"/>
  <c r="W409" i="2"/>
  <c r="W272" i="2"/>
  <c r="W65" i="2"/>
  <c r="W408" i="2"/>
  <c r="W116" i="2"/>
  <c r="W485" i="2"/>
  <c r="W315" i="2"/>
  <c r="W587" i="2"/>
  <c r="W105" i="2"/>
  <c r="W253" i="2"/>
  <c r="W156" i="2"/>
  <c r="W267" i="2"/>
  <c r="W439" i="2"/>
  <c r="W397" i="2"/>
  <c r="W74" i="2"/>
  <c r="W57" i="2"/>
  <c r="W447" i="2"/>
  <c r="W55" i="2"/>
  <c r="W534" i="2"/>
  <c r="W19" i="2"/>
  <c r="W34" i="2"/>
  <c r="W181" i="2"/>
  <c r="W260" i="2"/>
  <c r="W308" i="2"/>
  <c r="W141" i="2"/>
  <c r="W129" i="2"/>
  <c r="W190" i="2"/>
  <c r="W468" i="2"/>
  <c r="W15" i="2"/>
  <c r="W127" i="2"/>
  <c r="W404" i="2"/>
  <c r="W460" i="2"/>
  <c r="W285" i="2"/>
  <c r="W450" i="2"/>
  <c r="W307" i="2"/>
  <c r="W183" i="2"/>
  <c r="W472" i="2"/>
  <c r="W2" i="2"/>
  <c r="W11" i="2"/>
  <c r="W413" i="2"/>
  <c r="W304" i="2"/>
  <c r="W157" i="2"/>
  <c r="W414" i="2"/>
  <c r="W577" i="2"/>
  <c r="W60" i="2"/>
  <c r="W238" i="2"/>
  <c r="W89" i="2"/>
  <c r="W571" i="2"/>
  <c r="W423" i="2"/>
  <c r="W95" i="2"/>
  <c r="W448" i="2"/>
  <c r="W229" i="2"/>
  <c r="W192" i="2"/>
  <c r="W331" i="2"/>
  <c r="W109" i="2"/>
  <c r="W524" i="2"/>
  <c r="W195" i="2"/>
  <c r="W336" i="2"/>
  <c r="W25" i="2"/>
  <c r="W128" i="2"/>
  <c r="W494" i="2"/>
  <c r="W401" i="2"/>
  <c r="W150" i="2"/>
  <c r="W431" i="2"/>
  <c r="W162" i="2"/>
  <c r="W139" i="2"/>
  <c r="W529" i="2"/>
  <c r="W339" i="2"/>
  <c r="W383" i="2"/>
  <c r="W163" i="2"/>
  <c r="W16" i="2"/>
  <c r="W542" i="2"/>
  <c r="W412" i="2"/>
  <c r="W482" i="2"/>
  <c r="W599" i="2"/>
  <c r="W391" i="2"/>
  <c r="W134" i="2"/>
  <c r="W117" i="2"/>
  <c r="W13" i="2"/>
  <c r="W122" i="2"/>
  <c r="W256" i="2"/>
  <c r="W586" i="2"/>
  <c r="W425" i="2"/>
  <c r="W305" i="2"/>
  <c r="W399" i="2"/>
  <c r="W63" i="2"/>
  <c r="W78" i="2"/>
  <c r="W39" i="2"/>
  <c r="W386" i="2"/>
  <c r="W140" i="2"/>
  <c r="W523" i="2"/>
  <c r="W187" i="2"/>
  <c r="W102" i="2"/>
  <c r="W580" i="2"/>
  <c r="W273" i="2"/>
  <c r="W219" i="2"/>
  <c r="W151" i="2"/>
  <c r="W477" i="2"/>
  <c r="W268" i="2"/>
  <c r="W489" i="2"/>
  <c r="W80" i="2"/>
  <c r="W257" i="2"/>
  <c r="W66" i="2"/>
  <c r="W486" i="2"/>
  <c r="W286" i="2"/>
  <c r="W373" i="2"/>
  <c r="W12" i="2"/>
  <c r="W341" i="2"/>
  <c r="W457" i="2"/>
  <c r="W567" i="2"/>
  <c r="W311" i="2"/>
  <c r="W213" i="2"/>
  <c r="W346" i="2"/>
  <c r="W323" i="2"/>
  <c r="W516" i="2"/>
  <c r="W252" i="2"/>
  <c r="W132" i="2"/>
  <c r="W173" i="2"/>
  <c r="W382" i="2"/>
  <c r="W88" i="2"/>
  <c r="W536" i="2"/>
  <c r="W503" i="2"/>
  <c r="W538" i="2"/>
  <c r="W152" i="2"/>
  <c r="W463" i="2"/>
  <c r="W480" i="2"/>
  <c r="W456" i="2"/>
  <c r="W75" i="2"/>
  <c r="W97" i="2"/>
  <c r="W206" i="2"/>
  <c r="W537" i="2"/>
  <c r="W221" i="2"/>
  <c r="W136" i="2"/>
  <c r="W106" i="2"/>
  <c r="W568" i="2"/>
  <c r="W214" i="2"/>
  <c r="W488" i="2"/>
  <c r="W81" i="2"/>
  <c r="W41" i="2"/>
  <c r="W543" i="2"/>
  <c r="W276" i="2"/>
  <c r="W570" i="2"/>
  <c r="W215" i="2"/>
  <c r="W451" i="2"/>
  <c r="W547" i="2"/>
  <c r="W250" i="2"/>
  <c r="W290" i="2"/>
  <c r="W502" i="2"/>
  <c r="W225" i="2"/>
  <c r="W364" i="2"/>
  <c r="W550" i="2"/>
  <c r="W478" i="2"/>
  <c r="W42" i="2"/>
  <c r="W530" i="2"/>
  <c r="W169" i="2"/>
  <c r="W379" i="2"/>
  <c r="W411" i="2"/>
  <c r="W476" i="2"/>
  <c r="W103" i="2"/>
  <c r="W421" i="2"/>
  <c r="W45" i="2"/>
  <c r="W420" i="2"/>
  <c r="W79" i="2"/>
  <c r="W261" i="2"/>
  <c r="W569" i="2"/>
  <c r="W407" i="2"/>
  <c r="W61" i="2"/>
  <c r="W532" i="2"/>
  <c r="W458" i="2"/>
  <c r="W113" i="2"/>
  <c r="W10" i="2"/>
  <c r="W202" i="2"/>
  <c r="W510" i="2"/>
  <c r="W327" i="2"/>
  <c r="W91" i="2"/>
  <c r="W50" i="2"/>
  <c r="W396" i="2"/>
  <c r="W185" i="2"/>
  <c r="W490" i="2"/>
  <c r="W507" i="2"/>
  <c r="W461" i="2"/>
  <c r="W29" i="2"/>
  <c r="W387" i="2"/>
  <c r="W177" i="2"/>
  <c r="W473" i="2"/>
  <c r="W470" i="2"/>
  <c r="W71" i="2"/>
  <c r="W320" i="2"/>
  <c r="W277" i="2"/>
  <c r="W333" i="2"/>
  <c r="W426" i="2"/>
  <c r="W519" i="2"/>
  <c r="W31" i="2"/>
  <c r="W579" i="2"/>
  <c r="W356" i="2"/>
  <c r="W378" i="2"/>
  <c r="W218" i="2"/>
  <c r="W381" i="2"/>
  <c r="W130" i="2"/>
  <c r="W230" i="2"/>
  <c r="W114" i="2"/>
  <c r="W242" i="2"/>
  <c r="W37" i="2"/>
  <c r="W582" i="2"/>
  <c r="W495" i="2"/>
  <c r="W228" i="2"/>
  <c r="W340" i="2"/>
  <c r="W342" i="2"/>
  <c r="W375" i="2"/>
  <c r="W254" i="2"/>
  <c r="W178" i="2"/>
  <c r="W115" i="2"/>
  <c r="W7" i="2"/>
  <c r="W147" i="2"/>
  <c r="W68" i="2"/>
  <c r="W135" i="2"/>
  <c r="W545" i="2"/>
  <c r="W574" i="2"/>
  <c r="W583" i="2"/>
  <c r="W302" i="2"/>
  <c r="W471" i="2"/>
  <c r="W179" i="2"/>
  <c r="W492" i="2"/>
  <c r="W592" i="2"/>
  <c r="W170" i="2"/>
  <c r="W171" i="2"/>
  <c r="W174" i="2"/>
  <c r="W27" i="2"/>
  <c r="W175" i="2"/>
  <c r="W588" i="2"/>
  <c r="W462" i="2"/>
  <c r="W107" i="2"/>
  <c r="W144" i="2"/>
  <c r="W196" i="2"/>
  <c r="W338" i="2"/>
  <c r="W330" i="2"/>
  <c r="W164" i="2"/>
  <c r="W294" i="2"/>
  <c r="W245" i="2"/>
  <c r="W398" i="2"/>
  <c r="W549" i="2"/>
  <c r="W350" i="2"/>
  <c r="W301" i="2"/>
  <c r="W275" i="2"/>
  <c r="W442" i="2"/>
  <c r="W491" i="2"/>
  <c r="W270" i="2"/>
  <c r="W48" i="2"/>
  <c r="W578" i="2"/>
  <c r="W299" i="2"/>
  <c r="W525" i="2"/>
  <c r="W188" i="2"/>
  <c r="W123" i="2"/>
  <c r="W6" i="2"/>
  <c r="W362" i="2"/>
  <c r="W258" i="2"/>
  <c r="W118" i="2"/>
  <c r="W544" i="2"/>
  <c r="W438" i="2"/>
  <c r="W389" i="2"/>
  <c r="W434" i="2"/>
  <c r="W189" i="2"/>
  <c r="W514" i="2"/>
  <c r="W176" i="2"/>
  <c r="W422" i="2"/>
  <c r="W358" i="2"/>
  <c r="W280" i="2"/>
  <c r="W291" i="2"/>
  <c r="W246" i="2"/>
  <c r="W521" i="2"/>
  <c r="W565" i="2"/>
  <c r="W322" i="2"/>
  <c r="W384" i="2"/>
  <c r="W435" i="2"/>
  <c r="W235" i="2"/>
  <c r="W49" i="2"/>
  <c r="W464" i="2"/>
  <c r="W54" i="2"/>
  <c r="W126" i="2"/>
  <c r="W353" i="2"/>
  <c r="W108" i="2"/>
  <c r="W347" i="2"/>
  <c r="W436" i="2"/>
  <c r="W247" i="2"/>
  <c r="W406" i="2"/>
  <c r="W598" i="2"/>
  <c r="W517" i="2"/>
  <c r="W82" i="2"/>
  <c r="W240" i="2"/>
  <c r="W410" i="2"/>
  <c r="W21" i="2"/>
  <c r="W300" i="2"/>
  <c r="W392" i="2"/>
  <c r="W172" i="2"/>
  <c r="W564" i="2"/>
  <c r="W522" i="2"/>
  <c r="W145" i="2"/>
  <c r="W73" i="2"/>
  <c r="W475" i="2"/>
  <c r="W590" i="2"/>
  <c r="W293" i="2"/>
  <c r="W337" i="2"/>
  <c r="W119" i="2"/>
  <c r="W94" i="2"/>
  <c r="W104" i="2"/>
  <c r="W69" i="2"/>
  <c r="W22" i="2"/>
  <c r="W51" i="2"/>
  <c r="W324" i="2"/>
  <c r="W165" i="2"/>
  <c r="W506" i="2"/>
  <c r="W278" i="2"/>
  <c r="W466" i="2"/>
  <c r="W417" i="2"/>
  <c r="W186" i="2"/>
  <c r="W207" i="2"/>
  <c r="W335" i="2"/>
  <c r="W283" i="2"/>
  <c r="W282" i="2"/>
  <c r="W30" i="2"/>
  <c r="W220" i="2"/>
  <c r="W124" i="2"/>
  <c r="W555" i="2"/>
  <c r="W149" i="2"/>
  <c r="W318" i="2"/>
  <c r="W38" i="2"/>
  <c r="W233" i="2"/>
  <c r="W262" i="2"/>
  <c r="W380" i="2"/>
  <c r="W86" i="2"/>
  <c r="W548" i="2"/>
  <c r="W334" i="2"/>
  <c r="W354" i="2"/>
  <c r="W133" i="2"/>
  <c r="W369" i="2"/>
  <c r="W211" i="2"/>
  <c r="W90" i="2"/>
  <c r="W589" i="2"/>
  <c r="W184" i="2"/>
  <c r="W271" i="2"/>
  <c r="W367" i="2"/>
  <c r="W298" i="2"/>
  <c r="W546" i="2"/>
  <c r="W96" i="2"/>
  <c r="W418" i="2"/>
  <c r="W200" i="2"/>
  <c r="W454" i="2"/>
  <c r="W36" i="2"/>
  <c r="W432" i="2"/>
  <c r="W198" i="2"/>
  <c r="W319" i="2"/>
  <c r="W223" i="2"/>
  <c r="W83" i="2"/>
  <c r="W264" i="2"/>
  <c r="W24" i="2"/>
  <c r="W441" i="2"/>
  <c r="W584" i="2"/>
  <c r="W449" i="2"/>
  <c r="W43" i="2"/>
  <c r="W244" i="2"/>
  <c r="W224" i="2"/>
  <c r="W313" i="2"/>
  <c r="W465" i="2"/>
  <c r="W427" i="2"/>
  <c r="W455" i="2"/>
  <c r="W167" i="2"/>
  <c r="W292" i="2"/>
  <c r="W310" i="2"/>
  <c r="W193" i="2"/>
  <c r="W241" i="2"/>
  <c r="W393" i="2"/>
  <c r="W595" i="2"/>
  <c r="W59" i="2"/>
  <c r="W558" i="2"/>
  <c r="W158" i="2"/>
  <c r="W566" i="2"/>
  <c r="W528" i="2"/>
  <c r="W453" i="2"/>
  <c r="W297" i="2"/>
  <c r="W161" i="2"/>
  <c r="W561" i="2"/>
  <c r="W368" i="2"/>
  <c r="W40" i="2"/>
  <c r="W345" i="2"/>
  <c r="W376" i="2"/>
  <c r="W239" i="2"/>
  <c r="W370" i="2"/>
  <c r="W101" i="2"/>
  <c r="W557" i="2"/>
  <c r="W572" i="2"/>
  <c r="W236" i="2"/>
  <c r="W444" i="2"/>
  <c r="W511" i="2"/>
  <c r="W390" i="2"/>
  <c r="W467" i="2"/>
  <c r="W363" i="2"/>
  <c r="W35" i="2"/>
  <c r="W84" i="2"/>
  <c r="W168" i="2"/>
  <c r="W77" i="2"/>
  <c r="W540" i="2"/>
  <c r="W596" i="2"/>
  <c r="W479" i="2"/>
  <c r="W552" i="2"/>
  <c r="W355" i="2"/>
  <c r="W594" i="2"/>
  <c r="W159" i="2"/>
  <c r="W98" i="2"/>
  <c r="W352" i="2"/>
  <c r="W28" i="2"/>
  <c r="W505" i="2"/>
  <c r="W433" i="2"/>
  <c r="W508" i="2"/>
  <c r="W234" i="2"/>
  <c r="W237" i="2"/>
  <c r="W321" i="2"/>
  <c r="W226" i="2"/>
  <c r="W325" i="2"/>
  <c r="W18" i="2"/>
  <c r="W217" i="2"/>
  <c r="W125" i="2"/>
  <c r="W3" i="2"/>
  <c r="W553" i="2"/>
  <c r="W575" i="2"/>
  <c r="W326" i="2"/>
  <c r="W251" i="2"/>
  <c r="W573" i="2"/>
  <c r="W581" i="2"/>
  <c r="W361" i="2"/>
  <c r="W203" i="2"/>
  <c r="W487" i="2"/>
  <c r="W366" i="2"/>
  <c r="W357" i="2"/>
  <c r="W255" i="2"/>
  <c r="W232" i="2"/>
  <c r="W121" i="2"/>
  <c r="W400" i="2"/>
  <c r="W146" i="2"/>
  <c r="W197" i="2"/>
  <c r="W440" i="2"/>
  <c r="W497" i="2"/>
  <c r="W329" i="2"/>
  <c r="W58" i="2"/>
  <c r="W110" i="2"/>
  <c r="W259" i="2"/>
  <c r="W360" i="2"/>
  <c r="W99" i="2"/>
  <c r="W52" i="2"/>
  <c r="W499" i="2"/>
  <c r="W287" i="2"/>
  <c r="W76" i="2"/>
  <c r="W148" i="2"/>
  <c r="W205" i="2"/>
  <c r="W526" i="2"/>
  <c r="W279" i="2"/>
  <c r="W33" i="2"/>
  <c r="W23" i="2"/>
  <c r="W394" i="2"/>
  <c r="W332" i="2"/>
  <c r="W92" i="2"/>
  <c r="W143" i="2"/>
  <c r="W562" i="2"/>
  <c r="W600" i="2"/>
  <c r="W515" i="2"/>
  <c r="W194" i="2"/>
  <c r="W372" i="2"/>
  <c r="W120" i="2"/>
  <c r="W419" i="2"/>
  <c r="W585" i="2"/>
  <c r="W533" i="2"/>
  <c r="W216" i="2"/>
  <c r="W154" i="2"/>
  <c r="W212" i="2"/>
  <c r="W26" i="2"/>
  <c r="W316" i="2"/>
  <c r="W474" i="2"/>
  <c r="W349" i="2"/>
  <c r="W153" i="2"/>
  <c r="W131" i="2"/>
  <c r="W343" i="2"/>
  <c r="W484" i="2"/>
  <c r="W527" i="2"/>
  <c r="W138" i="2"/>
  <c r="W100" i="2"/>
  <c r="W295" i="2"/>
  <c r="W111" i="2"/>
  <c r="W371" i="2"/>
  <c r="W446" i="2"/>
  <c r="W14" i="2"/>
  <c r="W403" i="2"/>
  <c r="W344" i="2"/>
  <c r="W160" i="2"/>
  <c r="W531" i="2"/>
  <c r="W443" i="2"/>
  <c r="W459" i="2"/>
  <c r="W559" i="2"/>
  <c r="W32" i="2"/>
  <c r="W87" i="2"/>
  <c r="W85" i="2"/>
  <c r="W314" i="2"/>
  <c r="W385" i="2"/>
  <c r="W265" i="2"/>
  <c r="W210" i="2"/>
  <c r="W204" i="2"/>
  <c r="W402" i="2"/>
  <c r="W93" i="2"/>
  <c r="W309" i="2"/>
  <c r="W501" i="2"/>
  <c r="W227" i="2"/>
  <c r="W166" i="2"/>
  <c r="W306" i="2"/>
  <c r="W155" i="2"/>
  <c r="W70" i="2"/>
  <c r="W5" i="2"/>
  <c r="W504" i="2"/>
  <c r="W53" i="2"/>
  <c r="W328" i="2"/>
  <c r="W284" i="2"/>
  <c r="W266" i="2"/>
  <c r="W62" i="2"/>
  <c r="W112" i="2"/>
  <c r="W46" i="2"/>
  <c r="W429" i="2"/>
  <c r="W500" i="2"/>
  <c r="W47" i="2"/>
  <c r="W317" i="2"/>
  <c r="W593" i="2"/>
  <c r="W289" i="2"/>
  <c r="W20" i="2"/>
  <c r="W481" i="2"/>
  <c r="W388" i="2"/>
  <c r="W222" i="2"/>
  <c r="W359" i="2"/>
  <c r="W520" i="2"/>
  <c r="W512" i="2"/>
  <c r="W428" i="2"/>
  <c r="W541" i="2"/>
  <c r="W180" i="2"/>
  <c r="W67" i="2"/>
  <c r="W493" i="2"/>
  <c r="W518" i="2"/>
  <c r="W377" i="2"/>
  <c r="W405" i="2"/>
  <c r="W274" i="2"/>
  <c r="W395" i="2"/>
  <c r="W9" i="2"/>
  <c r="W263" i="2"/>
  <c r="W249" i="2"/>
  <c r="W563" i="2"/>
  <c r="W416" i="2"/>
  <c r="W452" i="2"/>
  <c r="W296" i="2"/>
  <c r="W437" i="2"/>
  <c r="W513" i="2"/>
  <c r="W424" i="2"/>
  <c r="W483" i="2"/>
  <c r="W556" i="2"/>
  <c r="W201" i="2"/>
  <c r="W445" i="2"/>
  <c r="V303" i="2"/>
  <c r="V191" i="2"/>
  <c r="V288" i="2"/>
  <c r="V44" i="2"/>
  <c r="V560" i="2"/>
  <c r="V199" i="2"/>
  <c r="V415" i="2"/>
  <c r="V72" i="2"/>
  <c r="V17" i="2"/>
  <c r="V56" i="2"/>
  <c r="V231" i="2"/>
  <c r="V312" i="2"/>
  <c r="V496" i="2"/>
  <c r="V348" i="2"/>
  <c r="V509" i="2"/>
  <c r="V243" i="2"/>
  <c r="V469" i="2"/>
  <c r="V597" i="2"/>
  <c r="V8" i="2"/>
  <c r="V269" i="2"/>
  <c r="V142" i="2"/>
  <c r="V374" i="2"/>
  <c r="V430" i="2"/>
  <c r="V591" i="2"/>
  <c r="V554" i="2"/>
  <c r="V208" i="2"/>
  <c r="V539" i="2"/>
  <c r="V182" i="2"/>
  <c r="V64" i="2"/>
  <c r="V248" i="2"/>
  <c r="V365" i="2"/>
  <c r="V137" i="2"/>
  <c r="V498" i="2"/>
  <c r="V209" i="2"/>
  <c r="V576" i="2"/>
  <c r="V351" i="2"/>
  <c r="V281" i="2"/>
  <c r="V535" i="2"/>
  <c r="V4" i="2"/>
  <c r="V409" i="2"/>
  <c r="V272" i="2"/>
  <c r="V65" i="2"/>
  <c r="V408" i="2"/>
  <c r="V116" i="2"/>
  <c r="V485" i="2"/>
  <c r="V315" i="2"/>
  <c r="V587" i="2"/>
  <c r="V105" i="2"/>
  <c r="V253" i="2"/>
  <c r="V156" i="2"/>
  <c r="V267" i="2"/>
  <c r="V439" i="2"/>
  <c r="V397" i="2"/>
  <c r="V74" i="2"/>
  <c r="V57" i="2"/>
  <c r="V447" i="2"/>
  <c r="V55" i="2"/>
  <c r="V534" i="2"/>
  <c r="V19" i="2"/>
  <c r="V34" i="2"/>
  <c r="V181" i="2"/>
  <c r="V260" i="2"/>
  <c r="V308" i="2"/>
  <c r="V141" i="2"/>
  <c r="V129" i="2"/>
  <c r="V190" i="2"/>
  <c r="V468" i="2"/>
  <c r="V15" i="2"/>
  <c r="V127" i="2"/>
  <c r="V404" i="2"/>
  <c r="V460" i="2"/>
  <c r="V285" i="2"/>
  <c r="V450" i="2"/>
  <c r="V307" i="2"/>
  <c r="V183" i="2"/>
  <c r="V472" i="2"/>
  <c r="V2" i="2"/>
  <c r="V11" i="2"/>
  <c r="V413" i="2"/>
  <c r="V304" i="2"/>
  <c r="V157" i="2"/>
  <c r="V414" i="2"/>
  <c r="V577" i="2"/>
  <c r="V60" i="2"/>
  <c r="V238" i="2"/>
  <c r="V89" i="2"/>
  <c r="V571" i="2"/>
  <c r="V423" i="2"/>
  <c r="V95" i="2"/>
  <c r="V448" i="2"/>
  <c r="V229" i="2"/>
  <c r="V192" i="2"/>
  <c r="V331" i="2"/>
  <c r="V109" i="2"/>
  <c r="V524" i="2"/>
  <c r="V195" i="2"/>
  <c r="V336" i="2"/>
  <c r="V25" i="2"/>
  <c r="V128" i="2"/>
  <c r="V494" i="2"/>
  <c r="V401" i="2"/>
  <c r="V150" i="2"/>
  <c r="V431" i="2"/>
  <c r="V162" i="2"/>
  <c r="V139" i="2"/>
  <c r="V529" i="2"/>
  <c r="V339" i="2"/>
  <c r="V383" i="2"/>
  <c r="V163" i="2"/>
  <c r="V16" i="2"/>
  <c r="V542" i="2"/>
  <c r="V412" i="2"/>
  <c r="V482" i="2"/>
  <c r="V599" i="2"/>
  <c r="V391" i="2"/>
  <c r="V134" i="2"/>
  <c r="V117" i="2"/>
  <c r="V13" i="2"/>
  <c r="V122" i="2"/>
  <c r="V256" i="2"/>
  <c r="V586" i="2"/>
  <c r="V425" i="2"/>
  <c r="V305" i="2"/>
  <c r="V399" i="2"/>
  <c r="V63" i="2"/>
  <c r="V78" i="2"/>
  <c r="V39" i="2"/>
  <c r="V386" i="2"/>
  <c r="V140" i="2"/>
  <c r="V523" i="2"/>
  <c r="V187" i="2"/>
  <c r="V102" i="2"/>
  <c r="V580" i="2"/>
  <c r="V273" i="2"/>
  <c r="V219" i="2"/>
  <c r="V151" i="2"/>
  <c r="V477" i="2"/>
  <c r="V268" i="2"/>
  <c r="V489" i="2"/>
  <c r="V80" i="2"/>
  <c r="V257" i="2"/>
  <c r="V66" i="2"/>
  <c r="V486" i="2"/>
  <c r="V286" i="2"/>
  <c r="V373" i="2"/>
  <c r="V12" i="2"/>
  <c r="V341" i="2"/>
  <c r="V457" i="2"/>
  <c r="V567" i="2"/>
  <c r="V311" i="2"/>
  <c r="V213" i="2"/>
  <c r="V346" i="2"/>
  <c r="V323" i="2"/>
  <c r="V516" i="2"/>
  <c r="V252" i="2"/>
  <c r="V132" i="2"/>
  <c r="V173" i="2"/>
  <c r="V382" i="2"/>
  <c r="V88" i="2"/>
  <c r="V536" i="2"/>
  <c r="V503" i="2"/>
  <c r="V538" i="2"/>
  <c r="V152" i="2"/>
  <c r="V463" i="2"/>
  <c r="V480" i="2"/>
  <c r="V456" i="2"/>
  <c r="V75" i="2"/>
  <c r="V97" i="2"/>
  <c r="V206" i="2"/>
  <c r="V537" i="2"/>
  <c r="V221" i="2"/>
  <c r="V136" i="2"/>
  <c r="V106" i="2"/>
  <c r="V568" i="2"/>
  <c r="V214" i="2"/>
  <c r="V488" i="2"/>
  <c r="V81" i="2"/>
  <c r="V41" i="2"/>
  <c r="V543" i="2"/>
  <c r="V276" i="2"/>
  <c r="V570" i="2"/>
  <c r="V215" i="2"/>
  <c r="V451" i="2"/>
  <c r="V547" i="2"/>
  <c r="V250" i="2"/>
  <c r="V290" i="2"/>
  <c r="V502" i="2"/>
  <c r="V225" i="2"/>
  <c r="V364" i="2"/>
  <c r="V550" i="2"/>
  <c r="V478" i="2"/>
  <c r="V42" i="2"/>
  <c r="V530" i="2"/>
  <c r="V169" i="2"/>
  <c r="V379" i="2"/>
  <c r="V411" i="2"/>
  <c r="V476" i="2"/>
  <c r="V103" i="2"/>
  <c r="V421" i="2"/>
  <c r="V45" i="2"/>
  <c r="V420" i="2"/>
  <c r="V79" i="2"/>
  <c r="V261" i="2"/>
  <c r="V569" i="2"/>
  <c r="V407" i="2"/>
  <c r="V61" i="2"/>
  <c r="V532" i="2"/>
  <c r="V458" i="2"/>
  <c r="V113" i="2"/>
  <c r="V10" i="2"/>
  <c r="V202" i="2"/>
  <c r="V510" i="2"/>
  <c r="V327" i="2"/>
  <c r="V91" i="2"/>
  <c r="V50" i="2"/>
  <c r="V396" i="2"/>
  <c r="V185" i="2"/>
  <c r="V490" i="2"/>
  <c r="V507" i="2"/>
  <c r="V461" i="2"/>
  <c r="V29" i="2"/>
  <c r="V387" i="2"/>
  <c r="V177" i="2"/>
  <c r="V473" i="2"/>
  <c r="V470" i="2"/>
  <c r="V71" i="2"/>
  <c r="V320" i="2"/>
  <c r="V277" i="2"/>
  <c r="V333" i="2"/>
  <c r="V426" i="2"/>
  <c r="V519" i="2"/>
  <c r="V31" i="2"/>
  <c r="V579" i="2"/>
  <c r="V356" i="2"/>
  <c r="V378" i="2"/>
  <c r="V218" i="2"/>
  <c r="V381" i="2"/>
  <c r="V130" i="2"/>
  <c r="V230" i="2"/>
  <c r="V114" i="2"/>
  <c r="V242" i="2"/>
  <c r="V37" i="2"/>
  <c r="V582" i="2"/>
  <c r="V495" i="2"/>
  <c r="V228" i="2"/>
  <c r="V340" i="2"/>
  <c r="V342" i="2"/>
  <c r="V375" i="2"/>
  <c r="V254" i="2"/>
  <c r="V178" i="2"/>
  <c r="V115" i="2"/>
  <c r="V7" i="2"/>
  <c r="V147" i="2"/>
  <c r="V68" i="2"/>
  <c r="V135" i="2"/>
  <c r="V545" i="2"/>
  <c r="V574" i="2"/>
  <c r="V583" i="2"/>
  <c r="V302" i="2"/>
  <c r="V471" i="2"/>
  <c r="V179" i="2"/>
  <c r="V492" i="2"/>
  <c r="V592" i="2"/>
  <c r="V170" i="2"/>
  <c r="V171" i="2"/>
  <c r="V174" i="2"/>
  <c r="V27" i="2"/>
  <c r="V175" i="2"/>
  <c r="V588" i="2"/>
  <c r="V462" i="2"/>
  <c r="V107" i="2"/>
  <c r="V144" i="2"/>
  <c r="V196" i="2"/>
  <c r="V338" i="2"/>
  <c r="V330" i="2"/>
  <c r="V164" i="2"/>
  <c r="V294" i="2"/>
  <c r="V245" i="2"/>
  <c r="V398" i="2"/>
  <c r="V549" i="2"/>
  <c r="V350" i="2"/>
  <c r="V301" i="2"/>
  <c r="V275" i="2"/>
  <c r="V442" i="2"/>
  <c r="V491" i="2"/>
  <c r="V270" i="2"/>
  <c r="V48" i="2"/>
  <c r="V578" i="2"/>
  <c r="V299" i="2"/>
  <c r="V525" i="2"/>
  <c r="V188" i="2"/>
  <c r="V123" i="2"/>
  <c r="V6" i="2"/>
  <c r="V362" i="2"/>
  <c r="V258" i="2"/>
  <c r="V118" i="2"/>
  <c r="V544" i="2"/>
  <c r="V438" i="2"/>
  <c r="V389" i="2"/>
  <c r="V434" i="2"/>
  <c r="V189" i="2"/>
  <c r="V514" i="2"/>
  <c r="V176" i="2"/>
  <c r="V422" i="2"/>
  <c r="V358" i="2"/>
  <c r="V280" i="2"/>
  <c r="V291" i="2"/>
  <c r="V246" i="2"/>
  <c r="V521" i="2"/>
  <c r="V565" i="2"/>
  <c r="V322" i="2"/>
  <c r="V384" i="2"/>
  <c r="V435" i="2"/>
  <c r="V235" i="2"/>
  <c r="V49" i="2"/>
  <c r="V464" i="2"/>
  <c r="V54" i="2"/>
  <c r="V126" i="2"/>
  <c r="V353" i="2"/>
  <c r="V108" i="2"/>
  <c r="V347" i="2"/>
  <c r="V436" i="2"/>
  <c r="V247" i="2"/>
  <c r="V406" i="2"/>
  <c r="V598" i="2"/>
  <c r="V517" i="2"/>
  <c r="V82" i="2"/>
  <c r="V240" i="2"/>
  <c r="V410" i="2"/>
  <c r="V21" i="2"/>
  <c r="V300" i="2"/>
  <c r="V392" i="2"/>
  <c r="V172" i="2"/>
  <c r="V564" i="2"/>
  <c r="V522" i="2"/>
  <c r="V145" i="2"/>
  <c r="V73" i="2"/>
  <c r="V475" i="2"/>
  <c r="V590" i="2"/>
  <c r="V293" i="2"/>
  <c r="V337" i="2"/>
  <c r="V119" i="2"/>
  <c r="V94" i="2"/>
  <c r="V104" i="2"/>
  <c r="V69" i="2"/>
  <c r="V22" i="2"/>
  <c r="V51" i="2"/>
  <c r="V324" i="2"/>
  <c r="V165" i="2"/>
  <c r="V506" i="2"/>
  <c r="V278" i="2"/>
  <c r="V466" i="2"/>
  <c r="V417" i="2"/>
  <c r="V186" i="2"/>
  <c r="V207" i="2"/>
  <c r="V335" i="2"/>
  <c r="V283" i="2"/>
  <c r="V282" i="2"/>
  <c r="V30" i="2"/>
  <c r="V220" i="2"/>
  <c r="V124" i="2"/>
  <c r="V555" i="2"/>
  <c r="V149" i="2"/>
  <c r="V318" i="2"/>
  <c r="V38" i="2"/>
  <c r="V233" i="2"/>
  <c r="V262" i="2"/>
  <c r="V380" i="2"/>
  <c r="V86" i="2"/>
  <c r="V548" i="2"/>
  <c r="V334" i="2"/>
  <c r="V354" i="2"/>
  <c r="V133" i="2"/>
  <c r="V369" i="2"/>
  <c r="V211" i="2"/>
  <c r="V90" i="2"/>
  <c r="V589" i="2"/>
  <c r="V184" i="2"/>
  <c r="V271" i="2"/>
  <c r="V367" i="2"/>
  <c r="V298" i="2"/>
  <c r="V546" i="2"/>
  <c r="V96" i="2"/>
  <c r="V418" i="2"/>
  <c r="V200" i="2"/>
  <c r="V454" i="2"/>
  <c r="V36" i="2"/>
  <c r="V432" i="2"/>
  <c r="V198" i="2"/>
  <c r="V319" i="2"/>
  <c r="V223" i="2"/>
  <c r="V83" i="2"/>
  <c r="V264" i="2"/>
  <c r="V24" i="2"/>
  <c r="V441" i="2"/>
  <c r="V584" i="2"/>
  <c r="V449" i="2"/>
  <c r="V43" i="2"/>
  <c r="V244" i="2"/>
  <c r="V224" i="2"/>
  <c r="V313" i="2"/>
  <c r="V465" i="2"/>
  <c r="V427" i="2"/>
  <c r="V455" i="2"/>
  <c r="V167" i="2"/>
  <c r="V292" i="2"/>
  <c r="V310" i="2"/>
  <c r="V193" i="2"/>
  <c r="V241" i="2"/>
  <c r="V393" i="2"/>
  <c r="V595" i="2"/>
  <c r="V59" i="2"/>
  <c r="V558" i="2"/>
  <c r="V158" i="2"/>
  <c r="V566" i="2"/>
  <c r="V528" i="2"/>
  <c r="V453" i="2"/>
  <c r="V297" i="2"/>
  <c r="V161" i="2"/>
  <c r="V561" i="2"/>
  <c r="V368" i="2"/>
  <c r="V40" i="2"/>
  <c r="V345" i="2"/>
  <c r="V376" i="2"/>
  <c r="V239" i="2"/>
  <c r="V370" i="2"/>
  <c r="V101" i="2"/>
  <c r="V557" i="2"/>
  <c r="V572" i="2"/>
  <c r="V236" i="2"/>
  <c r="V444" i="2"/>
  <c r="V511" i="2"/>
  <c r="V390" i="2"/>
  <c r="V467" i="2"/>
  <c r="V363" i="2"/>
  <c r="V35" i="2"/>
  <c r="V84" i="2"/>
  <c r="V168" i="2"/>
  <c r="V77" i="2"/>
  <c r="V540" i="2"/>
  <c r="V596" i="2"/>
  <c r="V479" i="2"/>
  <c r="V552" i="2"/>
  <c r="V355" i="2"/>
  <c r="V594" i="2"/>
  <c r="V159" i="2"/>
  <c r="V98" i="2"/>
  <c r="V352" i="2"/>
  <c r="V28" i="2"/>
  <c r="V505" i="2"/>
  <c r="V433" i="2"/>
  <c r="V508" i="2"/>
  <c r="V234" i="2"/>
  <c r="V237" i="2"/>
  <c r="V321" i="2"/>
  <c r="V226" i="2"/>
  <c r="V325" i="2"/>
  <c r="V18" i="2"/>
  <c r="V217" i="2"/>
  <c r="V125" i="2"/>
  <c r="V3" i="2"/>
  <c r="V553" i="2"/>
  <c r="V575" i="2"/>
  <c r="V326" i="2"/>
  <c r="V251" i="2"/>
  <c r="V573" i="2"/>
  <c r="V581" i="2"/>
  <c r="V361" i="2"/>
  <c r="V203" i="2"/>
  <c r="V487" i="2"/>
  <c r="V366" i="2"/>
  <c r="V357" i="2"/>
  <c r="V255" i="2"/>
  <c r="V232" i="2"/>
  <c r="V121" i="2"/>
  <c r="V400" i="2"/>
  <c r="V146" i="2"/>
  <c r="V197" i="2"/>
  <c r="V440" i="2"/>
  <c r="V497" i="2"/>
  <c r="V329" i="2"/>
  <c r="V58" i="2"/>
  <c r="V110" i="2"/>
  <c r="V259" i="2"/>
  <c r="V360" i="2"/>
  <c r="V99" i="2"/>
  <c r="V52" i="2"/>
  <c r="V499" i="2"/>
  <c r="V287" i="2"/>
  <c r="V76" i="2"/>
  <c r="V148" i="2"/>
  <c r="V205" i="2"/>
  <c r="V526" i="2"/>
  <c r="V279" i="2"/>
  <c r="V33" i="2"/>
  <c r="V23" i="2"/>
  <c r="V394" i="2"/>
  <c r="V332" i="2"/>
  <c r="V92" i="2"/>
  <c r="V143" i="2"/>
  <c r="V562" i="2"/>
  <c r="V600" i="2"/>
  <c r="V515" i="2"/>
  <c r="V194" i="2"/>
  <c r="V372" i="2"/>
  <c r="V120" i="2"/>
  <c r="V419" i="2"/>
  <c r="V585" i="2"/>
  <c r="V533" i="2"/>
  <c r="V216" i="2"/>
  <c r="V154" i="2"/>
  <c r="V212" i="2"/>
  <c r="V26" i="2"/>
  <c r="V316" i="2"/>
  <c r="V474" i="2"/>
  <c r="V349" i="2"/>
  <c r="V153" i="2"/>
  <c r="V131" i="2"/>
  <c r="V343" i="2"/>
  <c r="V484" i="2"/>
  <c r="V527" i="2"/>
  <c r="V138" i="2"/>
  <c r="V100" i="2"/>
  <c r="V295" i="2"/>
  <c r="V111" i="2"/>
  <c r="V371" i="2"/>
  <c r="V446" i="2"/>
  <c r="V14" i="2"/>
  <c r="V403" i="2"/>
  <c r="V344" i="2"/>
  <c r="V160" i="2"/>
  <c r="V531" i="2"/>
  <c r="V443" i="2"/>
  <c r="V459" i="2"/>
  <c r="V559" i="2"/>
  <c r="V32" i="2"/>
  <c r="V87" i="2"/>
  <c r="V85" i="2"/>
  <c r="V314" i="2"/>
  <c r="V385" i="2"/>
  <c r="V265" i="2"/>
  <c r="V210" i="2"/>
  <c r="V204" i="2"/>
  <c r="V402" i="2"/>
  <c r="V93" i="2"/>
  <c r="V309" i="2"/>
  <c r="V501" i="2"/>
  <c r="V227" i="2"/>
  <c r="V166" i="2"/>
  <c r="V306" i="2"/>
  <c r="V155" i="2"/>
  <c r="V70" i="2"/>
  <c r="V5" i="2"/>
  <c r="V504" i="2"/>
  <c r="V53" i="2"/>
  <c r="V328" i="2"/>
  <c r="V284" i="2"/>
  <c r="V266" i="2"/>
  <c r="V62" i="2"/>
  <c r="V112" i="2"/>
  <c r="V46" i="2"/>
  <c r="V429" i="2"/>
  <c r="V500" i="2"/>
  <c r="V47" i="2"/>
  <c r="V317" i="2"/>
  <c r="V593" i="2"/>
  <c r="V289" i="2"/>
  <c r="V20" i="2"/>
  <c r="V481" i="2"/>
  <c r="V388" i="2"/>
  <c r="V222" i="2"/>
  <c r="V359" i="2"/>
  <c r="V520" i="2"/>
  <c r="V512" i="2"/>
  <c r="V428" i="2"/>
  <c r="V541" i="2"/>
  <c r="V180" i="2"/>
  <c r="V67" i="2"/>
  <c r="V493" i="2"/>
  <c r="V518" i="2"/>
  <c r="V377" i="2"/>
  <c r="V405" i="2"/>
  <c r="V274" i="2"/>
  <c r="V395" i="2"/>
  <c r="V9" i="2"/>
  <c r="V263" i="2"/>
  <c r="V249" i="2"/>
  <c r="V563" i="2"/>
  <c r="V416" i="2"/>
  <c r="V452" i="2"/>
  <c r="V296" i="2"/>
  <c r="V437" i="2"/>
  <c r="V513" i="2"/>
  <c r="V424" i="2"/>
  <c r="V483" i="2"/>
  <c r="V556" i="2"/>
  <c r="V201" i="2"/>
  <c r="V445" i="2"/>
  <c r="U303" i="2"/>
  <c r="U191" i="2"/>
  <c r="U288" i="2"/>
  <c r="U44" i="2"/>
  <c r="U560" i="2"/>
  <c r="U199" i="2"/>
  <c r="U415" i="2"/>
  <c r="U72" i="2"/>
  <c r="U17" i="2"/>
  <c r="U56" i="2"/>
  <c r="U231" i="2"/>
  <c r="U312" i="2"/>
  <c r="U496" i="2"/>
  <c r="U348" i="2"/>
  <c r="U509" i="2"/>
  <c r="U243" i="2"/>
  <c r="U469" i="2"/>
  <c r="U597" i="2"/>
  <c r="U8" i="2"/>
  <c r="U269" i="2"/>
  <c r="U142" i="2"/>
  <c r="U374" i="2"/>
  <c r="U430" i="2"/>
  <c r="U591" i="2"/>
  <c r="U554" i="2"/>
  <c r="U208" i="2"/>
  <c r="U539" i="2"/>
  <c r="U182" i="2"/>
  <c r="U64" i="2"/>
  <c r="U248" i="2"/>
  <c r="U365" i="2"/>
  <c r="U137" i="2"/>
  <c r="U498" i="2"/>
  <c r="U209" i="2"/>
  <c r="U576" i="2"/>
  <c r="U351" i="2"/>
  <c r="U281" i="2"/>
  <c r="U535" i="2"/>
  <c r="U4" i="2"/>
  <c r="U409" i="2"/>
  <c r="U272" i="2"/>
  <c r="U65" i="2"/>
  <c r="U408" i="2"/>
  <c r="U116" i="2"/>
  <c r="U485" i="2"/>
  <c r="U315" i="2"/>
  <c r="U587" i="2"/>
  <c r="U105" i="2"/>
  <c r="U253" i="2"/>
  <c r="U156" i="2"/>
  <c r="U267" i="2"/>
  <c r="U439" i="2"/>
  <c r="U397" i="2"/>
  <c r="U74" i="2"/>
  <c r="U57" i="2"/>
  <c r="U447" i="2"/>
  <c r="U55" i="2"/>
  <c r="U534" i="2"/>
  <c r="U19" i="2"/>
  <c r="U34" i="2"/>
  <c r="U181" i="2"/>
  <c r="U260" i="2"/>
  <c r="U308" i="2"/>
  <c r="U141" i="2"/>
  <c r="U129" i="2"/>
  <c r="U190" i="2"/>
  <c r="U468" i="2"/>
  <c r="U15" i="2"/>
  <c r="U127" i="2"/>
  <c r="U404" i="2"/>
  <c r="U460" i="2"/>
  <c r="U285" i="2"/>
  <c r="U450" i="2"/>
  <c r="U307" i="2"/>
  <c r="U183" i="2"/>
  <c r="U472" i="2"/>
  <c r="U2" i="2"/>
  <c r="U11" i="2"/>
  <c r="U413" i="2"/>
  <c r="U304" i="2"/>
  <c r="U157" i="2"/>
  <c r="U414" i="2"/>
  <c r="U577" i="2"/>
  <c r="U60" i="2"/>
  <c r="U238" i="2"/>
  <c r="U89" i="2"/>
  <c r="U571" i="2"/>
  <c r="U423" i="2"/>
  <c r="U95" i="2"/>
  <c r="U448" i="2"/>
  <c r="U229" i="2"/>
  <c r="U192" i="2"/>
  <c r="U331" i="2"/>
  <c r="U109" i="2"/>
  <c r="U524" i="2"/>
  <c r="U195" i="2"/>
  <c r="U336" i="2"/>
  <c r="U25" i="2"/>
  <c r="U128" i="2"/>
  <c r="U494" i="2"/>
  <c r="U401" i="2"/>
  <c r="U150" i="2"/>
  <c r="U431" i="2"/>
  <c r="U162" i="2"/>
  <c r="U139" i="2"/>
  <c r="U529" i="2"/>
  <c r="U339" i="2"/>
  <c r="U383" i="2"/>
  <c r="U163" i="2"/>
  <c r="U16" i="2"/>
  <c r="U542" i="2"/>
  <c r="U412" i="2"/>
  <c r="U482" i="2"/>
  <c r="U599" i="2"/>
  <c r="U391" i="2"/>
  <c r="U134" i="2"/>
  <c r="U117" i="2"/>
  <c r="U13" i="2"/>
  <c r="U122" i="2"/>
  <c r="U256" i="2"/>
  <c r="U586" i="2"/>
  <c r="U425" i="2"/>
  <c r="U305" i="2"/>
  <c r="U399" i="2"/>
  <c r="U63" i="2"/>
  <c r="U78" i="2"/>
  <c r="U39" i="2"/>
  <c r="U386" i="2"/>
  <c r="U140" i="2"/>
  <c r="U523" i="2"/>
  <c r="U187" i="2"/>
  <c r="U102" i="2"/>
  <c r="U580" i="2"/>
  <c r="U273" i="2"/>
  <c r="U219" i="2"/>
  <c r="U151" i="2"/>
  <c r="U477" i="2"/>
  <c r="U268" i="2"/>
  <c r="U489" i="2"/>
  <c r="U80" i="2"/>
  <c r="U257" i="2"/>
  <c r="U66" i="2"/>
  <c r="U486" i="2"/>
  <c r="U286" i="2"/>
  <c r="U373" i="2"/>
  <c r="U12" i="2"/>
  <c r="U341" i="2"/>
  <c r="U457" i="2"/>
  <c r="U567" i="2"/>
  <c r="U311" i="2"/>
  <c r="U213" i="2"/>
  <c r="U346" i="2"/>
  <c r="U323" i="2"/>
  <c r="U516" i="2"/>
  <c r="U252" i="2"/>
  <c r="U132" i="2"/>
  <c r="U173" i="2"/>
  <c r="U382" i="2"/>
  <c r="U88" i="2"/>
  <c r="U536" i="2"/>
  <c r="U503" i="2"/>
  <c r="U538" i="2"/>
  <c r="U152" i="2"/>
  <c r="U463" i="2"/>
  <c r="U480" i="2"/>
  <c r="U456" i="2"/>
  <c r="U75" i="2"/>
  <c r="U97" i="2"/>
  <c r="U206" i="2"/>
  <c r="U537" i="2"/>
  <c r="U221" i="2"/>
  <c r="U136" i="2"/>
  <c r="U106" i="2"/>
  <c r="U568" i="2"/>
  <c r="U214" i="2"/>
  <c r="U488" i="2"/>
  <c r="U81" i="2"/>
  <c r="U41" i="2"/>
  <c r="U543" i="2"/>
  <c r="U276" i="2"/>
  <c r="U570" i="2"/>
  <c r="U215" i="2"/>
  <c r="U451" i="2"/>
  <c r="U547" i="2"/>
  <c r="U250" i="2"/>
  <c r="U290" i="2"/>
  <c r="U502" i="2"/>
  <c r="U225" i="2"/>
  <c r="U364" i="2"/>
  <c r="U550" i="2"/>
  <c r="U478" i="2"/>
  <c r="U42" i="2"/>
  <c r="U530" i="2"/>
  <c r="U169" i="2"/>
  <c r="U379" i="2"/>
  <c r="U411" i="2"/>
  <c r="U476" i="2"/>
  <c r="U103" i="2"/>
  <c r="U421" i="2"/>
  <c r="U45" i="2"/>
  <c r="U420" i="2"/>
  <c r="U79" i="2"/>
  <c r="U261" i="2"/>
  <c r="U569" i="2"/>
  <c r="U407" i="2"/>
  <c r="U61" i="2"/>
  <c r="U532" i="2"/>
  <c r="U458" i="2"/>
  <c r="U113" i="2"/>
  <c r="U10" i="2"/>
  <c r="U202" i="2"/>
  <c r="U510" i="2"/>
  <c r="U327" i="2"/>
  <c r="U91" i="2"/>
  <c r="U50" i="2"/>
  <c r="U396" i="2"/>
  <c r="U185" i="2"/>
  <c r="U490" i="2"/>
  <c r="U507" i="2"/>
  <c r="U461" i="2"/>
  <c r="U29" i="2"/>
  <c r="U387" i="2"/>
  <c r="U177" i="2"/>
  <c r="U473" i="2"/>
  <c r="U470" i="2"/>
  <c r="U71" i="2"/>
  <c r="U320" i="2"/>
  <c r="U277" i="2"/>
  <c r="U333" i="2"/>
  <c r="U426" i="2"/>
  <c r="U519" i="2"/>
  <c r="U31" i="2"/>
  <c r="U579" i="2"/>
  <c r="U356" i="2"/>
  <c r="U378" i="2"/>
  <c r="U218" i="2"/>
  <c r="U381" i="2"/>
  <c r="U130" i="2"/>
  <c r="U230" i="2"/>
  <c r="U114" i="2"/>
  <c r="U242" i="2"/>
  <c r="U37" i="2"/>
  <c r="U582" i="2"/>
  <c r="U495" i="2"/>
  <c r="U228" i="2"/>
  <c r="U340" i="2"/>
  <c r="U342" i="2"/>
  <c r="U375" i="2"/>
  <c r="U254" i="2"/>
  <c r="U178" i="2"/>
  <c r="U115" i="2"/>
  <c r="U7" i="2"/>
  <c r="U147" i="2"/>
  <c r="U68" i="2"/>
  <c r="U135" i="2"/>
  <c r="U545" i="2"/>
  <c r="U574" i="2"/>
  <c r="U583" i="2"/>
  <c r="U302" i="2"/>
  <c r="U471" i="2"/>
  <c r="U179" i="2"/>
  <c r="U492" i="2"/>
  <c r="U592" i="2"/>
  <c r="U170" i="2"/>
  <c r="U171" i="2"/>
  <c r="U174" i="2"/>
  <c r="U27" i="2"/>
  <c r="U175" i="2"/>
  <c r="U588" i="2"/>
  <c r="U462" i="2"/>
  <c r="U107" i="2"/>
  <c r="U144" i="2"/>
  <c r="U196" i="2"/>
  <c r="U338" i="2"/>
  <c r="U330" i="2"/>
  <c r="U164" i="2"/>
  <c r="U294" i="2"/>
  <c r="U245" i="2"/>
  <c r="U398" i="2"/>
  <c r="U549" i="2"/>
  <c r="U350" i="2"/>
  <c r="U301" i="2"/>
  <c r="U275" i="2"/>
  <c r="U442" i="2"/>
  <c r="U491" i="2"/>
  <c r="U270" i="2"/>
  <c r="U48" i="2"/>
  <c r="U578" i="2"/>
  <c r="U299" i="2"/>
  <c r="U525" i="2"/>
  <c r="U188" i="2"/>
  <c r="U123" i="2"/>
  <c r="U6" i="2"/>
  <c r="U362" i="2"/>
  <c r="U258" i="2"/>
  <c r="U118" i="2"/>
  <c r="U544" i="2"/>
  <c r="U438" i="2"/>
  <c r="U389" i="2"/>
  <c r="U434" i="2"/>
  <c r="U189" i="2"/>
  <c r="U514" i="2"/>
  <c r="U176" i="2"/>
  <c r="U422" i="2"/>
  <c r="U358" i="2"/>
  <c r="U280" i="2"/>
  <c r="U291" i="2"/>
  <c r="U246" i="2"/>
  <c r="U521" i="2"/>
  <c r="U565" i="2"/>
  <c r="U322" i="2"/>
  <c r="U384" i="2"/>
  <c r="U435" i="2"/>
  <c r="U235" i="2"/>
  <c r="U49" i="2"/>
  <c r="U464" i="2"/>
  <c r="U54" i="2"/>
  <c r="U126" i="2"/>
  <c r="U353" i="2"/>
  <c r="U108" i="2"/>
  <c r="U347" i="2"/>
  <c r="U436" i="2"/>
  <c r="U247" i="2"/>
  <c r="U406" i="2"/>
  <c r="U598" i="2"/>
  <c r="U517" i="2"/>
  <c r="U82" i="2"/>
  <c r="U240" i="2"/>
  <c r="U410" i="2"/>
  <c r="U21" i="2"/>
  <c r="U300" i="2"/>
  <c r="U392" i="2"/>
  <c r="U172" i="2"/>
  <c r="U564" i="2"/>
  <c r="U522" i="2"/>
  <c r="U145" i="2"/>
  <c r="U73" i="2"/>
  <c r="U475" i="2"/>
  <c r="U590" i="2"/>
  <c r="U293" i="2"/>
  <c r="U337" i="2"/>
  <c r="U119" i="2"/>
  <c r="U94" i="2"/>
  <c r="U104" i="2"/>
  <c r="U69" i="2"/>
  <c r="U22" i="2"/>
  <c r="U51" i="2"/>
  <c r="U324" i="2"/>
  <c r="U165" i="2"/>
  <c r="U506" i="2"/>
  <c r="U278" i="2"/>
  <c r="U466" i="2"/>
  <c r="U417" i="2"/>
  <c r="U186" i="2"/>
  <c r="U207" i="2"/>
  <c r="U335" i="2"/>
  <c r="U283" i="2"/>
  <c r="U282" i="2"/>
  <c r="U30" i="2"/>
  <c r="U220" i="2"/>
  <c r="U124" i="2"/>
  <c r="U555" i="2"/>
  <c r="U149" i="2"/>
  <c r="U318" i="2"/>
  <c r="U38" i="2"/>
  <c r="U233" i="2"/>
  <c r="U262" i="2"/>
  <c r="U380" i="2"/>
  <c r="U86" i="2"/>
  <c r="U548" i="2"/>
  <c r="U334" i="2"/>
  <c r="U354" i="2"/>
  <c r="U133" i="2"/>
  <c r="U369" i="2"/>
  <c r="U211" i="2"/>
  <c r="U90" i="2"/>
  <c r="U589" i="2"/>
  <c r="U184" i="2"/>
  <c r="U271" i="2"/>
  <c r="U367" i="2"/>
  <c r="U298" i="2"/>
  <c r="U546" i="2"/>
  <c r="U96" i="2"/>
  <c r="U418" i="2"/>
  <c r="U200" i="2"/>
  <c r="U454" i="2"/>
  <c r="U36" i="2"/>
  <c r="U432" i="2"/>
  <c r="U198" i="2"/>
  <c r="U319" i="2"/>
  <c r="U223" i="2"/>
  <c r="U83" i="2"/>
  <c r="U264" i="2"/>
  <c r="U24" i="2"/>
  <c r="U441" i="2"/>
  <c r="U584" i="2"/>
  <c r="U449" i="2"/>
  <c r="U43" i="2"/>
  <c r="U244" i="2"/>
  <c r="U224" i="2"/>
  <c r="U313" i="2"/>
  <c r="U465" i="2"/>
  <c r="U427" i="2"/>
  <c r="U455" i="2"/>
  <c r="U167" i="2"/>
  <c r="U292" i="2"/>
  <c r="U310" i="2"/>
  <c r="U193" i="2"/>
  <c r="U241" i="2"/>
  <c r="U393" i="2"/>
  <c r="U595" i="2"/>
  <c r="U59" i="2"/>
  <c r="U558" i="2"/>
  <c r="U158" i="2"/>
  <c r="U566" i="2"/>
  <c r="U528" i="2"/>
  <c r="U453" i="2"/>
  <c r="U297" i="2"/>
  <c r="U161" i="2"/>
  <c r="U561" i="2"/>
  <c r="U368" i="2"/>
  <c r="U40" i="2"/>
  <c r="U345" i="2"/>
  <c r="U376" i="2"/>
  <c r="U239" i="2"/>
  <c r="U370" i="2"/>
  <c r="U101" i="2"/>
  <c r="U557" i="2"/>
  <c r="U572" i="2"/>
  <c r="U236" i="2"/>
  <c r="U444" i="2"/>
  <c r="U511" i="2"/>
  <c r="U390" i="2"/>
  <c r="U467" i="2"/>
  <c r="U363" i="2"/>
  <c r="U35" i="2"/>
  <c r="U84" i="2"/>
  <c r="U168" i="2"/>
  <c r="U77" i="2"/>
  <c r="U540" i="2"/>
  <c r="U596" i="2"/>
  <c r="U479" i="2"/>
  <c r="U552" i="2"/>
  <c r="U355" i="2"/>
  <c r="U594" i="2"/>
  <c r="U159" i="2"/>
  <c r="U98" i="2"/>
  <c r="U352" i="2"/>
  <c r="U28" i="2"/>
  <c r="U505" i="2"/>
  <c r="U433" i="2"/>
  <c r="U508" i="2"/>
  <c r="U234" i="2"/>
  <c r="U237" i="2"/>
  <c r="U321" i="2"/>
  <c r="U226" i="2"/>
  <c r="U325" i="2"/>
  <c r="U18" i="2"/>
  <c r="U217" i="2"/>
  <c r="U125" i="2"/>
  <c r="U3" i="2"/>
  <c r="U553" i="2"/>
  <c r="U575" i="2"/>
  <c r="U326" i="2"/>
  <c r="U251" i="2"/>
  <c r="U573" i="2"/>
  <c r="U581" i="2"/>
  <c r="U361" i="2"/>
  <c r="U203" i="2"/>
  <c r="U487" i="2"/>
  <c r="U366" i="2"/>
  <c r="U357" i="2"/>
  <c r="U255" i="2"/>
  <c r="U232" i="2"/>
  <c r="U121" i="2"/>
  <c r="U400" i="2"/>
  <c r="U146" i="2"/>
  <c r="U197" i="2"/>
  <c r="U440" i="2"/>
  <c r="U497" i="2"/>
  <c r="U329" i="2"/>
  <c r="U58" i="2"/>
  <c r="U110" i="2"/>
  <c r="U259" i="2"/>
  <c r="U360" i="2"/>
  <c r="U99" i="2"/>
  <c r="U52" i="2"/>
  <c r="U499" i="2"/>
  <c r="U287" i="2"/>
  <c r="U76" i="2"/>
  <c r="U148" i="2"/>
  <c r="U205" i="2"/>
  <c r="U526" i="2"/>
  <c r="U279" i="2"/>
  <c r="U33" i="2"/>
  <c r="U23" i="2"/>
  <c r="U394" i="2"/>
  <c r="U332" i="2"/>
  <c r="U92" i="2"/>
  <c r="U143" i="2"/>
  <c r="U562" i="2"/>
  <c r="U600" i="2"/>
  <c r="U515" i="2"/>
  <c r="U194" i="2"/>
  <c r="U372" i="2"/>
  <c r="U120" i="2"/>
  <c r="U419" i="2"/>
  <c r="U585" i="2"/>
  <c r="U533" i="2"/>
  <c r="U216" i="2"/>
  <c r="U154" i="2"/>
  <c r="U212" i="2"/>
  <c r="U26" i="2"/>
  <c r="U316" i="2"/>
  <c r="U474" i="2"/>
  <c r="U349" i="2"/>
  <c r="U153" i="2"/>
  <c r="U131" i="2"/>
  <c r="U343" i="2"/>
  <c r="U484" i="2"/>
  <c r="U527" i="2"/>
  <c r="U138" i="2"/>
  <c r="U100" i="2"/>
  <c r="U295" i="2"/>
  <c r="U111" i="2"/>
  <c r="U371" i="2"/>
  <c r="U446" i="2"/>
  <c r="U14" i="2"/>
  <c r="U403" i="2"/>
  <c r="U344" i="2"/>
  <c r="U160" i="2"/>
  <c r="U531" i="2"/>
  <c r="U443" i="2"/>
  <c r="U459" i="2"/>
  <c r="U559" i="2"/>
  <c r="U32" i="2"/>
  <c r="U87" i="2"/>
  <c r="U85" i="2"/>
  <c r="U314" i="2"/>
  <c r="U385" i="2"/>
  <c r="U265" i="2"/>
  <c r="U210" i="2"/>
  <c r="U204" i="2"/>
  <c r="U402" i="2"/>
  <c r="U93" i="2"/>
  <c r="U309" i="2"/>
  <c r="U501" i="2"/>
  <c r="U227" i="2"/>
  <c r="U166" i="2"/>
  <c r="U306" i="2"/>
  <c r="U155" i="2"/>
  <c r="U70" i="2"/>
  <c r="U5" i="2"/>
  <c r="U504" i="2"/>
  <c r="U53" i="2"/>
  <c r="U328" i="2"/>
  <c r="U284" i="2"/>
  <c r="U266" i="2"/>
  <c r="U62" i="2"/>
  <c r="U112" i="2"/>
  <c r="U46" i="2"/>
  <c r="U429" i="2"/>
  <c r="U500" i="2"/>
  <c r="U47" i="2"/>
  <c r="U317" i="2"/>
  <c r="U593" i="2"/>
  <c r="U289" i="2"/>
  <c r="U20" i="2"/>
  <c r="U481" i="2"/>
  <c r="U388" i="2"/>
  <c r="U222" i="2"/>
  <c r="U359" i="2"/>
  <c r="U520" i="2"/>
  <c r="U512" i="2"/>
  <c r="U428" i="2"/>
  <c r="U541" i="2"/>
  <c r="U180" i="2"/>
  <c r="U67" i="2"/>
  <c r="U493" i="2"/>
  <c r="U518" i="2"/>
  <c r="U377" i="2"/>
  <c r="U405" i="2"/>
  <c r="U274" i="2"/>
  <c r="U395" i="2"/>
  <c r="U9" i="2"/>
  <c r="U263" i="2"/>
  <c r="U249" i="2"/>
  <c r="U563" i="2"/>
  <c r="U416" i="2"/>
  <c r="U452" i="2"/>
  <c r="U296" i="2"/>
  <c r="U437" i="2"/>
  <c r="U513" i="2"/>
  <c r="U424" i="2"/>
  <c r="U483" i="2"/>
  <c r="U556" i="2"/>
  <c r="U201" i="2"/>
  <c r="U445" i="2"/>
  <c r="T303" i="2"/>
  <c r="T191" i="2"/>
  <c r="T288" i="2"/>
  <c r="T44" i="2"/>
  <c r="T560" i="2"/>
  <c r="T199" i="2"/>
  <c r="T415" i="2"/>
  <c r="T72" i="2"/>
  <c r="T17" i="2"/>
  <c r="T56" i="2"/>
  <c r="T231" i="2"/>
  <c r="T312" i="2"/>
  <c r="T496" i="2"/>
  <c r="T348" i="2"/>
  <c r="T509" i="2"/>
  <c r="T243" i="2"/>
  <c r="T469" i="2"/>
  <c r="T597" i="2"/>
  <c r="T8" i="2"/>
  <c r="T269" i="2"/>
  <c r="T142" i="2"/>
  <c r="T374" i="2"/>
  <c r="T430" i="2"/>
  <c r="T591" i="2"/>
  <c r="T554" i="2"/>
  <c r="T208" i="2"/>
  <c r="T539" i="2"/>
  <c r="T182" i="2"/>
  <c r="T64" i="2"/>
  <c r="T248" i="2"/>
  <c r="T365" i="2"/>
  <c r="T137" i="2"/>
  <c r="T498" i="2"/>
  <c r="T209" i="2"/>
  <c r="T576" i="2"/>
  <c r="T351" i="2"/>
  <c r="T281" i="2"/>
  <c r="T535" i="2"/>
  <c r="T4" i="2"/>
  <c r="T409" i="2"/>
  <c r="T272" i="2"/>
  <c r="T65" i="2"/>
  <c r="T408" i="2"/>
  <c r="T116" i="2"/>
  <c r="T485" i="2"/>
  <c r="T315" i="2"/>
  <c r="T587" i="2"/>
  <c r="T105" i="2"/>
  <c r="T253" i="2"/>
  <c r="T156" i="2"/>
  <c r="T267" i="2"/>
  <c r="T439" i="2"/>
  <c r="T397" i="2"/>
  <c r="T74" i="2"/>
  <c r="T57" i="2"/>
  <c r="T447" i="2"/>
  <c r="T55" i="2"/>
  <c r="T534" i="2"/>
  <c r="T19" i="2"/>
  <c r="T34" i="2"/>
  <c r="T181" i="2"/>
  <c r="T260" i="2"/>
  <c r="T308" i="2"/>
  <c r="T141" i="2"/>
  <c r="T129" i="2"/>
  <c r="T190" i="2"/>
  <c r="T468" i="2"/>
  <c r="T15" i="2"/>
  <c r="T127" i="2"/>
  <c r="T404" i="2"/>
  <c r="T460" i="2"/>
  <c r="T285" i="2"/>
  <c r="T450" i="2"/>
  <c r="T307" i="2"/>
  <c r="T183" i="2"/>
  <c r="T472" i="2"/>
  <c r="T2" i="2"/>
  <c r="T11" i="2"/>
  <c r="T413" i="2"/>
  <c r="T304" i="2"/>
  <c r="T157" i="2"/>
  <c r="T414" i="2"/>
  <c r="T577" i="2"/>
  <c r="T60" i="2"/>
  <c r="T238" i="2"/>
  <c r="T89" i="2"/>
  <c r="T571" i="2"/>
  <c r="T423" i="2"/>
  <c r="T95" i="2"/>
  <c r="T448" i="2"/>
  <c r="T229" i="2"/>
  <c r="T192" i="2"/>
  <c r="T331" i="2"/>
  <c r="T109" i="2"/>
  <c r="T524" i="2"/>
  <c r="T195" i="2"/>
  <c r="T336" i="2"/>
  <c r="T25" i="2"/>
  <c r="T128" i="2"/>
  <c r="T494" i="2"/>
  <c r="T401" i="2"/>
  <c r="T150" i="2"/>
  <c r="T431" i="2"/>
  <c r="T162" i="2"/>
  <c r="T139" i="2"/>
  <c r="T529" i="2"/>
  <c r="T339" i="2"/>
  <c r="T383" i="2"/>
  <c r="T163" i="2"/>
  <c r="T16" i="2"/>
  <c r="T542" i="2"/>
  <c r="T412" i="2"/>
  <c r="T482" i="2"/>
  <c r="T599" i="2"/>
  <c r="T391" i="2"/>
  <c r="T134" i="2"/>
  <c r="T117" i="2"/>
  <c r="T13" i="2"/>
  <c r="T122" i="2"/>
  <c r="T256" i="2"/>
  <c r="T586" i="2"/>
  <c r="T425" i="2"/>
  <c r="T305" i="2"/>
  <c r="T399" i="2"/>
  <c r="T63" i="2"/>
  <c r="T78" i="2"/>
  <c r="T39" i="2"/>
  <c r="T386" i="2"/>
  <c r="T140" i="2"/>
  <c r="T523" i="2"/>
  <c r="T187" i="2"/>
  <c r="T102" i="2"/>
  <c r="T580" i="2"/>
  <c r="T273" i="2"/>
  <c r="T219" i="2"/>
  <c r="T151" i="2"/>
  <c r="T477" i="2"/>
  <c r="T268" i="2"/>
  <c r="T489" i="2"/>
  <c r="T80" i="2"/>
  <c r="T257" i="2"/>
  <c r="T66" i="2"/>
  <c r="T486" i="2"/>
  <c r="T286" i="2"/>
  <c r="T373" i="2"/>
  <c r="T12" i="2"/>
  <c r="T341" i="2"/>
  <c r="T457" i="2"/>
  <c r="T567" i="2"/>
  <c r="T311" i="2"/>
  <c r="T213" i="2"/>
  <c r="T346" i="2"/>
  <c r="T323" i="2"/>
  <c r="T516" i="2"/>
  <c r="T252" i="2"/>
  <c r="T132" i="2"/>
  <c r="T173" i="2"/>
  <c r="T382" i="2"/>
  <c r="T88" i="2"/>
  <c r="T536" i="2"/>
  <c r="T503" i="2"/>
  <c r="T538" i="2"/>
  <c r="T152" i="2"/>
  <c r="T463" i="2"/>
  <c r="T480" i="2"/>
  <c r="T456" i="2"/>
  <c r="T75" i="2"/>
  <c r="T97" i="2"/>
  <c r="T206" i="2"/>
  <c r="T537" i="2"/>
  <c r="T221" i="2"/>
  <c r="T136" i="2"/>
  <c r="T106" i="2"/>
  <c r="T568" i="2"/>
  <c r="T214" i="2"/>
  <c r="T488" i="2"/>
  <c r="T81" i="2"/>
  <c r="T41" i="2"/>
  <c r="T543" i="2"/>
  <c r="T276" i="2"/>
  <c r="T570" i="2"/>
  <c r="T215" i="2"/>
  <c r="T451" i="2"/>
  <c r="T547" i="2"/>
  <c r="T250" i="2"/>
  <c r="T290" i="2"/>
  <c r="T502" i="2"/>
  <c r="T225" i="2"/>
  <c r="T364" i="2"/>
  <c r="T550" i="2"/>
  <c r="T478" i="2"/>
  <c r="T42" i="2"/>
  <c r="T530" i="2"/>
  <c r="T169" i="2"/>
  <c r="T379" i="2"/>
  <c r="T411" i="2"/>
  <c r="T476" i="2"/>
  <c r="T103" i="2"/>
  <c r="T421" i="2"/>
  <c r="T45" i="2"/>
  <c r="T420" i="2"/>
  <c r="T79" i="2"/>
  <c r="T261" i="2"/>
  <c r="T569" i="2"/>
  <c r="T407" i="2"/>
  <c r="T61" i="2"/>
  <c r="T532" i="2"/>
  <c r="T458" i="2"/>
  <c r="T113" i="2"/>
  <c r="T10" i="2"/>
  <c r="T202" i="2"/>
  <c r="T510" i="2"/>
  <c r="T327" i="2"/>
  <c r="T91" i="2"/>
  <c r="T50" i="2"/>
  <c r="T396" i="2"/>
  <c r="T185" i="2"/>
  <c r="T490" i="2"/>
  <c r="T507" i="2"/>
  <c r="T461" i="2"/>
  <c r="T29" i="2"/>
  <c r="T387" i="2"/>
  <c r="T177" i="2"/>
  <c r="T473" i="2"/>
  <c r="T470" i="2"/>
  <c r="T71" i="2"/>
  <c r="T320" i="2"/>
  <c r="T277" i="2"/>
  <c r="T333" i="2"/>
  <c r="T426" i="2"/>
  <c r="T519" i="2"/>
  <c r="T31" i="2"/>
  <c r="T579" i="2"/>
  <c r="T356" i="2"/>
  <c r="T378" i="2"/>
  <c r="T218" i="2"/>
  <c r="T381" i="2"/>
  <c r="T130" i="2"/>
  <c r="T230" i="2"/>
  <c r="T114" i="2"/>
  <c r="T242" i="2"/>
  <c r="T37" i="2"/>
  <c r="T582" i="2"/>
  <c r="T495" i="2"/>
  <c r="T228" i="2"/>
  <c r="T340" i="2"/>
  <c r="T342" i="2"/>
  <c r="T375" i="2"/>
  <c r="T254" i="2"/>
  <c r="T178" i="2"/>
  <c r="T115" i="2"/>
  <c r="T7" i="2"/>
  <c r="T147" i="2"/>
  <c r="T68" i="2"/>
  <c r="T135" i="2"/>
  <c r="T545" i="2"/>
  <c r="T574" i="2"/>
  <c r="T583" i="2"/>
  <c r="T302" i="2"/>
  <c r="T471" i="2"/>
  <c r="T179" i="2"/>
  <c r="T492" i="2"/>
  <c r="T592" i="2"/>
  <c r="T170" i="2"/>
  <c r="T171" i="2"/>
  <c r="T174" i="2"/>
  <c r="T27" i="2"/>
  <c r="T175" i="2"/>
  <c r="T588" i="2"/>
  <c r="T462" i="2"/>
  <c r="T107" i="2"/>
  <c r="T144" i="2"/>
  <c r="T196" i="2"/>
  <c r="T338" i="2"/>
  <c r="T330" i="2"/>
  <c r="T164" i="2"/>
  <c r="T294" i="2"/>
  <c r="T245" i="2"/>
  <c r="T398" i="2"/>
  <c r="T549" i="2"/>
  <c r="T350" i="2"/>
  <c r="T301" i="2"/>
  <c r="T275" i="2"/>
  <c r="T442" i="2"/>
  <c r="T491" i="2"/>
  <c r="T270" i="2"/>
  <c r="T48" i="2"/>
  <c r="T578" i="2"/>
  <c r="T299" i="2"/>
  <c r="T525" i="2"/>
  <c r="T188" i="2"/>
  <c r="T123" i="2"/>
  <c r="T6" i="2"/>
  <c r="T362" i="2"/>
  <c r="T258" i="2"/>
  <c r="T118" i="2"/>
  <c r="T544" i="2"/>
  <c r="T438" i="2"/>
  <c r="T389" i="2"/>
  <c r="T434" i="2"/>
  <c r="T189" i="2"/>
  <c r="T514" i="2"/>
  <c r="T176" i="2"/>
  <c r="T422" i="2"/>
  <c r="T358" i="2"/>
  <c r="T280" i="2"/>
  <c r="T291" i="2"/>
  <c r="T246" i="2"/>
  <c r="T521" i="2"/>
  <c r="T565" i="2"/>
  <c r="T322" i="2"/>
  <c r="T384" i="2"/>
  <c r="T435" i="2"/>
  <c r="T235" i="2"/>
  <c r="T49" i="2"/>
  <c r="T464" i="2"/>
  <c r="T54" i="2"/>
  <c r="T126" i="2"/>
  <c r="T353" i="2"/>
  <c r="T108" i="2"/>
  <c r="T347" i="2"/>
  <c r="T436" i="2"/>
  <c r="T247" i="2"/>
  <c r="T406" i="2"/>
  <c r="T598" i="2"/>
  <c r="T517" i="2"/>
  <c r="T82" i="2"/>
  <c r="T240" i="2"/>
  <c r="T410" i="2"/>
  <c r="T21" i="2"/>
  <c r="T300" i="2"/>
  <c r="T392" i="2"/>
  <c r="T172" i="2"/>
  <c r="T564" i="2"/>
  <c r="T522" i="2"/>
  <c r="T145" i="2"/>
  <c r="T73" i="2"/>
  <c r="T475" i="2"/>
  <c r="T590" i="2"/>
  <c r="T293" i="2"/>
  <c r="T337" i="2"/>
  <c r="T119" i="2"/>
  <c r="T94" i="2"/>
  <c r="T104" i="2"/>
  <c r="T69" i="2"/>
  <c r="T22" i="2"/>
  <c r="T51" i="2"/>
  <c r="T324" i="2"/>
  <c r="T165" i="2"/>
  <c r="T506" i="2"/>
  <c r="T278" i="2"/>
  <c r="T466" i="2"/>
  <c r="T417" i="2"/>
  <c r="T186" i="2"/>
  <c r="T207" i="2"/>
  <c r="T335" i="2"/>
  <c r="T283" i="2"/>
  <c r="T282" i="2"/>
  <c r="T30" i="2"/>
  <c r="T220" i="2"/>
  <c r="T124" i="2"/>
  <c r="T555" i="2"/>
  <c r="T149" i="2"/>
  <c r="T318" i="2"/>
  <c r="T38" i="2"/>
  <c r="T233" i="2"/>
  <c r="T262" i="2"/>
  <c r="T380" i="2"/>
  <c r="T86" i="2"/>
  <c r="T548" i="2"/>
  <c r="T334" i="2"/>
  <c r="T354" i="2"/>
  <c r="T133" i="2"/>
  <c r="T369" i="2"/>
  <c r="T211" i="2"/>
  <c r="T90" i="2"/>
  <c r="T589" i="2"/>
  <c r="T184" i="2"/>
  <c r="T271" i="2"/>
  <c r="T367" i="2"/>
  <c r="T298" i="2"/>
  <c r="T546" i="2"/>
  <c r="T96" i="2"/>
  <c r="T418" i="2"/>
  <c r="T200" i="2"/>
  <c r="T454" i="2"/>
  <c r="T36" i="2"/>
  <c r="T432" i="2"/>
  <c r="T198" i="2"/>
  <c r="T319" i="2"/>
  <c r="T223" i="2"/>
  <c r="T83" i="2"/>
  <c r="T264" i="2"/>
  <c r="T24" i="2"/>
  <c r="T441" i="2"/>
  <c r="T584" i="2"/>
  <c r="T449" i="2"/>
  <c r="T43" i="2"/>
  <c r="T244" i="2"/>
  <c r="T224" i="2"/>
  <c r="T313" i="2"/>
  <c r="T465" i="2"/>
  <c r="T427" i="2"/>
  <c r="T455" i="2"/>
  <c r="T167" i="2"/>
  <c r="T292" i="2"/>
  <c r="T310" i="2"/>
  <c r="T193" i="2"/>
  <c r="T241" i="2"/>
  <c r="T393" i="2"/>
  <c r="T595" i="2"/>
  <c r="T59" i="2"/>
  <c r="T558" i="2"/>
  <c r="T158" i="2"/>
  <c r="T566" i="2"/>
  <c r="T528" i="2"/>
  <c r="T453" i="2"/>
  <c r="T297" i="2"/>
  <c r="T161" i="2"/>
  <c r="T561" i="2"/>
  <c r="T368" i="2"/>
  <c r="T40" i="2"/>
  <c r="T345" i="2"/>
  <c r="T376" i="2"/>
  <c r="T239" i="2"/>
  <c r="T370" i="2"/>
  <c r="T101" i="2"/>
  <c r="T557" i="2"/>
  <c r="T572" i="2"/>
  <c r="T236" i="2"/>
  <c r="T444" i="2"/>
  <c r="T511" i="2"/>
  <c r="T390" i="2"/>
  <c r="T467" i="2"/>
  <c r="T363" i="2"/>
  <c r="T35" i="2"/>
  <c r="T84" i="2"/>
  <c r="T168" i="2"/>
  <c r="T77" i="2"/>
  <c r="T540" i="2"/>
  <c r="T596" i="2"/>
  <c r="T479" i="2"/>
  <c r="T552" i="2"/>
  <c r="T355" i="2"/>
  <c r="T594" i="2"/>
  <c r="T159" i="2"/>
  <c r="T98" i="2"/>
  <c r="T352" i="2"/>
  <c r="T28" i="2"/>
  <c r="T505" i="2"/>
  <c r="T433" i="2"/>
  <c r="T508" i="2"/>
  <c r="T234" i="2"/>
  <c r="T237" i="2"/>
  <c r="T321" i="2"/>
  <c r="T226" i="2"/>
  <c r="T325" i="2"/>
  <c r="T18" i="2"/>
  <c r="T217" i="2"/>
  <c r="T125" i="2"/>
  <c r="T3" i="2"/>
  <c r="T553" i="2"/>
  <c r="T575" i="2"/>
  <c r="T326" i="2"/>
  <c r="T251" i="2"/>
  <c r="T573" i="2"/>
  <c r="T581" i="2"/>
  <c r="T361" i="2"/>
  <c r="T203" i="2"/>
  <c r="T487" i="2"/>
  <c r="T366" i="2"/>
  <c r="T357" i="2"/>
  <c r="T255" i="2"/>
  <c r="T232" i="2"/>
  <c r="T121" i="2"/>
  <c r="T400" i="2"/>
  <c r="T146" i="2"/>
  <c r="T197" i="2"/>
  <c r="T440" i="2"/>
  <c r="T497" i="2"/>
  <c r="T329" i="2"/>
  <c r="T58" i="2"/>
  <c r="T110" i="2"/>
  <c r="T259" i="2"/>
  <c r="T360" i="2"/>
  <c r="T99" i="2"/>
  <c r="T52" i="2"/>
  <c r="T499" i="2"/>
  <c r="T287" i="2"/>
  <c r="T76" i="2"/>
  <c r="T148" i="2"/>
  <c r="T205" i="2"/>
  <c r="T526" i="2"/>
  <c r="T279" i="2"/>
  <c r="T33" i="2"/>
  <c r="T23" i="2"/>
  <c r="T394" i="2"/>
  <c r="T332" i="2"/>
  <c r="T92" i="2"/>
  <c r="T143" i="2"/>
  <c r="T562" i="2"/>
  <c r="T600" i="2"/>
  <c r="T515" i="2"/>
  <c r="T194" i="2"/>
  <c r="T372" i="2"/>
  <c r="T120" i="2"/>
  <c r="T419" i="2"/>
  <c r="T585" i="2"/>
  <c r="T533" i="2"/>
  <c r="T216" i="2"/>
  <c r="T154" i="2"/>
  <c r="T212" i="2"/>
  <c r="T26" i="2"/>
  <c r="T316" i="2"/>
  <c r="T474" i="2"/>
  <c r="T349" i="2"/>
  <c r="T153" i="2"/>
  <c r="T131" i="2"/>
  <c r="T343" i="2"/>
  <c r="T484" i="2"/>
  <c r="T527" i="2"/>
  <c r="T138" i="2"/>
  <c r="T100" i="2"/>
  <c r="T295" i="2"/>
  <c r="T111" i="2"/>
  <c r="T371" i="2"/>
  <c r="T446" i="2"/>
  <c r="T14" i="2"/>
  <c r="T403" i="2"/>
  <c r="T344" i="2"/>
  <c r="T160" i="2"/>
  <c r="T531" i="2"/>
  <c r="T443" i="2"/>
  <c r="T459" i="2"/>
  <c r="T559" i="2"/>
  <c r="T32" i="2"/>
  <c r="T87" i="2"/>
  <c r="T85" i="2"/>
  <c r="T314" i="2"/>
  <c r="T385" i="2"/>
  <c r="T265" i="2"/>
  <c r="T210" i="2"/>
  <c r="T204" i="2"/>
  <c r="T402" i="2"/>
  <c r="T93" i="2"/>
  <c r="T309" i="2"/>
  <c r="T501" i="2"/>
  <c r="T227" i="2"/>
  <c r="T166" i="2"/>
  <c r="T306" i="2"/>
  <c r="T155" i="2"/>
  <c r="T70" i="2"/>
  <c r="T5" i="2"/>
  <c r="T504" i="2"/>
  <c r="T53" i="2"/>
  <c r="T328" i="2"/>
  <c r="T284" i="2"/>
  <c r="T266" i="2"/>
  <c r="T62" i="2"/>
  <c r="T112" i="2"/>
  <c r="T46" i="2"/>
  <c r="T429" i="2"/>
  <c r="T500" i="2"/>
  <c r="T47" i="2"/>
  <c r="T317" i="2"/>
  <c r="T593" i="2"/>
  <c r="T289" i="2"/>
  <c r="T20" i="2"/>
  <c r="T481" i="2"/>
  <c r="T388" i="2"/>
  <c r="T222" i="2"/>
  <c r="T359" i="2"/>
  <c r="T520" i="2"/>
  <c r="T512" i="2"/>
  <c r="T428" i="2"/>
  <c r="T541" i="2"/>
  <c r="T180" i="2"/>
  <c r="T67" i="2"/>
  <c r="T493" i="2"/>
  <c r="T518" i="2"/>
  <c r="T377" i="2"/>
  <c r="T405" i="2"/>
  <c r="T274" i="2"/>
  <c r="T395" i="2"/>
  <c r="T9" i="2"/>
  <c r="T263" i="2"/>
  <c r="T249" i="2"/>
  <c r="T563" i="2"/>
  <c r="T416" i="2"/>
  <c r="T452" i="2"/>
  <c r="T296" i="2"/>
  <c r="T437" i="2"/>
  <c r="T513" i="2"/>
  <c r="T424" i="2"/>
  <c r="T483" i="2"/>
  <c r="T556" i="2"/>
  <c r="T201" i="2"/>
  <c r="T445" i="2"/>
  <c r="S303" i="2"/>
  <c r="S191" i="2"/>
  <c r="S288" i="2"/>
  <c r="S44" i="2"/>
  <c r="S560" i="2"/>
  <c r="S199" i="2"/>
  <c r="S415" i="2"/>
  <c r="S72" i="2"/>
  <c r="S17" i="2"/>
  <c r="S56" i="2"/>
  <c r="S231" i="2"/>
  <c r="S312" i="2"/>
  <c r="S496" i="2"/>
  <c r="S348" i="2"/>
  <c r="S509" i="2"/>
  <c r="S243" i="2"/>
  <c r="S469" i="2"/>
  <c r="S597" i="2"/>
  <c r="S8" i="2"/>
  <c r="S269" i="2"/>
  <c r="S142" i="2"/>
  <c r="S374" i="2"/>
  <c r="S430" i="2"/>
  <c r="S591" i="2"/>
  <c r="S554" i="2"/>
  <c r="S208" i="2"/>
  <c r="S539" i="2"/>
  <c r="S182" i="2"/>
  <c r="S64" i="2"/>
  <c r="S248" i="2"/>
  <c r="S365" i="2"/>
  <c r="S137" i="2"/>
  <c r="S498" i="2"/>
  <c r="S209" i="2"/>
  <c r="S576" i="2"/>
  <c r="S351" i="2"/>
  <c r="S281" i="2"/>
  <c r="S535" i="2"/>
  <c r="S4" i="2"/>
  <c r="S409" i="2"/>
  <c r="S272" i="2"/>
  <c r="S65" i="2"/>
  <c r="S408" i="2"/>
  <c r="S116" i="2"/>
  <c r="S485" i="2"/>
  <c r="S315" i="2"/>
  <c r="S587" i="2"/>
  <c r="S105" i="2"/>
  <c r="S253" i="2"/>
  <c r="S156" i="2"/>
  <c r="S267" i="2"/>
  <c r="S439" i="2"/>
  <c r="S397" i="2"/>
  <c r="S74" i="2"/>
  <c r="S57" i="2"/>
  <c r="S447" i="2"/>
  <c r="S55" i="2"/>
  <c r="S534" i="2"/>
  <c r="S19" i="2"/>
  <c r="S34" i="2"/>
  <c r="S181" i="2"/>
  <c r="S260" i="2"/>
  <c r="S308" i="2"/>
  <c r="S141" i="2"/>
  <c r="S129" i="2"/>
  <c r="S190" i="2"/>
  <c r="S468" i="2"/>
  <c r="S15" i="2"/>
  <c r="S127" i="2"/>
  <c r="S404" i="2"/>
  <c r="S460" i="2"/>
  <c r="S285" i="2"/>
  <c r="S450" i="2"/>
  <c r="S307" i="2"/>
  <c r="S183" i="2"/>
  <c r="S472" i="2"/>
  <c r="S2" i="2"/>
  <c r="S11" i="2"/>
  <c r="S413" i="2"/>
  <c r="S304" i="2"/>
  <c r="S157" i="2"/>
  <c r="S414" i="2"/>
  <c r="S577" i="2"/>
  <c r="S60" i="2"/>
  <c r="S238" i="2"/>
  <c r="S89" i="2"/>
  <c r="S571" i="2"/>
  <c r="S423" i="2"/>
  <c r="S95" i="2"/>
  <c r="S448" i="2"/>
  <c r="S229" i="2"/>
  <c r="S192" i="2"/>
  <c r="S331" i="2"/>
  <c r="S109" i="2"/>
  <c r="S524" i="2"/>
  <c r="S195" i="2"/>
  <c r="S336" i="2"/>
  <c r="S25" i="2"/>
  <c r="S128" i="2"/>
  <c r="S494" i="2"/>
  <c r="S401" i="2"/>
  <c r="S150" i="2"/>
  <c r="S431" i="2"/>
  <c r="S162" i="2"/>
  <c r="S139" i="2"/>
  <c r="S529" i="2"/>
  <c r="S339" i="2"/>
  <c r="S383" i="2"/>
  <c r="S163" i="2"/>
  <c r="S16" i="2"/>
  <c r="S542" i="2"/>
  <c r="S412" i="2"/>
  <c r="S482" i="2"/>
  <c r="S599" i="2"/>
  <c r="S391" i="2"/>
  <c r="S134" i="2"/>
  <c r="S117" i="2"/>
  <c r="S13" i="2"/>
  <c r="S122" i="2"/>
  <c r="S256" i="2"/>
  <c r="S586" i="2"/>
  <c r="S425" i="2"/>
  <c r="S305" i="2"/>
  <c r="S399" i="2"/>
  <c r="S63" i="2"/>
  <c r="S78" i="2"/>
  <c r="S39" i="2"/>
  <c r="S386" i="2"/>
  <c r="S140" i="2"/>
  <c r="S523" i="2"/>
  <c r="S187" i="2"/>
  <c r="S102" i="2"/>
  <c r="S580" i="2"/>
  <c r="S273" i="2"/>
  <c r="S219" i="2"/>
  <c r="S151" i="2"/>
  <c r="S477" i="2"/>
  <c r="S268" i="2"/>
  <c r="S489" i="2"/>
  <c r="S80" i="2"/>
  <c r="S257" i="2"/>
  <c r="S66" i="2"/>
  <c r="S486" i="2"/>
  <c r="S286" i="2"/>
  <c r="S373" i="2"/>
  <c r="S12" i="2"/>
  <c r="S341" i="2"/>
  <c r="S457" i="2"/>
  <c r="S567" i="2"/>
  <c r="S311" i="2"/>
  <c r="S213" i="2"/>
  <c r="S346" i="2"/>
  <c r="S323" i="2"/>
  <c r="S516" i="2"/>
  <c r="S252" i="2"/>
  <c r="S132" i="2"/>
  <c r="S173" i="2"/>
  <c r="S382" i="2"/>
  <c r="S88" i="2"/>
  <c r="S536" i="2"/>
  <c r="S503" i="2"/>
  <c r="S538" i="2"/>
  <c r="S152" i="2"/>
  <c r="S463" i="2"/>
  <c r="S480" i="2"/>
  <c r="S456" i="2"/>
  <c r="S75" i="2"/>
  <c r="S97" i="2"/>
  <c r="S206" i="2"/>
  <c r="S537" i="2"/>
  <c r="S221" i="2"/>
  <c r="S136" i="2"/>
  <c r="S106" i="2"/>
  <c r="S568" i="2"/>
  <c r="S214" i="2"/>
  <c r="S488" i="2"/>
  <c r="S81" i="2"/>
  <c r="S41" i="2"/>
  <c r="S543" i="2"/>
  <c r="S276" i="2"/>
  <c r="S570" i="2"/>
  <c r="S215" i="2"/>
  <c r="S451" i="2"/>
  <c r="S547" i="2"/>
  <c r="S250" i="2"/>
  <c r="S290" i="2"/>
  <c r="S502" i="2"/>
  <c r="S225" i="2"/>
  <c r="S364" i="2"/>
  <c r="S550" i="2"/>
  <c r="S478" i="2"/>
  <c r="S42" i="2"/>
  <c r="S530" i="2"/>
  <c r="S169" i="2"/>
  <c r="S379" i="2"/>
  <c r="S411" i="2"/>
  <c r="S476" i="2"/>
  <c r="S103" i="2"/>
  <c r="S421" i="2"/>
  <c r="S45" i="2"/>
  <c r="S420" i="2"/>
  <c r="S79" i="2"/>
  <c r="S261" i="2"/>
  <c r="S569" i="2"/>
  <c r="S407" i="2"/>
  <c r="S61" i="2"/>
  <c r="S532" i="2"/>
  <c r="S458" i="2"/>
  <c r="S113" i="2"/>
  <c r="S10" i="2"/>
  <c r="S202" i="2"/>
  <c r="S510" i="2"/>
  <c r="S327" i="2"/>
  <c r="S91" i="2"/>
  <c r="S50" i="2"/>
  <c r="S396" i="2"/>
  <c r="S185" i="2"/>
  <c r="S490" i="2"/>
  <c r="S507" i="2"/>
  <c r="S461" i="2"/>
  <c r="S29" i="2"/>
  <c r="S387" i="2"/>
  <c r="S177" i="2"/>
  <c r="S473" i="2"/>
  <c r="S470" i="2"/>
  <c r="S71" i="2"/>
  <c r="S320" i="2"/>
  <c r="S277" i="2"/>
  <c r="S333" i="2"/>
  <c r="S426" i="2"/>
  <c r="S519" i="2"/>
  <c r="S31" i="2"/>
  <c r="S579" i="2"/>
  <c r="S356" i="2"/>
  <c r="S378" i="2"/>
  <c r="S218" i="2"/>
  <c r="S381" i="2"/>
  <c r="S130" i="2"/>
  <c r="S230" i="2"/>
  <c r="S114" i="2"/>
  <c r="S242" i="2"/>
  <c r="S37" i="2"/>
  <c r="S582" i="2"/>
  <c r="S495" i="2"/>
  <c r="S228" i="2"/>
  <c r="S340" i="2"/>
  <c r="S342" i="2"/>
  <c r="S375" i="2"/>
  <c r="S254" i="2"/>
  <c r="S178" i="2"/>
  <c r="S115" i="2"/>
  <c r="S7" i="2"/>
  <c r="S147" i="2"/>
  <c r="S68" i="2"/>
  <c r="S135" i="2"/>
  <c r="S545" i="2"/>
  <c r="S574" i="2"/>
  <c r="S583" i="2"/>
  <c r="S302" i="2"/>
  <c r="S471" i="2"/>
  <c r="S179" i="2"/>
  <c r="S492" i="2"/>
  <c r="S592" i="2"/>
  <c r="S170" i="2"/>
  <c r="S171" i="2"/>
  <c r="S174" i="2"/>
  <c r="S27" i="2"/>
  <c r="S175" i="2"/>
  <c r="S588" i="2"/>
  <c r="S462" i="2"/>
  <c r="S107" i="2"/>
  <c r="S144" i="2"/>
  <c r="S196" i="2"/>
  <c r="S338" i="2"/>
  <c r="S330" i="2"/>
  <c r="S164" i="2"/>
  <c r="S294" i="2"/>
  <c r="S245" i="2"/>
  <c r="S398" i="2"/>
  <c r="S549" i="2"/>
  <c r="S350" i="2"/>
  <c r="S301" i="2"/>
  <c r="S275" i="2"/>
  <c r="S442" i="2"/>
  <c r="S491" i="2"/>
  <c r="S270" i="2"/>
  <c r="S48" i="2"/>
  <c r="S578" i="2"/>
  <c r="S299" i="2"/>
  <c r="S525" i="2"/>
  <c r="S188" i="2"/>
  <c r="S123" i="2"/>
  <c r="S6" i="2"/>
  <c r="S362" i="2"/>
  <c r="S258" i="2"/>
  <c r="S118" i="2"/>
  <c r="S544" i="2"/>
  <c r="S438" i="2"/>
  <c r="S389" i="2"/>
  <c r="S434" i="2"/>
  <c r="S189" i="2"/>
  <c r="S514" i="2"/>
  <c r="S176" i="2"/>
  <c r="S422" i="2"/>
  <c r="S358" i="2"/>
  <c r="S280" i="2"/>
  <c r="S291" i="2"/>
  <c r="S246" i="2"/>
  <c r="S521" i="2"/>
  <c r="S565" i="2"/>
  <c r="S322" i="2"/>
  <c r="S384" i="2"/>
  <c r="S435" i="2"/>
  <c r="S235" i="2"/>
  <c r="S49" i="2"/>
  <c r="S464" i="2"/>
  <c r="S54" i="2"/>
  <c r="S126" i="2"/>
  <c r="S353" i="2"/>
  <c r="S108" i="2"/>
  <c r="S347" i="2"/>
  <c r="S436" i="2"/>
  <c r="S247" i="2"/>
  <c r="S406" i="2"/>
  <c r="S598" i="2"/>
  <c r="S517" i="2"/>
  <c r="S82" i="2"/>
  <c r="S240" i="2"/>
  <c r="S410" i="2"/>
  <c r="S21" i="2"/>
  <c r="S300" i="2"/>
  <c r="S392" i="2"/>
  <c r="S172" i="2"/>
  <c r="S564" i="2"/>
  <c r="S522" i="2"/>
  <c r="S145" i="2"/>
  <c r="S73" i="2"/>
  <c r="S475" i="2"/>
  <c r="S590" i="2"/>
  <c r="S293" i="2"/>
  <c r="S337" i="2"/>
  <c r="S119" i="2"/>
  <c r="S94" i="2"/>
  <c r="S104" i="2"/>
  <c r="S69" i="2"/>
  <c r="S22" i="2"/>
  <c r="S51" i="2"/>
  <c r="S324" i="2"/>
  <c r="S165" i="2"/>
  <c r="S506" i="2"/>
  <c r="S278" i="2"/>
  <c r="S466" i="2"/>
  <c r="S417" i="2"/>
  <c r="S186" i="2"/>
  <c r="S207" i="2"/>
  <c r="S335" i="2"/>
  <c r="S283" i="2"/>
  <c r="S282" i="2"/>
  <c r="S30" i="2"/>
  <c r="S220" i="2"/>
  <c r="S124" i="2"/>
  <c r="S555" i="2"/>
  <c r="S149" i="2"/>
  <c r="S318" i="2"/>
  <c r="S38" i="2"/>
  <c r="S233" i="2"/>
  <c r="S262" i="2"/>
  <c r="S380" i="2"/>
  <c r="S86" i="2"/>
  <c r="S548" i="2"/>
  <c r="S334" i="2"/>
  <c r="S354" i="2"/>
  <c r="S133" i="2"/>
  <c r="S369" i="2"/>
  <c r="S211" i="2"/>
  <c r="S90" i="2"/>
  <c r="S589" i="2"/>
  <c r="S184" i="2"/>
  <c r="S271" i="2"/>
  <c r="S367" i="2"/>
  <c r="S298" i="2"/>
  <c r="S546" i="2"/>
  <c r="S96" i="2"/>
  <c r="S418" i="2"/>
  <c r="S200" i="2"/>
  <c r="S454" i="2"/>
  <c r="S36" i="2"/>
  <c r="S432" i="2"/>
  <c r="S198" i="2"/>
  <c r="S319" i="2"/>
  <c r="S223" i="2"/>
  <c r="S83" i="2"/>
  <c r="S264" i="2"/>
  <c r="S24" i="2"/>
  <c r="S441" i="2"/>
  <c r="S584" i="2"/>
  <c r="S449" i="2"/>
  <c r="S43" i="2"/>
  <c r="S244" i="2"/>
  <c r="S224" i="2"/>
  <c r="S313" i="2"/>
  <c r="S465" i="2"/>
  <c r="S427" i="2"/>
  <c r="S455" i="2"/>
  <c r="S167" i="2"/>
  <c r="S292" i="2"/>
  <c r="S310" i="2"/>
  <c r="S193" i="2"/>
  <c r="S241" i="2"/>
  <c r="S393" i="2"/>
  <c r="S595" i="2"/>
  <c r="S59" i="2"/>
  <c r="S558" i="2"/>
  <c r="S158" i="2"/>
  <c r="S566" i="2"/>
  <c r="S528" i="2"/>
  <c r="S453" i="2"/>
  <c r="S297" i="2"/>
  <c r="S161" i="2"/>
  <c r="S561" i="2"/>
  <c r="S368" i="2"/>
  <c r="S40" i="2"/>
  <c r="S345" i="2"/>
  <c r="S376" i="2"/>
  <c r="S239" i="2"/>
  <c r="S370" i="2"/>
  <c r="S101" i="2"/>
  <c r="S557" i="2"/>
  <c r="S572" i="2"/>
  <c r="S236" i="2"/>
  <c r="S444" i="2"/>
  <c r="S511" i="2"/>
  <c r="S390" i="2"/>
  <c r="S467" i="2"/>
  <c r="S363" i="2"/>
  <c r="S35" i="2"/>
  <c r="S84" i="2"/>
  <c r="S168" i="2"/>
  <c r="S77" i="2"/>
  <c r="S540" i="2"/>
  <c r="S596" i="2"/>
  <c r="S479" i="2"/>
  <c r="S552" i="2"/>
  <c r="S355" i="2"/>
  <c r="S594" i="2"/>
  <c r="S159" i="2"/>
  <c r="S98" i="2"/>
  <c r="S352" i="2"/>
  <c r="S28" i="2"/>
  <c r="S505" i="2"/>
  <c r="S433" i="2"/>
  <c r="S508" i="2"/>
  <c r="S234" i="2"/>
  <c r="S237" i="2"/>
  <c r="S321" i="2"/>
  <c r="S226" i="2"/>
  <c r="S325" i="2"/>
  <c r="S18" i="2"/>
  <c r="S217" i="2"/>
  <c r="S125" i="2"/>
  <c r="S3" i="2"/>
  <c r="S553" i="2"/>
  <c r="S575" i="2"/>
  <c r="S326" i="2"/>
  <c r="S251" i="2"/>
  <c r="S573" i="2"/>
  <c r="S581" i="2"/>
  <c r="S361" i="2"/>
  <c r="S203" i="2"/>
  <c r="S487" i="2"/>
  <c r="S366" i="2"/>
  <c r="S357" i="2"/>
  <c r="S255" i="2"/>
  <c r="S232" i="2"/>
  <c r="S121" i="2"/>
  <c r="S400" i="2"/>
  <c r="S146" i="2"/>
  <c r="S197" i="2"/>
  <c r="S440" i="2"/>
  <c r="S497" i="2"/>
  <c r="S329" i="2"/>
  <c r="S58" i="2"/>
  <c r="S110" i="2"/>
  <c r="S259" i="2"/>
  <c r="S360" i="2"/>
  <c r="S99" i="2"/>
  <c r="S52" i="2"/>
  <c r="S499" i="2"/>
  <c r="S287" i="2"/>
  <c r="S76" i="2"/>
  <c r="S148" i="2"/>
  <c r="S205" i="2"/>
  <c r="S526" i="2"/>
  <c r="S279" i="2"/>
  <c r="S33" i="2"/>
  <c r="S23" i="2"/>
  <c r="S394" i="2"/>
  <c r="S332" i="2"/>
  <c r="S92" i="2"/>
  <c r="S143" i="2"/>
  <c r="S562" i="2"/>
  <c r="S600" i="2"/>
  <c r="S515" i="2"/>
  <c r="S194" i="2"/>
  <c r="S372" i="2"/>
  <c r="S120" i="2"/>
  <c r="S419" i="2"/>
  <c r="S585" i="2"/>
  <c r="S533" i="2"/>
  <c r="S216" i="2"/>
  <c r="S154" i="2"/>
  <c r="S212" i="2"/>
  <c r="S26" i="2"/>
  <c r="S316" i="2"/>
  <c r="S474" i="2"/>
  <c r="S349" i="2"/>
  <c r="S153" i="2"/>
  <c r="S131" i="2"/>
  <c r="S343" i="2"/>
  <c r="S484" i="2"/>
  <c r="S527" i="2"/>
  <c r="S138" i="2"/>
  <c r="S100" i="2"/>
  <c r="S295" i="2"/>
  <c r="S111" i="2"/>
  <c r="S371" i="2"/>
  <c r="S446" i="2"/>
  <c r="S14" i="2"/>
  <c r="S403" i="2"/>
  <c r="S344" i="2"/>
  <c r="S160" i="2"/>
  <c r="S531" i="2"/>
  <c r="S443" i="2"/>
  <c r="S459" i="2"/>
  <c r="S559" i="2"/>
  <c r="S32" i="2"/>
  <c r="S87" i="2"/>
  <c r="S85" i="2"/>
  <c r="S314" i="2"/>
  <c r="S385" i="2"/>
  <c r="S265" i="2"/>
  <c r="S210" i="2"/>
  <c r="S204" i="2"/>
  <c r="S402" i="2"/>
  <c r="S93" i="2"/>
  <c r="S309" i="2"/>
  <c r="S501" i="2"/>
  <c r="S227" i="2"/>
  <c r="S166" i="2"/>
  <c r="S306" i="2"/>
  <c r="S155" i="2"/>
  <c r="S70" i="2"/>
  <c r="S5" i="2"/>
  <c r="S504" i="2"/>
  <c r="S53" i="2"/>
  <c r="S328" i="2"/>
  <c r="S284" i="2"/>
  <c r="S266" i="2"/>
  <c r="S62" i="2"/>
  <c r="S112" i="2"/>
  <c r="S46" i="2"/>
  <c r="S429" i="2"/>
  <c r="S500" i="2"/>
  <c r="S47" i="2"/>
  <c r="S317" i="2"/>
  <c r="S593" i="2"/>
  <c r="S289" i="2"/>
  <c r="S20" i="2"/>
  <c r="S481" i="2"/>
  <c r="S388" i="2"/>
  <c r="S222" i="2"/>
  <c r="S359" i="2"/>
  <c r="S520" i="2"/>
  <c r="S512" i="2"/>
  <c r="S428" i="2"/>
  <c r="S541" i="2"/>
  <c r="S180" i="2"/>
  <c r="S67" i="2"/>
  <c r="S493" i="2"/>
  <c r="S518" i="2"/>
  <c r="S377" i="2"/>
  <c r="S405" i="2"/>
  <c r="S274" i="2"/>
  <c r="S395" i="2"/>
  <c r="S9" i="2"/>
  <c r="S263" i="2"/>
  <c r="S249" i="2"/>
  <c r="S563" i="2"/>
  <c r="S416" i="2"/>
  <c r="S452" i="2"/>
  <c r="S296" i="2"/>
  <c r="S437" i="2"/>
  <c r="S513" i="2"/>
  <c r="S424" i="2"/>
  <c r="S483" i="2"/>
  <c r="S556" i="2"/>
  <c r="S201" i="2"/>
  <c r="S445" i="2"/>
  <c r="R303" i="2"/>
  <c r="R191" i="2"/>
  <c r="R288" i="2"/>
  <c r="R44" i="2"/>
  <c r="R560" i="2"/>
  <c r="R199" i="2"/>
  <c r="R415" i="2"/>
  <c r="R72" i="2"/>
  <c r="R17" i="2"/>
  <c r="R56" i="2"/>
  <c r="R231" i="2"/>
  <c r="R312" i="2"/>
  <c r="R496" i="2"/>
  <c r="R348" i="2"/>
  <c r="R509" i="2"/>
  <c r="R243" i="2"/>
  <c r="R469" i="2"/>
  <c r="R597" i="2"/>
  <c r="R8" i="2"/>
  <c r="R269" i="2"/>
  <c r="R142" i="2"/>
  <c r="R374" i="2"/>
  <c r="R430" i="2"/>
  <c r="R591" i="2"/>
  <c r="R554" i="2"/>
  <c r="R208" i="2"/>
  <c r="R539" i="2"/>
  <c r="R182" i="2"/>
  <c r="R64" i="2"/>
  <c r="R248" i="2"/>
  <c r="R365" i="2"/>
  <c r="R137" i="2"/>
  <c r="R498" i="2"/>
  <c r="R209" i="2"/>
  <c r="R576" i="2"/>
  <c r="R351" i="2"/>
  <c r="R281" i="2"/>
  <c r="R535" i="2"/>
  <c r="R4" i="2"/>
  <c r="R409" i="2"/>
  <c r="R272" i="2"/>
  <c r="R65" i="2"/>
  <c r="R408" i="2"/>
  <c r="R116" i="2"/>
  <c r="R485" i="2"/>
  <c r="R315" i="2"/>
  <c r="R587" i="2"/>
  <c r="R105" i="2"/>
  <c r="R253" i="2"/>
  <c r="R156" i="2"/>
  <c r="R267" i="2"/>
  <c r="R439" i="2"/>
  <c r="R397" i="2"/>
  <c r="R74" i="2"/>
  <c r="R57" i="2"/>
  <c r="R447" i="2"/>
  <c r="R55" i="2"/>
  <c r="R534" i="2"/>
  <c r="R19" i="2"/>
  <c r="R34" i="2"/>
  <c r="R181" i="2"/>
  <c r="R260" i="2"/>
  <c r="R308" i="2"/>
  <c r="R141" i="2"/>
  <c r="R129" i="2"/>
  <c r="R190" i="2"/>
  <c r="R468" i="2"/>
  <c r="R15" i="2"/>
  <c r="R127" i="2"/>
  <c r="R404" i="2"/>
  <c r="R460" i="2"/>
  <c r="R285" i="2"/>
  <c r="R450" i="2"/>
  <c r="R307" i="2"/>
  <c r="R183" i="2"/>
  <c r="R472" i="2"/>
  <c r="R2" i="2"/>
  <c r="R11" i="2"/>
  <c r="R413" i="2"/>
  <c r="R304" i="2"/>
  <c r="R157" i="2"/>
  <c r="R414" i="2"/>
  <c r="R577" i="2"/>
  <c r="R60" i="2"/>
  <c r="R238" i="2"/>
  <c r="R89" i="2"/>
  <c r="R571" i="2"/>
  <c r="R423" i="2"/>
  <c r="R95" i="2"/>
  <c r="R448" i="2"/>
  <c r="R229" i="2"/>
  <c r="R192" i="2"/>
  <c r="R331" i="2"/>
  <c r="R109" i="2"/>
  <c r="R524" i="2"/>
  <c r="R195" i="2"/>
  <c r="R336" i="2"/>
  <c r="R25" i="2"/>
  <c r="R128" i="2"/>
  <c r="R494" i="2"/>
  <c r="R401" i="2"/>
  <c r="R150" i="2"/>
  <c r="R431" i="2"/>
  <c r="R162" i="2"/>
  <c r="R139" i="2"/>
  <c r="R529" i="2"/>
  <c r="R339" i="2"/>
  <c r="R383" i="2"/>
  <c r="R163" i="2"/>
  <c r="R16" i="2"/>
  <c r="R542" i="2"/>
  <c r="R412" i="2"/>
  <c r="R482" i="2"/>
  <c r="R599" i="2"/>
  <c r="R391" i="2"/>
  <c r="R134" i="2"/>
  <c r="R117" i="2"/>
  <c r="R13" i="2"/>
  <c r="R122" i="2"/>
  <c r="R256" i="2"/>
  <c r="R586" i="2"/>
  <c r="R425" i="2"/>
  <c r="R305" i="2"/>
  <c r="R399" i="2"/>
  <c r="R63" i="2"/>
  <c r="R78" i="2"/>
  <c r="R39" i="2"/>
  <c r="R386" i="2"/>
  <c r="R140" i="2"/>
  <c r="R523" i="2"/>
  <c r="R187" i="2"/>
  <c r="R102" i="2"/>
  <c r="R580" i="2"/>
  <c r="R273" i="2"/>
  <c r="R219" i="2"/>
  <c r="R151" i="2"/>
  <c r="R477" i="2"/>
  <c r="R268" i="2"/>
  <c r="R489" i="2"/>
  <c r="R80" i="2"/>
  <c r="R257" i="2"/>
  <c r="R66" i="2"/>
  <c r="R486" i="2"/>
  <c r="R286" i="2"/>
  <c r="R373" i="2"/>
  <c r="R12" i="2"/>
  <c r="R341" i="2"/>
  <c r="R457" i="2"/>
  <c r="R567" i="2"/>
  <c r="R311" i="2"/>
  <c r="R213" i="2"/>
  <c r="R346" i="2"/>
  <c r="R323" i="2"/>
  <c r="R516" i="2"/>
  <c r="R252" i="2"/>
  <c r="R132" i="2"/>
  <c r="R173" i="2"/>
  <c r="R382" i="2"/>
  <c r="R88" i="2"/>
  <c r="R536" i="2"/>
  <c r="R503" i="2"/>
  <c r="R538" i="2"/>
  <c r="R152" i="2"/>
  <c r="R463" i="2"/>
  <c r="R480" i="2"/>
  <c r="R456" i="2"/>
  <c r="R75" i="2"/>
  <c r="R97" i="2"/>
  <c r="R206" i="2"/>
  <c r="R537" i="2"/>
  <c r="R221" i="2"/>
  <c r="R136" i="2"/>
  <c r="R106" i="2"/>
  <c r="R568" i="2"/>
  <c r="R214" i="2"/>
  <c r="R488" i="2"/>
  <c r="R81" i="2"/>
  <c r="R41" i="2"/>
  <c r="R543" i="2"/>
  <c r="R276" i="2"/>
  <c r="R570" i="2"/>
  <c r="R215" i="2"/>
  <c r="R451" i="2"/>
  <c r="R547" i="2"/>
  <c r="R250" i="2"/>
  <c r="R290" i="2"/>
  <c r="R502" i="2"/>
  <c r="R225" i="2"/>
  <c r="R364" i="2"/>
  <c r="R550" i="2"/>
  <c r="R478" i="2"/>
  <c r="R42" i="2"/>
  <c r="R530" i="2"/>
  <c r="R169" i="2"/>
  <c r="R379" i="2"/>
  <c r="R411" i="2"/>
  <c r="R476" i="2"/>
  <c r="R103" i="2"/>
  <c r="R421" i="2"/>
  <c r="R45" i="2"/>
  <c r="R420" i="2"/>
  <c r="R79" i="2"/>
  <c r="R261" i="2"/>
  <c r="R569" i="2"/>
  <c r="R407" i="2"/>
  <c r="R61" i="2"/>
  <c r="R532" i="2"/>
  <c r="R458" i="2"/>
  <c r="R113" i="2"/>
  <c r="R10" i="2"/>
  <c r="R202" i="2"/>
  <c r="R510" i="2"/>
  <c r="R327" i="2"/>
  <c r="R91" i="2"/>
  <c r="R50" i="2"/>
  <c r="R396" i="2"/>
  <c r="R185" i="2"/>
  <c r="R490" i="2"/>
  <c r="R507" i="2"/>
  <c r="R461" i="2"/>
  <c r="R29" i="2"/>
  <c r="R387" i="2"/>
  <c r="R177" i="2"/>
  <c r="R473" i="2"/>
  <c r="R470" i="2"/>
  <c r="R71" i="2"/>
  <c r="R320" i="2"/>
  <c r="R277" i="2"/>
  <c r="R333" i="2"/>
  <c r="R426" i="2"/>
  <c r="R519" i="2"/>
  <c r="R31" i="2"/>
  <c r="R579" i="2"/>
  <c r="R356" i="2"/>
  <c r="R378" i="2"/>
  <c r="R218" i="2"/>
  <c r="R381" i="2"/>
  <c r="R130" i="2"/>
  <c r="R230" i="2"/>
  <c r="R114" i="2"/>
  <c r="R242" i="2"/>
  <c r="R37" i="2"/>
  <c r="R582" i="2"/>
  <c r="R495" i="2"/>
  <c r="R228" i="2"/>
  <c r="R340" i="2"/>
  <c r="R342" i="2"/>
  <c r="R375" i="2"/>
  <c r="R254" i="2"/>
  <c r="R178" i="2"/>
  <c r="R115" i="2"/>
  <c r="R7" i="2"/>
  <c r="R147" i="2"/>
  <c r="R68" i="2"/>
  <c r="R135" i="2"/>
  <c r="R545" i="2"/>
  <c r="R574" i="2"/>
  <c r="R583" i="2"/>
  <c r="R302" i="2"/>
  <c r="R471" i="2"/>
  <c r="R179" i="2"/>
  <c r="R492" i="2"/>
  <c r="R592" i="2"/>
  <c r="R170" i="2"/>
  <c r="R171" i="2"/>
  <c r="R174" i="2"/>
  <c r="R27" i="2"/>
  <c r="R175" i="2"/>
  <c r="R588" i="2"/>
  <c r="R462" i="2"/>
  <c r="R107" i="2"/>
  <c r="R144" i="2"/>
  <c r="R196" i="2"/>
  <c r="R338" i="2"/>
  <c r="R330" i="2"/>
  <c r="R164" i="2"/>
  <c r="R294" i="2"/>
  <c r="R245" i="2"/>
  <c r="R398" i="2"/>
  <c r="R549" i="2"/>
  <c r="R350" i="2"/>
  <c r="R301" i="2"/>
  <c r="R275" i="2"/>
  <c r="R442" i="2"/>
  <c r="R491" i="2"/>
  <c r="R270" i="2"/>
  <c r="R48" i="2"/>
  <c r="R578" i="2"/>
  <c r="R299" i="2"/>
  <c r="R525" i="2"/>
  <c r="R188" i="2"/>
  <c r="R123" i="2"/>
  <c r="R6" i="2"/>
  <c r="R362" i="2"/>
  <c r="R258" i="2"/>
  <c r="R118" i="2"/>
  <c r="R544" i="2"/>
  <c r="R438" i="2"/>
  <c r="R389" i="2"/>
  <c r="R434" i="2"/>
  <c r="R189" i="2"/>
  <c r="R514" i="2"/>
  <c r="R176" i="2"/>
  <c r="R422" i="2"/>
  <c r="R358" i="2"/>
  <c r="R280" i="2"/>
  <c r="R291" i="2"/>
  <c r="R246" i="2"/>
  <c r="R521" i="2"/>
  <c r="R565" i="2"/>
  <c r="R322" i="2"/>
  <c r="R384" i="2"/>
  <c r="R435" i="2"/>
  <c r="R235" i="2"/>
  <c r="R49" i="2"/>
  <c r="R464" i="2"/>
  <c r="R54" i="2"/>
  <c r="R126" i="2"/>
  <c r="R353" i="2"/>
  <c r="R108" i="2"/>
  <c r="R347" i="2"/>
  <c r="R436" i="2"/>
  <c r="R247" i="2"/>
  <c r="R406" i="2"/>
  <c r="R598" i="2"/>
  <c r="R517" i="2"/>
  <c r="R82" i="2"/>
  <c r="R240" i="2"/>
  <c r="R410" i="2"/>
  <c r="R21" i="2"/>
  <c r="R300" i="2"/>
  <c r="R392" i="2"/>
  <c r="R172" i="2"/>
  <c r="R564" i="2"/>
  <c r="R522" i="2"/>
  <c r="R145" i="2"/>
  <c r="R73" i="2"/>
  <c r="R475" i="2"/>
  <c r="R590" i="2"/>
  <c r="R293" i="2"/>
  <c r="R337" i="2"/>
  <c r="R119" i="2"/>
  <c r="R94" i="2"/>
  <c r="R104" i="2"/>
  <c r="R69" i="2"/>
  <c r="R22" i="2"/>
  <c r="R51" i="2"/>
  <c r="R324" i="2"/>
  <c r="R165" i="2"/>
  <c r="R506" i="2"/>
  <c r="R278" i="2"/>
  <c r="R466" i="2"/>
  <c r="R417" i="2"/>
  <c r="R186" i="2"/>
  <c r="R207" i="2"/>
  <c r="R335" i="2"/>
  <c r="R283" i="2"/>
  <c r="R282" i="2"/>
  <c r="R30" i="2"/>
  <c r="R220" i="2"/>
  <c r="R124" i="2"/>
  <c r="R555" i="2"/>
  <c r="R149" i="2"/>
  <c r="R318" i="2"/>
  <c r="R38" i="2"/>
  <c r="R233" i="2"/>
  <c r="R262" i="2"/>
  <c r="R380" i="2"/>
  <c r="R86" i="2"/>
  <c r="R548" i="2"/>
  <c r="R334" i="2"/>
  <c r="R354" i="2"/>
  <c r="R133" i="2"/>
  <c r="R369" i="2"/>
  <c r="R211" i="2"/>
  <c r="R90" i="2"/>
  <c r="R589" i="2"/>
  <c r="R184" i="2"/>
  <c r="R271" i="2"/>
  <c r="R367" i="2"/>
  <c r="R298" i="2"/>
  <c r="R546" i="2"/>
  <c r="R96" i="2"/>
  <c r="R418" i="2"/>
  <c r="R200" i="2"/>
  <c r="R454" i="2"/>
  <c r="R36" i="2"/>
  <c r="R432" i="2"/>
  <c r="R198" i="2"/>
  <c r="R319" i="2"/>
  <c r="R223" i="2"/>
  <c r="R83" i="2"/>
  <c r="R264" i="2"/>
  <c r="R24" i="2"/>
  <c r="R441" i="2"/>
  <c r="R584" i="2"/>
  <c r="R449" i="2"/>
  <c r="R43" i="2"/>
  <c r="R244" i="2"/>
  <c r="R224" i="2"/>
  <c r="R313" i="2"/>
  <c r="R465" i="2"/>
  <c r="R427" i="2"/>
  <c r="R455" i="2"/>
  <c r="R167" i="2"/>
  <c r="R292" i="2"/>
  <c r="R310" i="2"/>
  <c r="R193" i="2"/>
  <c r="R241" i="2"/>
  <c r="R393" i="2"/>
  <c r="R595" i="2"/>
  <c r="R59" i="2"/>
  <c r="R558" i="2"/>
  <c r="R158" i="2"/>
  <c r="R566" i="2"/>
  <c r="R528" i="2"/>
  <c r="R453" i="2"/>
  <c r="R297" i="2"/>
  <c r="R161" i="2"/>
  <c r="R561" i="2"/>
  <c r="R368" i="2"/>
  <c r="R40" i="2"/>
  <c r="R345" i="2"/>
  <c r="R376" i="2"/>
  <c r="R239" i="2"/>
  <c r="R370" i="2"/>
  <c r="R101" i="2"/>
  <c r="R557" i="2"/>
  <c r="R572" i="2"/>
  <c r="R236" i="2"/>
  <c r="R444" i="2"/>
  <c r="R511" i="2"/>
  <c r="R390" i="2"/>
  <c r="R467" i="2"/>
  <c r="R363" i="2"/>
  <c r="R35" i="2"/>
  <c r="R84" i="2"/>
  <c r="R168" i="2"/>
  <c r="R77" i="2"/>
  <c r="R540" i="2"/>
  <c r="R596" i="2"/>
  <c r="R479" i="2"/>
  <c r="R552" i="2"/>
  <c r="R355" i="2"/>
  <c r="R594" i="2"/>
  <c r="R159" i="2"/>
  <c r="R98" i="2"/>
  <c r="R352" i="2"/>
  <c r="R28" i="2"/>
  <c r="R505" i="2"/>
  <c r="R433" i="2"/>
  <c r="R508" i="2"/>
  <c r="R234" i="2"/>
  <c r="R237" i="2"/>
  <c r="R321" i="2"/>
  <c r="R226" i="2"/>
  <c r="R325" i="2"/>
  <c r="R18" i="2"/>
  <c r="R217" i="2"/>
  <c r="R125" i="2"/>
  <c r="R3" i="2"/>
  <c r="R553" i="2"/>
  <c r="R575" i="2"/>
  <c r="R326" i="2"/>
  <c r="R251" i="2"/>
  <c r="R573" i="2"/>
  <c r="R581" i="2"/>
  <c r="R361" i="2"/>
  <c r="R203" i="2"/>
  <c r="R487" i="2"/>
  <c r="R366" i="2"/>
  <c r="R357" i="2"/>
  <c r="R255" i="2"/>
  <c r="R232" i="2"/>
  <c r="R121" i="2"/>
  <c r="R400" i="2"/>
  <c r="R146" i="2"/>
  <c r="R197" i="2"/>
  <c r="R440" i="2"/>
  <c r="R497" i="2"/>
  <c r="R329" i="2"/>
  <c r="R58" i="2"/>
  <c r="R110" i="2"/>
  <c r="R259" i="2"/>
  <c r="R360" i="2"/>
  <c r="R99" i="2"/>
  <c r="R52" i="2"/>
  <c r="R499" i="2"/>
  <c r="R287" i="2"/>
  <c r="R76" i="2"/>
  <c r="R148" i="2"/>
  <c r="R205" i="2"/>
  <c r="R526" i="2"/>
  <c r="R279" i="2"/>
  <c r="R33" i="2"/>
  <c r="R23" i="2"/>
  <c r="R394" i="2"/>
  <c r="R332" i="2"/>
  <c r="R92" i="2"/>
  <c r="R143" i="2"/>
  <c r="R562" i="2"/>
  <c r="R600" i="2"/>
  <c r="R515" i="2"/>
  <c r="R194" i="2"/>
  <c r="R372" i="2"/>
  <c r="R120" i="2"/>
  <c r="R419" i="2"/>
  <c r="R585" i="2"/>
  <c r="R533" i="2"/>
  <c r="R216" i="2"/>
  <c r="R154" i="2"/>
  <c r="R212" i="2"/>
  <c r="R26" i="2"/>
  <c r="R316" i="2"/>
  <c r="R474" i="2"/>
  <c r="R349" i="2"/>
  <c r="R153" i="2"/>
  <c r="R131" i="2"/>
  <c r="R343" i="2"/>
  <c r="R484" i="2"/>
  <c r="R527" i="2"/>
  <c r="R138" i="2"/>
  <c r="R100" i="2"/>
  <c r="R295" i="2"/>
  <c r="R111" i="2"/>
  <c r="R371" i="2"/>
  <c r="R446" i="2"/>
  <c r="R14" i="2"/>
  <c r="R403" i="2"/>
  <c r="R344" i="2"/>
  <c r="R160" i="2"/>
  <c r="R531" i="2"/>
  <c r="R443" i="2"/>
  <c r="R459" i="2"/>
  <c r="R559" i="2"/>
  <c r="R32" i="2"/>
  <c r="R87" i="2"/>
  <c r="R85" i="2"/>
  <c r="R314" i="2"/>
  <c r="R385" i="2"/>
  <c r="R265" i="2"/>
  <c r="R210" i="2"/>
  <c r="R204" i="2"/>
  <c r="R402" i="2"/>
  <c r="R93" i="2"/>
  <c r="R309" i="2"/>
  <c r="R501" i="2"/>
  <c r="R227" i="2"/>
  <c r="R166" i="2"/>
  <c r="R306" i="2"/>
  <c r="R155" i="2"/>
  <c r="R70" i="2"/>
  <c r="R5" i="2"/>
  <c r="R504" i="2"/>
  <c r="R53" i="2"/>
  <c r="R328" i="2"/>
  <c r="R284" i="2"/>
  <c r="R266" i="2"/>
  <c r="R62" i="2"/>
  <c r="R112" i="2"/>
  <c r="R46" i="2"/>
  <c r="R429" i="2"/>
  <c r="R500" i="2"/>
  <c r="R47" i="2"/>
  <c r="R317" i="2"/>
  <c r="R593" i="2"/>
  <c r="R289" i="2"/>
  <c r="R20" i="2"/>
  <c r="R481" i="2"/>
  <c r="R388" i="2"/>
  <c r="R222" i="2"/>
  <c r="R359" i="2"/>
  <c r="R520" i="2"/>
  <c r="R512" i="2"/>
  <c r="R428" i="2"/>
  <c r="R541" i="2"/>
  <c r="R180" i="2"/>
  <c r="R67" i="2"/>
  <c r="R493" i="2"/>
  <c r="R518" i="2"/>
  <c r="R377" i="2"/>
  <c r="R405" i="2"/>
  <c r="R274" i="2"/>
  <c r="R395" i="2"/>
  <c r="R9" i="2"/>
  <c r="R263" i="2"/>
  <c r="R249" i="2"/>
  <c r="R563" i="2"/>
  <c r="R416" i="2"/>
  <c r="R452" i="2"/>
  <c r="R296" i="2"/>
  <c r="R437" i="2"/>
  <c r="R513" i="2"/>
  <c r="R424" i="2"/>
  <c r="R483" i="2"/>
  <c r="R556" i="2"/>
  <c r="R201" i="2"/>
  <c r="R445" i="2"/>
  <c r="Q303" i="2"/>
  <c r="Q191" i="2"/>
  <c r="Q288" i="2"/>
  <c r="Q44" i="2"/>
  <c r="Q560" i="2"/>
  <c r="Q199" i="2"/>
  <c r="Q415" i="2"/>
  <c r="Q72" i="2"/>
  <c r="Q17" i="2"/>
  <c r="Q56" i="2"/>
  <c r="Q231" i="2"/>
  <c r="Q312" i="2"/>
  <c r="Q496" i="2"/>
  <c r="Q348" i="2"/>
  <c r="Q509" i="2"/>
  <c r="Q243" i="2"/>
  <c r="Q469" i="2"/>
  <c r="Q597" i="2"/>
  <c r="Q8" i="2"/>
  <c r="Q269" i="2"/>
  <c r="Q142" i="2"/>
  <c r="Q374" i="2"/>
  <c r="Q430" i="2"/>
  <c r="Q591" i="2"/>
  <c r="Q554" i="2"/>
  <c r="Q208" i="2"/>
  <c r="Q539" i="2"/>
  <c r="Q182" i="2"/>
  <c r="Q64" i="2"/>
  <c r="Q248" i="2"/>
  <c r="Q365" i="2"/>
  <c r="Q137" i="2"/>
  <c r="Q498" i="2"/>
  <c r="Q209" i="2"/>
  <c r="Q576" i="2"/>
  <c r="Q351" i="2"/>
  <c r="Q281" i="2"/>
  <c r="Q535" i="2"/>
  <c r="Q4" i="2"/>
  <c r="Q409" i="2"/>
  <c r="Q272" i="2"/>
  <c r="Q65" i="2"/>
  <c r="Q408" i="2"/>
  <c r="Q116" i="2"/>
  <c r="Q485" i="2"/>
  <c r="Q315" i="2"/>
  <c r="Q587" i="2"/>
  <c r="Q105" i="2"/>
  <c r="Q253" i="2"/>
  <c r="Q156" i="2"/>
  <c r="Q267" i="2"/>
  <c r="Q439" i="2"/>
  <c r="Q397" i="2"/>
  <c r="Q74" i="2"/>
  <c r="Q57" i="2"/>
  <c r="Q447" i="2"/>
  <c r="Q55" i="2"/>
  <c r="Q534" i="2"/>
  <c r="Q19" i="2"/>
  <c r="Q34" i="2"/>
  <c r="Q181" i="2"/>
  <c r="Q260" i="2"/>
  <c r="Q308" i="2"/>
  <c r="Q141" i="2"/>
  <c r="Q129" i="2"/>
  <c r="Q190" i="2"/>
  <c r="Q468" i="2"/>
  <c r="Q15" i="2"/>
  <c r="Q127" i="2"/>
  <c r="Q404" i="2"/>
  <c r="Q460" i="2"/>
  <c r="Q285" i="2"/>
  <c r="Q450" i="2"/>
  <c r="Q307" i="2"/>
  <c r="Q183" i="2"/>
  <c r="Q472" i="2"/>
  <c r="Q2" i="2"/>
  <c r="Q11" i="2"/>
  <c r="Q413" i="2"/>
  <c r="Q304" i="2"/>
  <c r="Q157" i="2"/>
  <c r="Q414" i="2"/>
  <c r="Q577" i="2"/>
  <c r="Q60" i="2"/>
  <c r="Q238" i="2"/>
  <c r="Q89" i="2"/>
  <c r="Q571" i="2"/>
  <c r="Q423" i="2"/>
  <c r="Q95" i="2"/>
  <c r="Q448" i="2"/>
  <c r="Q229" i="2"/>
  <c r="Q192" i="2"/>
  <c r="Q331" i="2"/>
  <c r="Q109" i="2"/>
  <c r="Q524" i="2"/>
  <c r="Q195" i="2"/>
  <c r="Q336" i="2"/>
  <c r="Q25" i="2"/>
  <c r="Q128" i="2"/>
  <c r="Q494" i="2"/>
  <c r="Q401" i="2"/>
  <c r="Q150" i="2"/>
  <c r="Q431" i="2"/>
  <c r="Q162" i="2"/>
  <c r="Q139" i="2"/>
  <c r="Q529" i="2"/>
  <c r="Q339" i="2"/>
  <c r="Q383" i="2"/>
  <c r="Q163" i="2"/>
  <c r="Q16" i="2"/>
  <c r="Q542" i="2"/>
  <c r="Q412" i="2"/>
  <c r="Q482" i="2"/>
  <c r="Q599" i="2"/>
  <c r="Q391" i="2"/>
  <c r="Q134" i="2"/>
  <c r="Q117" i="2"/>
  <c r="Q13" i="2"/>
  <c r="Q122" i="2"/>
  <c r="Q256" i="2"/>
  <c r="Q586" i="2"/>
  <c r="Q425" i="2"/>
  <c r="Q305" i="2"/>
  <c r="Q399" i="2"/>
  <c r="Q63" i="2"/>
  <c r="Q78" i="2"/>
  <c r="Q39" i="2"/>
  <c r="Q386" i="2"/>
  <c r="Q140" i="2"/>
  <c r="Q523" i="2"/>
  <c r="Q187" i="2"/>
  <c r="Q102" i="2"/>
  <c r="Q580" i="2"/>
  <c r="Q273" i="2"/>
  <c r="Q219" i="2"/>
  <c r="Q151" i="2"/>
  <c r="Q477" i="2"/>
  <c r="Q268" i="2"/>
  <c r="Q489" i="2"/>
  <c r="Q80" i="2"/>
  <c r="Q257" i="2"/>
  <c r="Q66" i="2"/>
  <c r="Q486" i="2"/>
  <c r="Q286" i="2"/>
  <c r="Q373" i="2"/>
  <c r="Q12" i="2"/>
  <c r="Q341" i="2"/>
  <c r="Q457" i="2"/>
  <c r="Q567" i="2"/>
  <c r="Q311" i="2"/>
  <c r="Q213" i="2"/>
  <c r="Q346" i="2"/>
  <c r="Q323" i="2"/>
  <c r="Q516" i="2"/>
  <c r="Q252" i="2"/>
  <c r="Q132" i="2"/>
  <c r="Q173" i="2"/>
  <c r="Q382" i="2"/>
  <c r="Q88" i="2"/>
  <c r="Q536" i="2"/>
  <c r="Q503" i="2"/>
  <c r="Q538" i="2"/>
  <c r="Q152" i="2"/>
  <c r="Q463" i="2"/>
  <c r="Q480" i="2"/>
  <c r="Q456" i="2"/>
  <c r="Q75" i="2"/>
  <c r="Q97" i="2"/>
  <c r="Q206" i="2"/>
  <c r="Q537" i="2"/>
  <c r="Q221" i="2"/>
  <c r="Q136" i="2"/>
  <c r="Q106" i="2"/>
  <c r="Q568" i="2"/>
  <c r="Q214" i="2"/>
  <c r="Q488" i="2"/>
  <c r="Q81" i="2"/>
  <c r="Q41" i="2"/>
  <c r="Q543" i="2"/>
  <c r="Q276" i="2"/>
  <c r="Q570" i="2"/>
  <c r="Q215" i="2"/>
  <c r="Q451" i="2"/>
  <c r="Q547" i="2"/>
  <c r="Q250" i="2"/>
  <c r="Q290" i="2"/>
  <c r="Q502" i="2"/>
  <c r="Q225" i="2"/>
  <c r="Q364" i="2"/>
  <c r="Q550" i="2"/>
  <c r="Q478" i="2"/>
  <c r="Q42" i="2"/>
  <c r="Q530" i="2"/>
  <c r="Q169" i="2"/>
  <c r="Q379" i="2"/>
  <c r="Q411" i="2"/>
  <c r="Q476" i="2"/>
  <c r="Q103" i="2"/>
  <c r="Q421" i="2"/>
  <c r="Q45" i="2"/>
  <c r="Q420" i="2"/>
  <c r="Q79" i="2"/>
  <c r="Q261" i="2"/>
  <c r="Q569" i="2"/>
  <c r="Q407" i="2"/>
  <c r="Q61" i="2"/>
  <c r="Q532" i="2"/>
  <c r="Q458" i="2"/>
  <c r="Q113" i="2"/>
  <c r="Q10" i="2"/>
  <c r="Q202" i="2"/>
  <c r="Q510" i="2"/>
  <c r="Q327" i="2"/>
  <c r="Q91" i="2"/>
  <c r="Q50" i="2"/>
  <c r="Q396" i="2"/>
  <c r="Q185" i="2"/>
  <c r="Q490" i="2"/>
  <c r="Q507" i="2"/>
  <c r="Q461" i="2"/>
  <c r="Q29" i="2"/>
  <c r="Q387" i="2"/>
  <c r="Q177" i="2"/>
  <c r="Q473" i="2"/>
  <c r="Q470" i="2"/>
  <c r="Q71" i="2"/>
  <c r="Q320" i="2"/>
  <c r="Q277" i="2"/>
  <c r="Q333" i="2"/>
  <c r="Q426" i="2"/>
  <c r="Q519" i="2"/>
  <c r="Q31" i="2"/>
  <c r="Q579" i="2"/>
  <c r="Q356" i="2"/>
  <c r="Q378" i="2"/>
  <c r="Q218" i="2"/>
  <c r="Q381" i="2"/>
  <c r="Q130" i="2"/>
  <c r="Q230" i="2"/>
  <c r="Q114" i="2"/>
  <c r="Q242" i="2"/>
  <c r="Q37" i="2"/>
  <c r="Q582" i="2"/>
  <c r="Q495" i="2"/>
  <c r="Q228" i="2"/>
  <c r="Q340" i="2"/>
  <c r="Q342" i="2"/>
  <c r="Q375" i="2"/>
  <c r="Q254" i="2"/>
  <c r="Q178" i="2"/>
  <c r="Q115" i="2"/>
  <c r="Q7" i="2"/>
  <c r="Q147" i="2"/>
  <c r="Q68" i="2"/>
  <c r="Q135" i="2"/>
  <c r="Q545" i="2"/>
  <c r="Q574" i="2"/>
  <c r="Q583" i="2"/>
  <c r="Q302" i="2"/>
  <c r="Q471" i="2"/>
  <c r="Q179" i="2"/>
  <c r="Q492" i="2"/>
  <c r="Q592" i="2"/>
  <c r="Q170" i="2"/>
  <c r="Q171" i="2"/>
  <c r="Q174" i="2"/>
  <c r="Q27" i="2"/>
  <c r="Q175" i="2"/>
  <c r="Q588" i="2"/>
  <c r="Q462" i="2"/>
  <c r="Q107" i="2"/>
  <c r="Q144" i="2"/>
  <c r="Q196" i="2"/>
  <c r="Q338" i="2"/>
  <c r="Q330" i="2"/>
  <c r="Q164" i="2"/>
  <c r="Q294" i="2"/>
  <c r="Q245" i="2"/>
  <c r="Q398" i="2"/>
  <c r="Q549" i="2"/>
  <c r="Q350" i="2"/>
  <c r="Q301" i="2"/>
  <c r="Q275" i="2"/>
  <c r="Q442" i="2"/>
  <c r="Q491" i="2"/>
  <c r="Q270" i="2"/>
  <c r="Q48" i="2"/>
  <c r="Q578" i="2"/>
  <c r="Q299" i="2"/>
  <c r="Q525" i="2"/>
  <c r="Q188" i="2"/>
  <c r="Q123" i="2"/>
  <c r="Q6" i="2"/>
  <c r="Q362" i="2"/>
  <c r="Q258" i="2"/>
  <c r="Q118" i="2"/>
  <c r="Q544" i="2"/>
  <c r="Q438" i="2"/>
  <c r="Q389" i="2"/>
  <c r="Q434" i="2"/>
  <c r="Q189" i="2"/>
  <c r="Q514" i="2"/>
  <c r="Q176" i="2"/>
  <c r="Q422" i="2"/>
  <c r="Q358" i="2"/>
  <c r="Q280" i="2"/>
  <c r="Q291" i="2"/>
  <c r="Q246" i="2"/>
  <c r="Q521" i="2"/>
  <c r="Q565" i="2"/>
  <c r="Q322" i="2"/>
  <c r="Q384" i="2"/>
  <c r="Q435" i="2"/>
  <c r="Q235" i="2"/>
  <c r="Q49" i="2"/>
  <c r="Q464" i="2"/>
  <c r="Q54" i="2"/>
  <c r="Q126" i="2"/>
  <c r="Q353" i="2"/>
  <c r="Q108" i="2"/>
  <c r="Q347" i="2"/>
  <c r="Q436" i="2"/>
  <c r="Q247" i="2"/>
  <c r="Q406" i="2"/>
  <c r="Q598" i="2"/>
  <c r="Q517" i="2"/>
  <c r="Q82" i="2"/>
  <c r="Q240" i="2"/>
  <c r="Q410" i="2"/>
  <c r="Q21" i="2"/>
  <c r="Q300" i="2"/>
  <c r="Q392" i="2"/>
  <c r="Q172" i="2"/>
  <c r="Q564" i="2"/>
  <c r="Q522" i="2"/>
  <c r="Q145" i="2"/>
  <c r="Q73" i="2"/>
  <c r="Q475" i="2"/>
  <c r="Q590" i="2"/>
  <c r="Q293" i="2"/>
  <c r="Q337" i="2"/>
  <c r="Q119" i="2"/>
  <c r="Q94" i="2"/>
  <c r="Q104" i="2"/>
  <c r="Q69" i="2"/>
  <c r="Q22" i="2"/>
  <c r="Q51" i="2"/>
  <c r="Q324" i="2"/>
  <c r="Q165" i="2"/>
  <c r="Q506" i="2"/>
  <c r="Q278" i="2"/>
  <c r="Q466" i="2"/>
  <c r="Q417" i="2"/>
  <c r="Q186" i="2"/>
  <c r="Q207" i="2"/>
  <c r="Q335" i="2"/>
  <c r="Q283" i="2"/>
  <c r="Q282" i="2"/>
  <c r="Q30" i="2"/>
  <c r="Q220" i="2"/>
  <c r="Q124" i="2"/>
  <c r="Q555" i="2"/>
  <c r="Q149" i="2"/>
  <c r="Q318" i="2"/>
  <c r="Q38" i="2"/>
  <c r="Q233" i="2"/>
  <c r="Q262" i="2"/>
  <c r="Q380" i="2"/>
  <c r="Q86" i="2"/>
  <c r="Q548" i="2"/>
  <c r="Q334" i="2"/>
  <c r="Q354" i="2"/>
  <c r="Q133" i="2"/>
  <c r="Q369" i="2"/>
  <c r="Q211" i="2"/>
  <c r="Q90" i="2"/>
  <c r="Q589" i="2"/>
  <c r="Q184" i="2"/>
  <c r="Q271" i="2"/>
  <c r="Q367" i="2"/>
  <c r="Q298" i="2"/>
  <c r="Q546" i="2"/>
  <c r="Q96" i="2"/>
  <c r="Q418" i="2"/>
  <c r="Q200" i="2"/>
  <c r="Q454" i="2"/>
  <c r="Q36" i="2"/>
  <c r="Q432" i="2"/>
  <c r="Q198" i="2"/>
  <c r="Q319" i="2"/>
  <c r="Q223" i="2"/>
  <c r="Q83" i="2"/>
  <c r="Q264" i="2"/>
  <c r="Q24" i="2"/>
  <c r="Q441" i="2"/>
  <c r="Q584" i="2"/>
  <c r="Q449" i="2"/>
  <c r="Q43" i="2"/>
  <c r="Q244" i="2"/>
  <c r="Q224" i="2"/>
  <c r="Q313" i="2"/>
  <c r="Q465" i="2"/>
  <c r="Q427" i="2"/>
  <c r="Q455" i="2"/>
  <c r="Q167" i="2"/>
  <c r="Q292" i="2"/>
  <c r="Q310" i="2"/>
  <c r="Q193" i="2"/>
  <c r="Q241" i="2"/>
  <c r="Q393" i="2"/>
  <c r="Q595" i="2"/>
  <c r="Q59" i="2"/>
  <c r="Q558" i="2"/>
  <c r="Q158" i="2"/>
  <c r="Q566" i="2"/>
  <c r="Q528" i="2"/>
  <c r="Q453" i="2"/>
  <c r="Q297" i="2"/>
  <c r="Q161" i="2"/>
  <c r="Q561" i="2"/>
  <c r="Q368" i="2"/>
  <c r="Q40" i="2"/>
  <c r="Q345" i="2"/>
  <c r="Q376" i="2"/>
  <c r="Q239" i="2"/>
  <c r="Q370" i="2"/>
  <c r="Q101" i="2"/>
  <c r="Q557" i="2"/>
  <c r="Q572" i="2"/>
  <c r="Q236" i="2"/>
  <c r="Q444" i="2"/>
  <c r="Q511" i="2"/>
  <c r="Q390" i="2"/>
  <c r="Q467" i="2"/>
  <c r="Q363" i="2"/>
  <c r="Q35" i="2"/>
  <c r="Q84" i="2"/>
  <c r="Q168" i="2"/>
  <c r="Q77" i="2"/>
  <c r="Q540" i="2"/>
  <c r="Q596" i="2"/>
  <c r="Q479" i="2"/>
  <c r="Q552" i="2"/>
  <c r="Q355" i="2"/>
  <c r="Q594" i="2"/>
  <c r="Q159" i="2"/>
  <c r="Q98" i="2"/>
  <c r="Q352" i="2"/>
  <c r="Q28" i="2"/>
  <c r="Q505" i="2"/>
  <c r="Q433" i="2"/>
  <c r="Q508" i="2"/>
  <c r="Q234" i="2"/>
  <c r="Q237" i="2"/>
  <c r="Q321" i="2"/>
  <c r="Q226" i="2"/>
  <c r="Q325" i="2"/>
  <c r="Q18" i="2"/>
  <c r="Q217" i="2"/>
  <c r="Q125" i="2"/>
  <c r="Q3" i="2"/>
  <c r="Q553" i="2"/>
  <c r="Q575" i="2"/>
  <c r="Q326" i="2"/>
  <c r="Q251" i="2"/>
  <c r="Q573" i="2"/>
  <c r="Q581" i="2"/>
  <c r="Q361" i="2"/>
  <c r="Q203" i="2"/>
  <c r="Q487" i="2"/>
  <c r="Q366" i="2"/>
  <c r="Q357" i="2"/>
  <c r="Q255" i="2"/>
  <c r="Q232" i="2"/>
  <c r="Q121" i="2"/>
  <c r="Q400" i="2"/>
  <c r="Q146" i="2"/>
  <c r="Q197" i="2"/>
  <c r="Q440" i="2"/>
  <c r="Q497" i="2"/>
  <c r="Q329" i="2"/>
  <c r="Q58" i="2"/>
  <c r="Q110" i="2"/>
  <c r="Q259" i="2"/>
  <c r="Q360" i="2"/>
  <c r="Q99" i="2"/>
  <c r="Q52" i="2"/>
  <c r="Q499" i="2"/>
  <c r="Q287" i="2"/>
  <c r="Q76" i="2"/>
  <c r="Q148" i="2"/>
  <c r="Q205" i="2"/>
  <c r="Q526" i="2"/>
  <c r="Q279" i="2"/>
  <c r="Q33" i="2"/>
  <c r="Q23" i="2"/>
  <c r="Q394" i="2"/>
  <c r="Q332" i="2"/>
  <c r="Q92" i="2"/>
  <c r="Q143" i="2"/>
  <c r="Q562" i="2"/>
  <c r="Q600" i="2"/>
  <c r="Q515" i="2"/>
  <c r="Q194" i="2"/>
  <c r="Q372" i="2"/>
  <c r="Q120" i="2"/>
  <c r="Q419" i="2"/>
  <c r="Q585" i="2"/>
  <c r="Q533" i="2"/>
  <c r="Q216" i="2"/>
  <c r="Q154" i="2"/>
  <c r="Q212" i="2"/>
  <c r="Q26" i="2"/>
  <c r="Q316" i="2"/>
  <c r="Q474" i="2"/>
  <c r="Q349" i="2"/>
  <c r="Q153" i="2"/>
  <c r="Q131" i="2"/>
  <c r="Q343" i="2"/>
  <c r="Q484" i="2"/>
  <c r="Q527" i="2"/>
  <c r="Q138" i="2"/>
  <c r="Q100" i="2"/>
  <c r="Q295" i="2"/>
  <c r="Q111" i="2"/>
  <c r="Q371" i="2"/>
  <c r="Q446" i="2"/>
  <c r="Q14" i="2"/>
  <c r="Q403" i="2"/>
  <c r="Q344" i="2"/>
  <c r="Q160" i="2"/>
  <c r="Q531" i="2"/>
  <c r="Q443" i="2"/>
  <c r="Q459" i="2"/>
  <c r="Q559" i="2"/>
  <c r="Q32" i="2"/>
  <c r="Q87" i="2"/>
  <c r="Q85" i="2"/>
  <c r="Q314" i="2"/>
  <c r="Q385" i="2"/>
  <c r="Q265" i="2"/>
  <c r="Q210" i="2"/>
  <c r="Q204" i="2"/>
  <c r="Q402" i="2"/>
  <c r="Q93" i="2"/>
  <c r="Q309" i="2"/>
  <c r="Q501" i="2"/>
  <c r="Q227" i="2"/>
  <c r="Q166" i="2"/>
  <c r="Q306" i="2"/>
  <c r="Q155" i="2"/>
  <c r="Q70" i="2"/>
  <c r="Q5" i="2"/>
  <c r="Q504" i="2"/>
  <c r="Q53" i="2"/>
  <c r="Q328" i="2"/>
  <c r="Q284" i="2"/>
  <c r="Q266" i="2"/>
  <c r="Q62" i="2"/>
  <c r="Q112" i="2"/>
  <c r="Q46" i="2"/>
  <c r="Q429" i="2"/>
  <c r="Q500" i="2"/>
  <c r="Q47" i="2"/>
  <c r="Q317" i="2"/>
  <c r="Q593" i="2"/>
  <c r="Q289" i="2"/>
  <c r="Q20" i="2"/>
  <c r="Q481" i="2"/>
  <c r="Q388" i="2"/>
  <c r="Q222" i="2"/>
  <c r="Q359" i="2"/>
  <c r="Q520" i="2"/>
  <c r="Q512" i="2"/>
  <c r="Q428" i="2"/>
  <c r="Q541" i="2"/>
  <c r="Q180" i="2"/>
  <c r="Q67" i="2"/>
  <c r="Q493" i="2"/>
  <c r="Q518" i="2"/>
  <c r="Q377" i="2"/>
  <c r="Q405" i="2"/>
  <c r="Q274" i="2"/>
  <c r="Q395" i="2"/>
  <c r="Q9" i="2"/>
  <c r="Q263" i="2"/>
  <c r="Q249" i="2"/>
  <c r="Q563" i="2"/>
  <c r="Q416" i="2"/>
  <c r="Q452" i="2"/>
  <c r="Q296" i="2"/>
  <c r="Q437" i="2"/>
  <c r="Q513" i="2"/>
  <c r="Q424" i="2"/>
  <c r="Q483" i="2"/>
  <c r="Q556" i="2"/>
  <c r="Q201" i="2"/>
  <c r="Q445" i="2"/>
  <c r="P303" i="2"/>
  <c r="P191" i="2"/>
  <c r="P288" i="2"/>
  <c r="P44" i="2"/>
  <c r="P560" i="2"/>
  <c r="P199" i="2"/>
  <c r="P415" i="2"/>
  <c r="P72" i="2"/>
  <c r="P17" i="2"/>
  <c r="P56" i="2"/>
  <c r="P231" i="2"/>
  <c r="P312" i="2"/>
  <c r="P496" i="2"/>
  <c r="P348" i="2"/>
  <c r="P509" i="2"/>
  <c r="P243" i="2"/>
  <c r="P469" i="2"/>
  <c r="P597" i="2"/>
  <c r="P8" i="2"/>
  <c r="P269" i="2"/>
  <c r="P142" i="2"/>
  <c r="P374" i="2"/>
  <c r="P430" i="2"/>
  <c r="P591" i="2"/>
  <c r="P554" i="2"/>
  <c r="P208" i="2"/>
  <c r="P539" i="2"/>
  <c r="P182" i="2"/>
  <c r="P64" i="2"/>
  <c r="P248" i="2"/>
  <c r="P365" i="2"/>
  <c r="P137" i="2"/>
  <c r="P498" i="2"/>
  <c r="P209" i="2"/>
  <c r="P576" i="2"/>
  <c r="P351" i="2"/>
  <c r="P281" i="2"/>
  <c r="P535" i="2"/>
  <c r="P4" i="2"/>
  <c r="P409" i="2"/>
  <c r="P272" i="2"/>
  <c r="P65" i="2"/>
  <c r="P408" i="2"/>
  <c r="P116" i="2"/>
  <c r="P485" i="2"/>
  <c r="P315" i="2"/>
  <c r="P587" i="2"/>
  <c r="P105" i="2"/>
  <c r="P253" i="2"/>
  <c r="P156" i="2"/>
  <c r="P267" i="2"/>
  <c r="P439" i="2"/>
  <c r="P397" i="2"/>
  <c r="P74" i="2"/>
  <c r="P57" i="2"/>
  <c r="P447" i="2"/>
  <c r="P55" i="2"/>
  <c r="P534" i="2"/>
  <c r="P19" i="2"/>
  <c r="P34" i="2"/>
  <c r="P181" i="2"/>
  <c r="P260" i="2"/>
  <c r="P308" i="2"/>
  <c r="P141" i="2"/>
  <c r="P129" i="2"/>
  <c r="P190" i="2"/>
  <c r="P468" i="2"/>
  <c r="P15" i="2"/>
  <c r="P127" i="2"/>
  <c r="P404" i="2"/>
  <c r="P460" i="2"/>
  <c r="P285" i="2"/>
  <c r="P450" i="2"/>
  <c r="P307" i="2"/>
  <c r="P183" i="2"/>
  <c r="P472" i="2"/>
  <c r="P2" i="2"/>
  <c r="P11" i="2"/>
  <c r="P413" i="2"/>
  <c r="P304" i="2"/>
  <c r="P157" i="2"/>
  <c r="P414" i="2"/>
  <c r="P577" i="2"/>
  <c r="P60" i="2"/>
  <c r="P238" i="2"/>
  <c r="P89" i="2"/>
  <c r="P571" i="2"/>
  <c r="P423" i="2"/>
  <c r="P95" i="2"/>
  <c r="P448" i="2"/>
  <c r="P229" i="2"/>
  <c r="P192" i="2"/>
  <c r="P331" i="2"/>
  <c r="P109" i="2"/>
  <c r="P524" i="2"/>
  <c r="P195" i="2"/>
  <c r="P336" i="2"/>
  <c r="P25" i="2"/>
  <c r="P128" i="2"/>
  <c r="P494" i="2"/>
  <c r="P401" i="2"/>
  <c r="P150" i="2"/>
  <c r="P431" i="2"/>
  <c r="P162" i="2"/>
  <c r="P139" i="2"/>
  <c r="P529" i="2"/>
  <c r="P339" i="2"/>
  <c r="P383" i="2"/>
  <c r="P163" i="2"/>
  <c r="P16" i="2"/>
  <c r="P542" i="2"/>
  <c r="P412" i="2"/>
  <c r="P482" i="2"/>
  <c r="P599" i="2"/>
  <c r="P391" i="2"/>
  <c r="P134" i="2"/>
  <c r="P117" i="2"/>
  <c r="P13" i="2"/>
  <c r="P122" i="2"/>
  <c r="P256" i="2"/>
  <c r="P586" i="2"/>
  <c r="P425" i="2"/>
  <c r="P305" i="2"/>
  <c r="P399" i="2"/>
  <c r="P63" i="2"/>
  <c r="P78" i="2"/>
  <c r="P39" i="2"/>
  <c r="P386" i="2"/>
  <c r="P140" i="2"/>
  <c r="P523" i="2"/>
  <c r="P187" i="2"/>
  <c r="P102" i="2"/>
  <c r="P580" i="2"/>
  <c r="P273" i="2"/>
  <c r="P219" i="2"/>
  <c r="P151" i="2"/>
  <c r="P477" i="2"/>
  <c r="P268" i="2"/>
  <c r="P489" i="2"/>
  <c r="P80" i="2"/>
  <c r="P257" i="2"/>
  <c r="P66" i="2"/>
  <c r="P486" i="2"/>
  <c r="P286" i="2"/>
  <c r="P373" i="2"/>
  <c r="P12" i="2"/>
  <c r="P341" i="2"/>
  <c r="P457" i="2"/>
  <c r="P567" i="2"/>
  <c r="P311" i="2"/>
  <c r="P213" i="2"/>
  <c r="P346" i="2"/>
  <c r="P323" i="2"/>
  <c r="P516" i="2"/>
  <c r="P252" i="2"/>
  <c r="P132" i="2"/>
  <c r="P173" i="2"/>
  <c r="P382" i="2"/>
  <c r="P88" i="2"/>
  <c r="P536" i="2"/>
  <c r="P503" i="2"/>
  <c r="P538" i="2"/>
  <c r="P152" i="2"/>
  <c r="P463" i="2"/>
  <c r="P480" i="2"/>
  <c r="P456" i="2"/>
  <c r="P75" i="2"/>
  <c r="P97" i="2"/>
  <c r="P206" i="2"/>
  <c r="P537" i="2"/>
  <c r="P221" i="2"/>
  <c r="P136" i="2"/>
  <c r="P106" i="2"/>
  <c r="P568" i="2"/>
  <c r="P214" i="2"/>
  <c r="P488" i="2"/>
  <c r="P81" i="2"/>
  <c r="P41" i="2"/>
  <c r="P543" i="2"/>
  <c r="P276" i="2"/>
  <c r="P570" i="2"/>
  <c r="P215" i="2"/>
  <c r="P451" i="2"/>
  <c r="P547" i="2"/>
  <c r="P250" i="2"/>
  <c r="P290" i="2"/>
  <c r="P502" i="2"/>
  <c r="P225" i="2"/>
  <c r="P364" i="2"/>
  <c r="P550" i="2"/>
  <c r="P478" i="2"/>
  <c r="P42" i="2"/>
  <c r="P530" i="2"/>
  <c r="P169" i="2"/>
  <c r="P379" i="2"/>
  <c r="P411" i="2"/>
  <c r="P476" i="2"/>
  <c r="P103" i="2"/>
  <c r="P421" i="2"/>
  <c r="P45" i="2"/>
  <c r="P420" i="2"/>
  <c r="P79" i="2"/>
  <c r="P261" i="2"/>
  <c r="P569" i="2"/>
  <c r="P407" i="2"/>
  <c r="P61" i="2"/>
  <c r="P532" i="2"/>
  <c r="P458" i="2"/>
  <c r="P113" i="2"/>
  <c r="P10" i="2"/>
  <c r="P202" i="2"/>
  <c r="P510" i="2"/>
  <c r="P327" i="2"/>
  <c r="P91" i="2"/>
  <c r="P50" i="2"/>
  <c r="P396" i="2"/>
  <c r="P185" i="2"/>
  <c r="P490" i="2"/>
  <c r="P507" i="2"/>
  <c r="P461" i="2"/>
  <c r="P29" i="2"/>
  <c r="P387" i="2"/>
  <c r="P177" i="2"/>
  <c r="P473" i="2"/>
  <c r="P470" i="2"/>
  <c r="P71" i="2"/>
  <c r="P320" i="2"/>
  <c r="P277" i="2"/>
  <c r="P333" i="2"/>
  <c r="P426" i="2"/>
  <c r="P519" i="2"/>
  <c r="P31" i="2"/>
  <c r="P579" i="2"/>
  <c r="P356" i="2"/>
  <c r="P378" i="2"/>
  <c r="P218" i="2"/>
  <c r="P381" i="2"/>
  <c r="P130" i="2"/>
  <c r="P230" i="2"/>
  <c r="P114" i="2"/>
  <c r="P242" i="2"/>
  <c r="P37" i="2"/>
  <c r="P582" i="2"/>
  <c r="P495" i="2"/>
  <c r="P228" i="2"/>
  <c r="P340" i="2"/>
  <c r="P342" i="2"/>
  <c r="P375" i="2"/>
  <c r="P254" i="2"/>
  <c r="P178" i="2"/>
  <c r="P115" i="2"/>
  <c r="P7" i="2"/>
  <c r="P147" i="2"/>
  <c r="P68" i="2"/>
  <c r="P135" i="2"/>
  <c r="P545" i="2"/>
  <c r="P574" i="2"/>
  <c r="P583" i="2"/>
  <c r="P302" i="2"/>
  <c r="P471" i="2"/>
  <c r="P179" i="2"/>
  <c r="P492" i="2"/>
  <c r="P592" i="2"/>
  <c r="P170" i="2"/>
  <c r="P171" i="2"/>
  <c r="P174" i="2"/>
  <c r="P27" i="2"/>
  <c r="P175" i="2"/>
  <c r="P588" i="2"/>
  <c r="P462" i="2"/>
  <c r="P107" i="2"/>
  <c r="P144" i="2"/>
  <c r="P196" i="2"/>
  <c r="P338" i="2"/>
  <c r="P330" i="2"/>
  <c r="P164" i="2"/>
  <c r="P294" i="2"/>
  <c r="P245" i="2"/>
  <c r="P398" i="2"/>
  <c r="P549" i="2"/>
  <c r="P350" i="2"/>
  <c r="P301" i="2"/>
  <c r="P275" i="2"/>
  <c r="P442" i="2"/>
  <c r="P491" i="2"/>
  <c r="P270" i="2"/>
  <c r="P48" i="2"/>
  <c r="P578" i="2"/>
  <c r="P299" i="2"/>
  <c r="P525" i="2"/>
  <c r="P188" i="2"/>
  <c r="P123" i="2"/>
  <c r="P6" i="2"/>
  <c r="P362" i="2"/>
  <c r="P258" i="2"/>
  <c r="P118" i="2"/>
  <c r="P544" i="2"/>
  <c r="P438" i="2"/>
  <c r="P389" i="2"/>
  <c r="P434" i="2"/>
  <c r="P189" i="2"/>
  <c r="P514" i="2"/>
  <c r="P176" i="2"/>
  <c r="P422" i="2"/>
  <c r="P358" i="2"/>
  <c r="P280" i="2"/>
  <c r="P291" i="2"/>
  <c r="P246" i="2"/>
  <c r="P521" i="2"/>
  <c r="P565" i="2"/>
  <c r="P322" i="2"/>
  <c r="P384" i="2"/>
  <c r="P435" i="2"/>
  <c r="P235" i="2"/>
  <c r="P49" i="2"/>
  <c r="P464" i="2"/>
  <c r="P54" i="2"/>
  <c r="P126" i="2"/>
  <c r="P353" i="2"/>
  <c r="P108" i="2"/>
  <c r="P347" i="2"/>
  <c r="P436" i="2"/>
  <c r="P247" i="2"/>
  <c r="P406" i="2"/>
  <c r="P598" i="2"/>
  <c r="P517" i="2"/>
  <c r="P82" i="2"/>
  <c r="P240" i="2"/>
  <c r="P410" i="2"/>
  <c r="P21" i="2"/>
  <c r="P300" i="2"/>
  <c r="P392" i="2"/>
  <c r="P172" i="2"/>
  <c r="P564" i="2"/>
  <c r="P522" i="2"/>
  <c r="P145" i="2"/>
  <c r="P73" i="2"/>
  <c r="P475" i="2"/>
  <c r="P590" i="2"/>
  <c r="P293" i="2"/>
  <c r="P337" i="2"/>
  <c r="P119" i="2"/>
  <c r="P94" i="2"/>
  <c r="P104" i="2"/>
  <c r="P69" i="2"/>
  <c r="P22" i="2"/>
  <c r="P51" i="2"/>
  <c r="P324" i="2"/>
  <c r="P165" i="2"/>
  <c r="P506" i="2"/>
  <c r="P278" i="2"/>
  <c r="P466" i="2"/>
  <c r="P417" i="2"/>
  <c r="P186" i="2"/>
  <c r="P207" i="2"/>
  <c r="P335" i="2"/>
  <c r="P283" i="2"/>
  <c r="P282" i="2"/>
  <c r="P30" i="2"/>
  <c r="P220" i="2"/>
  <c r="P124" i="2"/>
  <c r="P555" i="2"/>
  <c r="P149" i="2"/>
  <c r="P318" i="2"/>
  <c r="P38" i="2"/>
  <c r="P233" i="2"/>
  <c r="P262" i="2"/>
  <c r="P380" i="2"/>
  <c r="P86" i="2"/>
  <c r="P548" i="2"/>
  <c r="P334" i="2"/>
  <c r="P354" i="2"/>
  <c r="P133" i="2"/>
  <c r="P369" i="2"/>
  <c r="P211" i="2"/>
  <c r="P90" i="2"/>
  <c r="P589" i="2"/>
  <c r="P184" i="2"/>
  <c r="P271" i="2"/>
  <c r="P367" i="2"/>
  <c r="P298" i="2"/>
  <c r="P546" i="2"/>
  <c r="P96" i="2"/>
  <c r="P418" i="2"/>
  <c r="P200" i="2"/>
  <c r="P454" i="2"/>
  <c r="P36" i="2"/>
  <c r="P432" i="2"/>
  <c r="P198" i="2"/>
  <c r="P319" i="2"/>
  <c r="P223" i="2"/>
  <c r="P83" i="2"/>
  <c r="P264" i="2"/>
  <c r="P24" i="2"/>
  <c r="P441" i="2"/>
  <c r="P584" i="2"/>
  <c r="P449" i="2"/>
  <c r="P43" i="2"/>
  <c r="P244" i="2"/>
  <c r="P224" i="2"/>
  <c r="P313" i="2"/>
  <c r="P465" i="2"/>
  <c r="P427" i="2"/>
  <c r="P455" i="2"/>
  <c r="P167" i="2"/>
  <c r="P292" i="2"/>
  <c r="P310" i="2"/>
  <c r="P193" i="2"/>
  <c r="P241" i="2"/>
  <c r="P393" i="2"/>
  <c r="P595" i="2"/>
  <c r="P59" i="2"/>
  <c r="P558" i="2"/>
  <c r="P158" i="2"/>
  <c r="P566" i="2"/>
  <c r="P528" i="2"/>
  <c r="P453" i="2"/>
  <c r="P297" i="2"/>
  <c r="P161" i="2"/>
  <c r="P561" i="2"/>
  <c r="P368" i="2"/>
  <c r="P40" i="2"/>
  <c r="P345" i="2"/>
  <c r="P376" i="2"/>
  <c r="P239" i="2"/>
  <c r="P370" i="2"/>
  <c r="P101" i="2"/>
  <c r="P557" i="2"/>
  <c r="P572" i="2"/>
  <c r="P236" i="2"/>
  <c r="P444" i="2"/>
  <c r="P511" i="2"/>
  <c r="P390" i="2"/>
  <c r="P467" i="2"/>
  <c r="P363" i="2"/>
  <c r="P35" i="2"/>
  <c r="P84" i="2"/>
  <c r="P168" i="2"/>
  <c r="P77" i="2"/>
  <c r="P540" i="2"/>
  <c r="P596" i="2"/>
  <c r="P479" i="2"/>
  <c r="P552" i="2"/>
  <c r="P355" i="2"/>
  <c r="P594" i="2"/>
  <c r="P159" i="2"/>
  <c r="P98" i="2"/>
  <c r="P352" i="2"/>
  <c r="P28" i="2"/>
  <c r="P505" i="2"/>
  <c r="P433" i="2"/>
  <c r="P508" i="2"/>
  <c r="P234" i="2"/>
  <c r="P237" i="2"/>
  <c r="P321" i="2"/>
  <c r="P226" i="2"/>
  <c r="P325" i="2"/>
  <c r="P18" i="2"/>
  <c r="P217" i="2"/>
  <c r="P125" i="2"/>
  <c r="P3" i="2"/>
  <c r="P553" i="2"/>
  <c r="P575" i="2"/>
  <c r="P326" i="2"/>
  <c r="P251" i="2"/>
  <c r="P573" i="2"/>
  <c r="P581" i="2"/>
  <c r="P361" i="2"/>
  <c r="P203" i="2"/>
  <c r="P487" i="2"/>
  <c r="P366" i="2"/>
  <c r="P357" i="2"/>
  <c r="P255" i="2"/>
  <c r="P232" i="2"/>
  <c r="P121" i="2"/>
  <c r="P400" i="2"/>
  <c r="P146" i="2"/>
  <c r="P197" i="2"/>
  <c r="P440" i="2"/>
  <c r="P497" i="2"/>
  <c r="P329" i="2"/>
  <c r="P58" i="2"/>
  <c r="P110" i="2"/>
  <c r="P259" i="2"/>
  <c r="P360" i="2"/>
  <c r="P99" i="2"/>
  <c r="P52" i="2"/>
  <c r="P499" i="2"/>
  <c r="P287" i="2"/>
  <c r="P76" i="2"/>
  <c r="P148" i="2"/>
  <c r="P205" i="2"/>
  <c r="P526" i="2"/>
  <c r="P279" i="2"/>
  <c r="P33" i="2"/>
  <c r="P23" i="2"/>
  <c r="P394" i="2"/>
  <c r="P332" i="2"/>
  <c r="P92" i="2"/>
  <c r="P143" i="2"/>
  <c r="P562" i="2"/>
  <c r="P600" i="2"/>
  <c r="P515" i="2"/>
  <c r="P194" i="2"/>
  <c r="P372" i="2"/>
  <c r="P120" i="2"/>
  <c r="P419" i="2"/>
  <c r="P585" i="2"/>
  <c r="P533" i="2"/>
  <c r="P216" i="2"/>
  <c r="P154" i="2"/>
  <c r="P212" i="2"/>
  <c r="P26" i="2"/>
  <c r="P316" i="2"/>
  <c r="P474" i="2"/>
  <c r="P349" i="2"/>
  <c r="P153" i="2"/>
  <c r="P131" i="2"/>
  <c r="P343" i="2"/>
  <c r="P484" i="2"/>
  <c r="P527" i="2"/>
  <c r="P138" i="2"/>
  <c r="P100" i="2"/>
  <c r="P295" i="2"/>
  <c r="P111" i="2"/>
  <c r="P371" i="2"/>
  <c r="P446" i="2"/>
  <c r="P14" i="2"/>
  <c r="P403" i="2"/>
  <c r="P344" i="2"/>
  <c r="P160" i="2"/>
  <c r="P531" i="2"/>
  <c r="P443" i="2"/>
  <c r="P459" i="2"/>
  <c r="P559" i="2"/>
  <c r="P32" i="2"/>
  <c r="P87" i="2"/>
  <c r="P85" i="2"/>
  <c r="P314" i="2"/>
  <c r="P385" i="2"/>
  <c r="P265" i="2"/>
  <c r="P210" i="2"/>
  <c r="P204" i="2"/>
  <c r="P402" i="2"/>
  <c r="P93" i="2"/>
  <c r="P309" i="2"/>
  <c r="P501" i="2"/>
  <c r="P227" i="2"/>
  <c r="P166" i="2"/>
  <c r="P306" i="2"/>
  <c r="P155" i="2"/>
  <c r="P70" i="2"/>
  <c r="P5" i="2"/>
  <c r="P504" i="2"/>
  <c r="P53" i="2"/>
  <c r="P328" i="2"/>
  <c r="P284" i="2"/>
  <c r="P266" i="2"/>
  <c r="P62" i="2"/>
  <c r="P112" i="2"/>
  <c r="P46" i="2"/>
  <c r="P429" i="2"/>
  <c r="P500" i="2"/>
  <c r="P47" i="2"/>
  <c r="P317" i="2"/>
  <c r="P593" i="2"/>
  <c r="P289" i="2"/>
  <c r="P20" i="2"/>
  <c r="P481" i="2"/>
  <c r="P388" i="2"/>
  <c r="P222" i="2"/>
  <c r="P359" i="2"/>
  <c r="P520" i="2"/>
  <c r="P512" i="2"/>
  <c r="P428" i="2"/>
  <c r="P541" i="2"/>
  <c r="P180" i="2"/>
  <c r="P67" i="2"/>
  <c r="P493" i="2"/>
  <c r="P518" i="2"/>
  <c r="P377" i="2"/>
  <c r="P405" i="2"/>
  <c r="P274" i="2"/>
  <c r="P395" i="2"/>
  <c r="P9" i="2"/>
  <c r="P263" i="2"/>
  <c r="P249" i="2"/>
  <c r="P563" i="2"/>
  <c r="P416" i="2"/>
  <c r="P452" i="2"/>
  <c r="P296" i="2"/>
  <c r="P437" i="2"/>
  <c r="P513" i="2"/>
  <c r="P424" i="2"/>
  <c r="P483" i="2"/>
  <c r="P556" i="2"/>
  <c r="P201" i="2"/>
  <c r="P445" i="2"/>
  <c r="O303" i="2"/>
  <c r="O191" i="2"/>
  <c r="O288" i="2"/>
  <c r="O44" i="2"/>
  <c r="O560" i="2"/>
  <c r="O199" i="2"/>
  <c r="O415" i="2"/>
  <c r="O72" i="2"/>
  <c r="O17" i="2"/>
  <c r="O56" i="2"/>
  <c r="O231" i="2"/>
  <c r="O312" i="2"/>
  <c r="O496" i="2"/>
  <c r="O348" i="2"/>
  <c r="O509" i="2"/>
  <c r="O243" i="2"/>
  <c r="O469" i="2"/>
  <c r="O597" i="2"/>
  <c r="O8" i="2"/>
  <c r="O269" i="2"/>
  <c r="O142" i="2"/>
  <c r="O374" i="2"/>
  <c r="O430" i="2"/>
  <c r="O591" i="2"/>
  <c r="O554" i="2"/>
  <c r="O208" i="2"/>
  <c r="O539" i="2"/>
  <c r="O182" i="2"/>
  <c r="O64" i="2"/>
  <c r="O248" i="2"/>
  <c r="O365" i="2"/>
  <c r="O137" i="2"/>
  <c r="O498" i="2"/>
  <c r="O209" i="2"/>
  <c r="O576" i="2"/>
  <c r="O351" i="2"/>
  <c r="O281" i="2"/>
  <c r="O535" i="2"/>
  <c r="O4" i="2"/>
  <c r="O409" i="2"/>
  <c r="O272" i="2"/>
  <c r="O65" i="2"/>
  <c r="O408" i="2"/>
  <c r="O116" i="2"/>
  <c r="O485" i="2"/>
  <c r="O315" i="2"/>
  <c r="O587" i="2"/>
  <c r="O105" i="2"/>
  <c r="O253" i="2"/>
  <c r="O156" i="2"/>
  <c r="O267" i="2"/>
  <c r="O439" i="2"/>
  <c r="O397" i="2"/>
  <c r="O74" i="2"/>
  <c r="O57" i="2"/>
  <c r="O447" i="2"/>
  <c r="O55" i="2"/>
  <c r="O534" i="2"/>
  <c r="O19" i="2"/>
  <c r="O34" i="2"/>
  <c r="O181" i="2"/>
  <c r="O260" i="2"/>
  <c r="O308" i="2"/>
  <c r="O141" i="2"/>
  <c r="O129" i="2"/>
  <c r="O190" i="2"/>
  <c r="O468" i="2"/>
  <c r="O15" i="2"/>
  <c r="O127" i="2"/>
  <c r="O404" i="2"/>
  <c r="O460" i="2"/>
  <c r="O285" i="2"/>
  <c r="O450" i="2"/>
  <c r="O307" i="2"/>
  <c r="O183" i="2"/>
  <c r="O472" i="2"/>
  <c r="O2" i="2"/>
  <c r="O11" i="2"/>
  <c r="O413" i="2"/>
  <c r="O304" i="2"/>
  <c r="O157" i="2"/>
  <c r="O414" i="2"/>
  <c r="O577" i="2"/>
  <c r="O60" i="2"/>
  <c r="O238" i="2"/>
  <c r="O89" i="2"/>
  <c r="O571" i="2"/>
  <c r="O423" i="2"/>
  <c r="O95" i="2"/>
  <c r="O448" i="2"/>
  <c r="O229" i="2"/>
  <c r="O192" i="2"/>
  <c r="O331" i="2"/>
  <c r="O109" i="2"/>
  <c r="O524" i="2"/>
  <c r="O195" i="2"/>
  <c r="O336" i="2"/>
  <c r="O25" i="2"/>
  <c r="O128" i="2"/>
  <c r="O494" i="2"/>
  <c r="O401" i="2"/>
  <c r="O150" i="2"/>
  <c r="O431" i="2"/>
  <c r="O162" i="2"/>
  <c r="O139" i="2"/>
  <c r="O529" i="2"/>
  <c r="O339" i="2"/>
  <c r="O383" i="2"/>
  <c r="O163" i="2"/>
  <c r="O16" i="2"/>
  <c r="O542" i="2"/>
  <c r="O412" i="2"/>
  <c r="O482" i="2"/>
  <c r="O599" i="2"/>
  <c r="O391" i="2"/>
  <c r="O134" i="2"/>
  <c r="O117" i="2"/>
  <c r="O13" i="2"/>
  <c r="O122" i="2"/>
  <c r="O256" i="2"/>
  <c r="O586" i="2"/>
  <c r="O425" i="2"/>
  <c r="O305" i="2"/>
  <c r="O399" i="2"/>
  <c r="O63" i="2"/>
  <c r="O78" i="2"/>
  <c r="O39" i="2"/>
  <c r="O386" i="2"/>
  <c r="O140" i="2"/>
  <c r="O523" i="2"/>
  <c r="O187" i="2"/>
  <c r="O102" i="2"/>
  <c r="O580" i="2"/>
  <c r="O273" i="2"/>
  <c r="O219" i="2"/>
  <c r="O151" i="2"/>
  <c r="O477" i="2"/>
  <c r="O268" i="2"/>
  <c r="O489" i="2"/>
  <c r="O80" i="2"/>
  <c r="O257" i="2"/>
  <c r="O66" i="2"/>
  <c r="O486" i="2"/>
  <c r="O286" i="2"/>
  <c r="O373" i="2"/>
  <c r="O12" i="2"/>
  <c r="O341" i="2"/>
  <c r="O457" i="2"/>
  <c r="O567" i="2"/>
  <c r="O311" i="2"/>
  <c r="O213" i="2"/>
  <c r="O346" i="2"/>
  <c r="O323" i="2"/>
  <c r="O516" i="2"/>
  <c r="O252" i="2"/>
  <c r="O132" i="2"/>
  <c r="O173" i="2"/>
  <c r="O382" i="2"/>
  <c r="O88" i="2"/>
  <c r="O536" i="2"/>
  <c r="O503" i="2"/>
  <c r="O538" i="2"/>
  <c r="O152" i="2"/>
  <c r="O463" i="2"/>
  <c r="O480" i="2"/>
  <c r="O456" i="2"/>
  <c r="O75" i="2"/>
  <c r="O97" i="2"/>
  <c r="O206" i="2"/>
  <c r="O537" i="2"/>
  <c r="O221" i="2"/>
  <c r="O136" i="2"/>
  <c r="O106" i="2"/>
  <c r="O568" i="2"/>
  <c r="O214" i="2"/>
  <c r="O488" i="2"/>
  <c r="O81" i="2"/>
  <c r="O41" i="2"/>
  <c r="O543" i="2"/>
  <c r="O276" i="2"/>
  <c r="O570" i="2"/>
  <c r="O215" i="2"/>
  <c r="O451" i="2"/>
  <c r="O547" i="2"/>
  <c r="O250" i="2"/>
  <c r="O290" i="2"/>
  <c r="O502" i="2"/>
  <c r="O225" i="2"/>
  <c r="O364" i="2"/>
  <c r="O550" i="2"/>
  <c r="O478" i="2"/>
  <c r="O42" i="2"/>
  <c r="O530" i="2"/>
  <c r="O169" i="2"/>
  <c r="O379" i="2"/>
  <c r="O411" i="2"/>
  <c r="O476" i="2"/>
  <c r="O103" i="2"/>
  <c r="O421" i="2"/>
  <c r="O45" i="2"/>
  <c r="O420" i="2"/>
  <c r="O79" i="2"/>
  <c r="O261" i="2"/>
  <c r="O569" i="2"/>
  <c r="O407" i="2"/>
  <c r="O61" i="2"/>
  <c r="O532" i="2"/>
  <c r="O458" i="2"/>
  <c r="O113" i="2"/>
  <c r="O10" i="2"/>
  <c r="O202" i="2"/>
  <c r="O510" i="2"/>
  <c r="O327" i="2"/>
  <c r="O91" i="2"/>
  <c r="O50" i="2"/>
  <c r="O396" i="2"/>
  <c r="O185" i="2"/>
  <c r="O490" i="2"/>
  <c r="O507" i="2"/>
  <c r="O461" i="2"/>
  <c r="O29" i="2"/>
  <c r="O387" i="2"/>
  <c r="O177" i="2"/>
  <c r="O473" i="2"/>
  <c r="O470" i="2"/>
  <c r="O71" i="2"/>
  <c r="O320" i="2"/>
  <c r="O277" i="2"/>
  <c r="O333" i="2"/>
  <c r="O426" i="2"/>
  <c r="O519" i="2"/>
  <c r="O31" i="2"/>
  <c r="O579" i="2"/>
  <c r="O356" i="2"/>
  <c r="O378" i="2"/>
  <c r="O218" i="2"/>
  <c r="O381" i="2"/>
  <c r="O130" i="2"/>
  <c r="O230" i="2"/>
  <c r="O114" i="2"/>
  <c r="O242" i="2"/>
  <c r="O37" i="2"/>
  <c r="O582" i="2"/>
  <c r="O495" i="2"/>
  <c r="O228" i="2"/>
  <c r="O340" i="2"/>
  <c r="O342" i="2"/>
  <c r="O375" i="2"/>
  <c r="O254" i="2"/>
  <c r="O178" i="2"/>
  <c r="O115" i="2"/>
  <c r="O7" i="2"/>
  <c r="O147" i="2"/>
  <c r="O68" i="2"/>
  <c r="O135" i="2"/>
  <c r="O545" i="2"/>
  <c r="O574" i="2"/>
  <c r="O583" i="2"/>
  <c r="O302" i="2"/>
  <c r="O471" i="2"/>
  <c r="O179" i="2"/>
  <c r="O492" i="2"/>
  <c r="O592" i="2"/>
  <c r="O170" i="2"/>
  <c r="O171" i="2"/>
  <c r="O174" i="2"/>
  <c r="O27" i="2"/>
  <c r="O175" i="2"/>
  <c r="O588" i="2"/>
  <c r="O462" i="2"/>
  <c r="O107" i="2"/>
  <c r="O144" i="2"/>
  <c r="O196" i="2"/>
  <c r="O338" i="2"/>
  <c r="O330" i="2"/>
  <c r="O164" i="2"/>
  <c r="O294" i="2"/>
  <c r="O245" i="2"/>
  <c r="O398" i="2"/>
  <c r="O549" i="2"/>
  <c r="O350" i="2"/>
  <c r="O301" i="2"/>
  <c r="O275" i="2"/>
  <c r="O442" i="2"/>
  <c r="O491" i="2"/>
  <c r="O270" i="2"/>
  <c r="O48" i="2"/>
  <c r="O578" i="2"/>
  <c r="O299" i="2"/>
  <c r="O525" i="2"/>
  <c r="O188" i="2"/>
  <c r="O123" i="2"/>
  <c r="O6" i="2"/>
  <c r="O362" i="2"/>
  <c r="O258" i="2"/>
  <c r="O118" i="2"/>
  <c r="O544" i="2"/>
  <c r="O438" i="2"/>
  <c r="O389" i="2"/>
  <c r="O434" i="2"/>
  <c r="O189" i="2"/>
  <c r="O514" i="2"/>
  <c r="O176" i="2"/>
  <c r="O422" i="2"/>
  <c r="O358" i="2"/>
  <c r="O280" i="2"/>
  <c r="O291" i="2"/>
  <c r="O246" i="2"/>
  <c r="O521" i="2"/>
  <c r="O565" i="2"/>
  <c r="O322" i="2"/>
  <c r="O384" i="2"/>
  <c r="O435" i="2"/>
  <c r="O235" i="2"/>
  <c r="O49" i="2"/>
  <c r="O464" i="2"/>
  <c r="O54" i="2"/>
  <c r="O126" i="2"/>
  <c r="O353" i="2"/>
  <c r="O108" i="2"/>
  <c r="O347" i="2"/>
  <c r="O436" i="2"/>
  <c r="O247" i="2"/>
  <c r="O406" i="2"/>
  <c r="O598" i="2"/>
  <c r="O517" i="2"/>
  <c r="O82" i="2"/>
  <c r="O240" i="2"/>
  <c r="O410" i="2"/>
  <c r="O21" i="2"/>
  <c r="O300" i="2"/>
  <c r="O392" i="2"/>
  <c r="O172" i="2"/>
  <c r="O564" i="2"/>
  <c r="O522" i="2"/>
  <c r="O145" i="2"/>
  <c r="O73" i="2"/>
  <c r="O475" i="2"/>
  <c r="O590" i="2"/>
  <c r="O293" i="2"/>
  <c r="O337" i="2"/>
  <c r="O119" i="2"/>
  <c r="O94" i="2"/>
  <c r="O104" i="2"/>
  <c r="O69" i="2"/>
  <c r="O22" i="2"/>
  <c r="O51" i="2"/>
  <c r="O324" i="2"/>
  <c r="O165" i="2"/>
  <c r="O506" i="2"/>
  <c r="O278" i="2"/>
  <c r="O466" i="2"/>
  <c r="O417" i="2"/>
  <c r="O186" i="2"/>
  <c r="O207" i="2"/>
  <c r="O335" i="2"/>
  <c r="O283" i="2"/>
  <c r="O282" i="2"/>
  <c r="O30" i="2"/>
  <c r="O220" i="2"/>
  <c r="O124" i="2"/>
  <c r="O555" i="2"/>
  <c r="O149" i="2"/>
  <c r="O318" i="2"/>
  <c r="O38" i="2"/>
  <c r="O233" i="2"/>
  <c r="O262" i="2"/>
  <c r="O380" i="2"/>
  <c r="O86" i="2"/>
  <c r="O548" i="2"/>
  <c r="O334" i="2"/>
  <c r="O354" i="2"/>
  <c r="O133" i="2"/>
  <c r="O369" i="2"/>
  <c r="O211" i="2"/>
  <c r="O90" i="2"/>
  <c r="O589" i="2"/>
  <c r="O184" i="2"/>
  <c r="O271" i="2"/>
  <c r="O367" i="2"/>
  <c r="O298" i="2"/>
  <c r="O546" i="2"/>
  <c r="O96" i="2"/>
  <c r="O418" i="2"/>
  <c r="O200" i="2"/>
  <c r="O454" i="2"/>
  <c r="O36" i="2"/>
  <c r="O432" i="2"/>
  <c r="O198" i="2"/>
  <c r="O319" i="2"/>
  <c r="O223" i="2"/>
  <c r="O83" i="2"/>
  <c r="O264" i="2"/>
  <c r="O24" i="2"/>
  <c r="O441" i="2"/>
  <c r="O584" i="2"/>
  <c r="O449" i="2"/>
  <c r="O43" i="2"/>
  <c r="O244" i="2"/>
  <c r="O224" i="2"/>
  <c r="O313" i="2"/>
  <c r="O465" i="2"/>
  <c r="O427" i="2"/>
  <c r="O455" i="2"/>
  <c r="O167" i="2"/>
  <c r="O292" i="2"/>
  <c r="O310" i="2"/>
  <c r="O193" i="2"/>
  <c r="O241" i="2"/>
  <c r="O393" i="2"/>
  <c r="O595" i="2"/>
  <c r="O59" i="2"/>
  <c r="O558" i="2"/>
  <c r="O158" i="2"/>
  <c r="O566" i="2"/>
  <c r="O528" i="2"/>
  <c r="O453" i="2"/>
  <c r="O297" i="2"/>
  <c r="O161" i="2"/>
  <c r="O561" i="2"/>
  <c r="O368" i="2"/>
  <c r="O40" i="2"/>
  <c r="O345" i="2"/>
  <c r="O376" i="2"/>
  <c r="O239" i="2"/>
  <c r="O370" i="2"/>
  <c r="O101" i="2"/>
  <c r="O557" i="2"/>
  <c r="O572" i="2"/>
  <c r="O236" i="2"/>
  <c r="O444" i="2"/>
  <c r="O511" i="2"/>
  <c r="O390" i="2"/>
  <c r="O467" i="2"/>
  <c r="O363" i="2"/>
  <c r="O35" i="2"/>
  <c r="O84" i="2"/>
  <c r="O168" i="2"/>
  <c r="O77" i="2"/>
  <c r="O540" i="2"/>
  <c r="O596" i="2"/>
  <c r="O479" i="2"/>
  <c r="O552" i="2"/>
  <c r="O355" i="2"/>
  <c r="O594" i="2"/>
  <c r="O159" i="2"/>
  <c r="O98" i="2"/>
  <c r="O352" i="2"/>
  <c r="O28" i="2"/>
  <c r="O505" i="2"/>
  <c r="O433" i="2"/>
  <c r="O508" i="2"/>
  <c r="O234" i="2"/>
  <c r="O237" i="2"/>
  <c r="O321" i="2"/>
  <c r="O226" i="2"/>
  <c r="O325" i="2"/>
  <c r="O18" i="2"/>
  <c r="O217" i="2"/>
  <c r="O125" i="2"/>
  <c r="O3" i="2"/>
  <c r="O553" i="2"/>
  <c r="O575" i="2"/>
  <c r="O326" i="2"/>
  <c r="O251" i="2"/>
  <c r="O573" i="2"/>
  <c r="O581" i="2"/>
  <c r="O361" i="2"/>
  <c r="O203" i="2"/>
  <c r="O487" i="2"/>
  <c r="O366" i="2"/>
  <c r="O357" i="2"/>
  <c r="O255" i="2"/>
  <c r="O232" i="2"/>
  <c r="O121" i="2"/>
  <c r="O400" i="2"/>
  <c r="O146" i="2"/>
  <c r="O197" i="2"/>
  <c r="O440" i="2"/>
  <c r="O497" i="2"/>
  <c r="O329" i="2"/>
  <c r="O58" i="2"/>
  <c r="O110" i="2"/>
  <c r="O259" i="2"/>
  <c r="O360" i="2"/>
  <c r="O99" i="2"/>
  <c r="O52" i="2"/>
  <c r="O499" i="2"/>
  <c r="O287" i="2"/>
  <c r="O76" i="2"/>
  <c r="O148" i="2"/>
  <c r="O205" i="2"/>
  <c r="O526" i="2"/>
  <c r="O279" i="2"/>
  <c r="O33" i="2"/>
  <c r="O23" i="2"/>
  <c r="O394" i="2"/>
  <c r="O332" i="2"/>
  <c r="O92" i="2"/>
  <c r="O143" i="2"/>
  <c r="O562" i="2"/>
  <c r="O600" i="2"/>
  <c r="O515" i="2"/>
  <c r="O194" i="2"/>
  <c r="O372" i="2"/>
  <c r="O120" i="2"/>
  <c r="O419" i="2"/>
  <c r="O585" i="2"/>
  <c r="O533" i="2"/>
  <c r="O216" i="2"/>
  <c r="O154" i="2"/>
  <c r="O212" i="2"/>
  <c r="O26" i="2"/>
  <c r="O316" i="2"/>
  <c r="O474" i="2"/>
  <c r="O349" i="2"/>
  <c r="O153" i="2"/>
  <c r="O131" i="2"/>
  <c r="O343" i="2"/>
  <c r="O484" i="2"/>
  <c r="O527" i="2"/>
  <c r="O138" i="2"/>
  <c r="O100" i="2"/>
  <c r="O295" i="2"/>
  <c r="O111" i="2"/>
  <c r="O371" i="2"/>
  <c r="O446" i="2"/>
  <c r="O14" i="2"/>
  <c r="O403" i="2"/>
  <c r="O344" i="2"/>
  <c r="O160" i="2"/>
  <c r="O531" i="2"/>
  <c r="O443" i="2"/>
  <c r="O459" i="2"/>
  <c r="O559" i="2"/>
  <c r="O32" i="2"/>
  <c r="O87" i="2"/>
  <c r="O85" i="2"/>
  <c r="O314" i="2"/>
  <c r="O385" i="2"/>
  <c r="O265" i="2"/>
  <c r="O210" i="2"/>
  <c r="O204" i="2"/>
  <c r="O402" i="2"/>
  <c r="O93" i="2"/>
  <c r="O309" i="2"/>
  <c r="O501" i="2"/>
  <c r="O227" i="2"/>
  <c r="O166" i="2"/>
  <c r="O306" i="2"/>
  <c r="O155" i="2"/>
  <c r="O70" i="2"/>
  <c r="O5" i="2"/>
  <c r="O504" i="2"/>
  <c r="O53" i="2"/>
  <c r="O328" i="2"/>
  <c r="O284" i="2"/>
  <c r="O266" i="2"/>
  <c r="O62" i="2"/>
  <c r="O112" i="2"/>
  <c r="O46" i="2"/>
  <c r="O429" i="2"/>
  <c r="O500" i="2"/>
  <c r="O47" i="2"/>
  <c r="O317" i="2"/>
  <c r="O593" i="2"/>
  <c r="O289" i="2"/>
  <c r="O20" i="2"/>
  <c r="O481" i="2"/>
  <c r="O388" i="2"/>
  <c r="O222" i="2"/>
  <c r="O359" i="2"/>
  <c r="O520" i="2"/>
  <c r="O512" i="2"/>
  <c r="O428" i="2"/>
  <c r="O541" i="2"/>
  <c r="O180" i="2"/>
  <c r="O67" i="2"/>
  <c r="O493" i="2"/>
  <c r="O518" i="2"/>
  <c r="O377" i="2"/>
  <c r="O405" i="2"/>
  <c r="O274" i="2"/>
  <c r="O395" i="2"/>
  <c r="O9" i="2"/>
  <c r="O263" i="2"/>
  <c r="O249" i="2"/>
  <c r="O563" i="2"/>
  <c r="O416" i="2"/>
  <c r="O452" i="2"/>
  <c r="O296" i="2"/>
  <c r="O437" i="2"/>
  <c r="O513" i="2"/>
  <c r="O424" i="2"/>
  <c r="O483" i="2"/>
  <c r="O556" i="2"/>
  <c r="O201" i="2"/>
  <c r="O445" i="2"/>
  <c r="N303" i="2"/>
  <c r="N191" i="2"/>
  <c r="N288" i="2"/>
  <c r="N44" i="2"/>
  <c r="N560" i="2"/>
  <c r="N199" i="2"/>
  <c r="N415" i="2"/>
  <c r="N72" i="2"/>
  <c r="N17" i="2"/>
  <c r="N56" i="2"/>
  <c r="N231" i="2"/>
  <c r="N312" i="2"/>
  <c r="N496" i="2"/>
  <c r="N348" i="2"/>
  <c r="N509" i="2"/>
  <c r="N243" i="2"/>
  <c r="N469" i="2"/>
  <c r="N597" i="2"/>
  <c r="N8" i="2"/>
  <c r="N269" i="2"/>
  <c r="N142" i="2"/>
  <c r="N374" i="2"/>
  <c r="N430" i="2"/>
  <c r="N591" i="2"/>
  <c r="N554" i="2"/>
  <c r="N208" i="2"/>
  <c r="N539" i="2"/>
  <c r="N182" i="2"/>
  <c r="N64" i="2"/>
  <c r="N248" i="2"/>
  <c r="N365" i="2"/>
  <c r="N137" i="2"/>
  <c r="N498" i="2"/>
  <c r="N209" i="2"/>
  <c r="N576" i="2"/>
  <c r="N351" i="2"/>
  <c r="N281" i="2"/>
  <c r="N535" i="2"/>
  <c r="N4" i="2"/>
  <c r="N409" i="2"/>
  <c r="N272" i="2"/>
  <c r="N65" i="2"/>
  <c r="N408" i="2"/>
  <c r="N116" i="2"/>
  <c r="N485" i="2"/>
  <c r="N315" i="2"/>
  <c r="N587" i="2"/>
  <c r="N105" i="2"/>
  <c r="N253" i="2"/>
  <c r="N156" i="2"/>
  <c r="N267" i="2"/>
  <c r="N439" i="2"/>
  <c r="N397" i="2"/>
  <c r="N74" i="2"/>
  <c r="N57" i="2"/>
  <c r="N447" i="2"/>
  <c r="N55" i="2"/>
  <c r="N534" i="2"/>
  <c r="N19" i="2"/>
  <c r="N34" i="2"/>
  <c r="N181" i="2"/>
  <c r="N260" i="2"/>
  <c r="N308" i="2"/>
  <c r="N141" i="2"/>
  <c r="N129" i="2"/>
  <c r="N190" i="2"/>
  <c r="N468" i="2"/>
  <c r="N15" i="2"/>
  <c r="N127" i="2"/>
  <c r="N404" i="2"/>
  <c r="N460" i="2"/>
  <c r="N285" i="2"/>
  <c r="N450" i="2"/>
  <c r="N307" i="2"/>
  <c r="N183" i="2"/>
  <c r="N472" i="2"/>
  <c r="N2" i="2"/>
  <c r="N11" i="2"/>
  <c r="N413" i="2"/>
  <c r="N304" i="2"/>
  <c r="N157" i="2"/>
  <c r="N414" i="2"/>
  <c r="N577" i="2"/>
  <c r="N60" i="2"/>
  <c r="N238" i="2"/>
  <c r="N89" i="2"/>
  <c r="N571" i="2"/>
  <c r="N423" i="2"/>
  <c r="N95" i="2"/>
  <c r="N448" i="2"/>
  <c r="N229" i="2"/>
  <c r="N192" i="2"/>
  <c r="N331" i="2"/>
  <c r="N109" i="2"/>
  <c r="N524" i="2"/>
  <c r="N195" i="2"/>
  <c r="N336" i="2"/>
  <c r="N25" i="2"/>
  <c r="N128" i="2"/>
  <c r="N494" i="2"/>
  <c r="N401" i="2"/>
  <c r="N150" i="2"/>
  <c r="N431" i="2"/>
  <c r="N162" i="2"/>
  <c r="N139" i="2"/>
  <c r="N529" i="2"/>
  <c r="N339" i="2"/>
  <c r="N383" i="2"/>
  <c r="N163" i="2"/>
  <c r="N16" i="2"/>
  <c r="N542" i="2"/>
  <c r="N412" i="2"/>
  <c r="N482" i="2"/>
  <c r="N599" i="2"/>
  <c r="N391" i="2"/>
  <c r="N134" i="2"/>
  <c r="N117" i="2"/>
  <c r="N13" i="2"/>
  <c r="N122" i="2"/>
  <c r="N256" i="2"/>
  <c r="N586" i="2"/>
  <c r="N425" i="2"/>
  <c r="N305" i="2"/>
  <c r="N399" i="2"/>
  <c r="N63" i="2"/>
  <c r="N78" i="2"/>
  <c r="N39" i="2"/>
  <c r="N386" i="2"/>
  <c r="N140" i="2"/>
  <c r="N523" i="2"/>
  <c r="N187" i="2"/>
  <c r="N102" i="2"/>
  <c r="N580" i="2"/>
  <c r="N273" i="2"/>
  <c r="N219" i="2"/>
  <c r="N151" i="2"/>
  <c r="N477" i="2"/>
  <c r="N268" i="2"/>
  <c r="N489" i="2"/>
  <c r="N80" i="2"/>
  <c r="N257" i="2"/>
  <c r="N66" i="2"/>
  <c r="N486" i="2"/>
  <c r="N286" i="2"/>
  <c r="N373" i="2"/>
  <c r="N12" i="2"/>
  <c r="N341" i="2"/>
  <c r="N457" i="2"/>
  <c r="N567" i="2"/>
  <c r="N311" i="2"/>
  <c r="N213" i="2"/>
  <c r="N346" i="2"/>
  <c r="N323" i="2"/>
  <c r="N516" i="2"/>
  <c r="N252" i="2"/>
  <c r="N132" i="2"/>
  <c r="N173" i="2"/>
  <c r="N382" i="2"/>
  <c r="N88" i="2"/>
  <c r="N536" i="2"/>
  <c r="N503" i="2"/>
  <c r="N538" i="2"/>
  <c r="N152" i="2"/>
  <c r="N463" i="2"/>
  <c r="N480" i="2"/>
  <c r="N456" i="2"/>
  <c r="N75" i="2"/>
  <c r="N97" i="2"/>
  <c r="N206" i="2"/>
  <c r="N537" i="2"/>
  <c r="N221" i="2"/>
  <c r="N136" i="2"/>
  <c r="N106" i="2"/>
  <c r="N568" i="2"/>
  <c r="N214" i="2"/>
  <c r="N488" i="2"/>
  <c r="N81" i="2"/>
  <c r="N41" i="2"/>
  <c r="N543" i="2"/>
  <c r="N276" i="2"/>
  <c r="N570" i="2"/>
  <c r="N215" i="2"/>
  <c r="N451" i="2"/>
  <c r="N547" i="2"/>
  <c r="N250" i="2"/>
  <c r="N290" i="2"/>
  <c r="N502" i="2"/>
  <c r="N225" i="2"/>
  <c r="N364" i="2"/>
  <c r="N550" i="2"/>
  <c r="N478" i="2"/>
  <c r="N42" i="2"/>
  <c r="N530" i="2"/>
  <c r="N169" i="2"/>
  <c r="N379" i="2"/>
  <c r="N411" i="2"/>
  <c r="N476" i="2"/>
  <c r="N103" i="2"/>
  <c r="N421" i="2"/>
  <c r="N45" i="2"/>
  <c r="N420" i="2"/>
  <c r="N79" i="2"/>
  <c r="N261" i="2"/>
  <c r="N569" i="2"/>
  <c r="N407" i="2"/>
  <c r="N61" i="2"/>
  <c r="N532" i="2"/>
  <c r="N458" i="2"/>
  <c r="N113" i="2"/>
  <c r="N10" i="2"/>
  <c r="N202" i="2"/>
  <c r="N510" i="2"/>
  <c r="N327" i="2"/>
  <c r="N91" i="2"/>
  <c r="N50" i="2"/>
  <c r="N396" i="2"/>
  <c r="N185" i="2"/>
  <c r="N490" i="2"/>
  <c r="N507" i="2"/>
  <c r="N461" i="2"/>
  <c r="N29" i="2"/>
  <c r="N387" i="2"/>
  <c r="N177" i="2"/>
  <c r="N473" i="2"/>
  <c r="N470" i="2"/>
  <c r="N71" i="2"/>
  <c r="N320" i="2"/>
  <c r="N277" i="2"/>
  <c r="N333" i="2"/>
  <c r="N426" i="2"/>
  <c r="N519" i="2"/>
  <c r="N31" i="2"/>
  <c r="N579" i="2"/>
  <c r="N356" i="2"/>
  <c r="N378" i="2"/>
  <c r="N218" i="2"/>
  <c r="N381" i="2"/>
  <c r="N130" i="2"/>
  <c r="N230" i="2"/>
  <c r="N114" i="2"/>
  <c r="N242" i="2"/>
  <c r="N37" i="2"/>
  <c r="N582" i="2"/>
  <c r="N495" i="2"/>
  <c r="N228" i="2"/>
  <c r="N340" i="2"/>
  <c r="N342" i="2"/>
  <c r="N375" i="2"/>
  <c r="N254" i="2"/>
  <c r="N178" i="2"/>
  <c r="N115" i="2"/>
  <c r="N7" i="2"/>
  <c r="N147" i="2"/>
  <c r="N68" i="2"/>
  <c r="N135" i="2"/>
  <c r="N545" i="2"/>
  <c r="N574" i="2"/>
  <c r="N583" i="2"/>
  <c r="N302" i="2"/>
  <c r="N471" i="2"/>
  <c r="N179" i="2"/>
  <c r="N492" i="2"/>
  <c r="N592" i="2"/>
  <c r="N170" i="2"/>
  <c r="N171" i="2"/>
  <c r="N174" i="2"/>
  <c r="N27" i="2"/>
  <c r="N175" i="2"/>
  <c r="N588" i="2"/>
  <c r="N462" i="2"/>
  <c r="N107" i="2"/>
  <c r="N144" i="2"/>
  <c r="N196" i="2"/>
  <c r="N338" i="2"/>
  <c r="N330" i="2"/>
  <c r="N164" i="2"/>
  <c r="N294" i="2"/>
  <c r="N245" i="2"/>
  <c r="N398" i="2"/>
  <c r="N549" i="2"/>
  <c r="N350" i="2"/>
  <c r="N301" i="2"/>
  <c r="N275" i="2"/>
  <c r="N442" i="2"/>
  <c r="N491" i="2"/>
  <c r="N270" i="2"/>
  <c r="N48" i="2"/>
  <c r="N578" i="2"/>
  <c r="N299" i="2"/>
  <c r="N525" i="2"/>
  <c r="N188" i="2"/>
  <c r="N123" i="2"/>
  <c r="N6" i="2"/>
  <c r="N362" i="2"/>
  <c r="N258" i="2"/>
  <c r="N118" i="2"/>
  <c r="N544" i="2"/>
  <c r="N438" i="2"/>
  <c r="N389" i="2"/>
  <c r="N434" i="2"/>
  <c r="N189" i="2"/>
  <c r="N514" i="2"/>
  <c r="N176" i="2"/>
  <c r="N422" i="2"/>
  <c r="N358" i="2"/>
  <c r="N280" i="2"/>
  <c r="N291" i="2"/>
  <c r="N246" i="2"/>
  <c r="N521" i="2"/>
  <c r="N565" i="2"/>
  <c r="N322" i="2"/>
  <c r="N384" i="2"/>
  <c r="N435" i="2"/>
  <c r="N235" i="2"/>
  <c r="N49" i="2"/>
  <c r="N464" i="2"/>
  <c r="N54" i="2"/>
  <c r="N126" i="2"/>
  <c r="N353" i="2"/>
  <c r="N108" i="2"/>
  <c r="N347" i="2"/>
  <c r="N436" i="2"/>
  <c r="N247" i="2"/>
  <c r="N406" i="2"/>
  <c r="N598" i="2"/>
  <c r="N517" i="2"/>
  <c r="N82" i="2"/>
  <c r="N240" i="2"/>
  <c r="N410" i="2"/>
  <c r="N21" i="2"/>
  <c r="N300" i="2"/>
  <c r="N392" i="2"/>
  <c r="N172" i="2"/>
  <c r="N564" i="2"/>
  <c r="N522" i="2"/>
  <c r="N145" i="2"/>
  <c r="N73" i="2"/>
  <c r="N475" i="2"/>
  <c r="N590" i="2"/>
  <c r="N293" i="2"/>
  <c r="N337" i="2"/>
  <c r="N119" i="2"/>
  <c r="N94" i="2"/>
  <c r="N104" i="2"/>
  <c r="N69" i="2"/>
  <c r="N22" i="2"/>
  <c r="N51" i="2"/>
  <c r="N324" i="2"/>
  <c r="N165" i="2"/>
  <c r="N506" i="2"/>
  <c r="N278" i="2"/>
  <c r="N466" i="2"/>
  <c r="N417" i="2"/>
  <c r="N186" i="2"/>
  <c r="N207" i="2"/>
  <c r="N335" i="2"/>
  <c r="N283" i="2"/>
  <c r="N282" i="2"/>
  <c r="N30" i="2"/>
  <c r="N220" i="2"/>
  <c r="N124" i="2"/>
  <c r="N555" i="2"/>
  <c r="N149" i="2"/>
  <c r="N318" i="2"/>
  <c r="N38" i="2"/>
  <c r="N233" i="2"/>
  <c r="N262" i="2"/>
  <c r="N380" i="2"/>
  <c r="N86" i="2"/>
  <c r="N548" i="2"/>
  <c r="N334" i="2"/>
  <c r="N354" i="2"/>
  <c r="N133" i="2"/>
  <c r="N369" i="2"/>
  <c r="N211" i="2"/>
  <c r="N90" i="2"/>
  <c r="N589" i="2"/>
  <c r="N184" i="2"/>
  <c r="N271" i="2"/>
  <c r="N367" i="2"/>
  <c r="N298" i="2"/>
  <c r="N546" i="2"/>
  <c r="N96" i="2"/>
  <c r="N418" i="2"/>
  <c r="N200" i="2"/>
  <c r="N454" i="2"/>
  <c r="N36" i="2"/>
  <c r="N432" i="2"/>
  <c r="N198" i="2"/>
  <c r="N319" i="2"/>
  <c r="N223" i="2"/>
  <c r="N83" i="2"/>
  <c r="N264" i="2"/>
  <c r="N24" i="2"/>
  <c r="N441" i="2"/>
  <c r="N584" i="2"/>
  <c r="N449" i="2"/>
  <c r="N43" i="2"/>
  <c r="N244" i="2"/>
  <c r="N224" i="2"/>
  <c r="N313" i="2"/>
  <c r="N465" i="2"/>
  <c r="N427" i="2"/>
  <c r="N455" i="2"/>
  <c r="N167" i="2"/>
  <c r="N292" i="2"/>
  <c r="N310" i="2"/>
  <c r="N193" i="2"/>
  <c r="N241" i="2"/>
  <c r="N393" i="2"/>
  <c r="N595" i="2"/>
  <c r="N59" i="2"/>
  <c r="N558" i="2"/>
  <c r="N158" i="2"/>
  <c r="N566" i="2"/>
  <c r="N528" i="2"/>
  <c r="N453" i="2"/>
  <c r="N297" i="2"/>
  <c r="N161" i="2"/>
  <c r="N561" i="2"/>
  <c r="N368" i="2"/>
  <c r="N40" i="2"/>
  <c r="N345" i="2"/>
  <c r="N376" i="2"/>
  <c r="N239" i="2"/>
  <c r="N370" i="2"/>
  <c r="N101" i="2"/>
  <c r="N557" i="2"/>
  <c r="N572" i="2"/>
  <c r="N236" i="2"/>
  <c r="N444" i="2"/>
  <c r="N511" i="2"/>
  <c r="N390" i="2"/>
  <c r="N467" i="2"/>
  <c r="N363" i="2"/>
  <c r="N35" i="2"/>
  <c r="N84" i="2"/>
  <c r="N168" i="2"/>
  <c r="N77" i="2"/>
  <c r="N540" i="2"/>
  <c r="N596" i="2"/>
  <c r="N479" i="2"/>
  <c r="N552" i="2"/>
  <c r="N355" i="2"/>
  <c r="N594" i="2"/>
  <c r="N159" i="2"/>
  <c r="N98" i="2"/>
  <c r="N352" i="2"/>
  <c r="N28" i="2"/>
  <c r="N505" i="2"/>
  <c r="N433" i="2"/>
  <c r="N508" i="2"/>
  <c r="N234" i="2"/>
  <c r="N237" i="2"/>
  <c r="N321" i="2"/>
  <c r="N226" i="2"/>
  <c r="N325" i="2"/>
  <c r="N18" i="2"/>
  <c r="N217" i="2"/>
  <c r="N125" i="2"/>
  <c r="N3" i="2"/>
  <c r="N553" i="2"/>
  <c r="N575" i="2"/>
  <c r="N326" i="2"/>
  <c r="N251" i="2"/>
  <c r="N573" i="2"/>
  <c r="N581" i="2"/>
  <c r="N361" i="2"/>
  <c r="N203" i="2"/>
  <c r="N487" i="2"/>
  <c r="N366" i="2"/>
  <c r="N357" i="2"/>
  <c r="N255" i="2"/>
  <c r="N232" i="2"/>
  <c r="N121" i="2"/>
  <c r="N400" i="2"/>
  <c r="N146" i="2"/>
  <c r="N197" i="2"/>
  <c r="N440" i="2"/>
  <c r="N497" i="2"/>
  <c r="N329" i="2"/>
  <c r="N58" i="2"/>
  <c r="N110" i="2"/>
  <c r="N259" i="2"/>
  <c r="N360" i="2"/>
  <c r="N99" i="2"/>
  <c r="N52" i="2"/>
  <c r="N499" i="2"/>
  <c r="N287" i="2"/>
  <c r="N76" i="2"/>
  <c r="N148" i="2"/>
  <c r="N205" i="2"/>
  <c r="N526" i="2"/>
  <c r="N279" i="2"/>
  <c r="N33" i="2"/>
  <c r="N23" i="2"/>
  <c r="N394" i="2"/>
  <c r="N332" i="2"/>
  <c r="N92" i="2"/>
  <c r="N143" i="2"/>
  <c r="N562" i="2"/>
  <c r="N600" i="2"/>
  <c r="N515" i="2"/>
  <c r="N194" i="2"/>
  <c r="N372" i="2"/>
  <c r="N120" i="2"/>
  <c r="N419" i="2"/>
  <c r="N585" i="2"/>
  <c r="N533" i="2"/>
  <c r="N216" i="2"/>
  <c r="N154" i="2"/>
  <c r="N212" i="2"/>
  <c r="N26" i="2"/>
  <c r="N316" i="2"/>
  <c r="N474" i="2"/>
  <c r="N349" i="2"/>
  <c r="N153" i="2"/>
  <c r="N131" i="2"/>
  <c r="N343" i="2"/>
  <c r="N484" i="2"/>
  <c r="N527" i="2"/>
  <c r="N138" i="2"/>
  <c r="N100" i="2"/>
  <c r="N295" i="2"/>
  <c r="N111" i="2"/>
  <c r="N371" i="2"/>
  <c r="N446" i="2"/>
  <c r="N14" i="2"/>
  <c r="N403" i="2"/>
  <c r="N344" i="2"/>
  <c r="N160" i="2"/>
  <c r="N531" i="2"/>
  <c r="N443" i="2"/>
  <c r="N459" i="2"/>
  <c r="N559" i="2"/>
  <c r="N32" i="2"/>
  <c r="N87" i="2"/>
  <c r="N85" i="2"/>
  <c r="N314" i="2"/>
  <c r="N385" i="2"/>
  <c r="N265" i="2"/>
  <c r="N210" i="2"/>
  <c r="N204" i="2"/>
  <c r="N402" i="2"/>
  <c r="N93" i="2"/>
  <c r="N309" i="2"/>
  <c r="N501" i="2"/>
  <c r="N227" i="2"/>
  <c r="N166" i="2"/>
  <c r="N306" i="2"/>
  <c r="N155" i="2"/>
  <c r="N70" i="2"/>
  <c r="N5" i="2"/>
  <c r="N504" i="2"/>
  <c r="N53" i="2"/>
  <c r="N328" i="2"/>
  <c r="N284" i="2"/>
  <c r="N266" i="2"/>
  <c r="N62" i="2"/>
  <c r="N112" i="2"/>
  <c r="N46" i="2"/>
  <c r="N429" i="2"/>
  <c r="N500" i="2"/>
  <c r="N47" i="2"/>
  <c r="N317" i="2"/>
  <c r="N593" i="2"/>
  <c r="N289" i="2"/>
  <c r="N20" i="2"/>
  <c r="N481" i="2"/>
  <c r="N388" i="2"/>
  <c r="N222" i="2"/>
  <c r="N359" i="2"/>
  <c r="N520" i="2"/>
  <c r="N512" i="2"/>
  <c r="N428" i="2"/>
  <c r="N541" i="2"/>
  <c r="N180" i="2"/>
  <c r="N67" i="2"/>
  <c r="N493" i="2"/>
  <c r="N518" i="2"/>
  <c r="N377" i="2"/>
  <c r="N405" i="2"/>
  <c r="N274" i="2"/>
  <c r="N395" i="2"/>
  <c r="N9" i="2"/>
  <c r="N263" i="2"/>
  <c r="N249" i="2"/>
  <c r="N563" i="2"/>
  <c r="N416" i="2"/>
  <c r="N452" i="2"/>
  <c r="N296" i="2"/>
  <c r="N437" i="2"/>
  <c r="N513" i="2"/>
  <c r="N424" i="2"/>
  <c r="N483" i="2"/>
  <c r="N556" i="2"/>
  <c r="N201" i="2"/>
  <c r="N445" i="2"/>
  <c r="M303" i="2"/>
  <c r="M191" i="2"/>
  <c r="M288" i="2"/>
  <c r="M44" i="2"/>
  <c r="M560" i="2"/>
  <c r="M199" i="2"/>
  <c r="M415" i="2"/>
  <c r="M72" i="2"/>
  <c r="M17" i="2"/>
  <c r="M56" i="2"/>
  <c r="M231" i="2"/>
  <c r="M312" i="2"/>
  <c r="M496" i="2"/>
  <c r="M348" i="2"/>
  <c r="M509" i="2"/>
  <c r="M243" i="2"/>
  <c r="M469" i="2"/>
  <c r="M597" i="2"/>
  <c r="M8" i="2"/>
  <c r="M269" i="2"/>
  <c r="M142" i="2"/>
  <c r="M374" i="2"/>
  <c r="M430" i="2"/>
  <c r="M591" i="2"/>
  <c r="M554" i="2"/>
  <c r="M208" i="2"/>
  <c r="M539" i="2"/>
  <c r="M182" i="2"/>
  <c r="M64" i="2"/>
  <c r="M248" i="2"/>
  <c r="M365" i="2"/>
  <c r="M137" i="2"/>
  <c r="M498" i="2"/>
  <c r="M209" i="2"/>
  <c r="M576" i="2"/>
  <c r="M351" i="2"/>
  <c r="M281" i="2"/>
  <c r="M535" i="2"/>
  <c r="M4" i="2"/>
  <c r="M409" i="2"/>
  <c r="M272" i="2"/>
  <c r="M65" i="2"/>
  <c r="M408" i="2"/>
  <c r="M116" i="2"/>
  <c r="M485" i="2"/>
  <c r="M315" i="2"/>
  <c r="M587" i="2"/>
  <c r="M105" i="2"/>
  <c r="M253" i="2"/>
  <c r="M156" i="2"/>
  <c r="M267" i="2"/>
  <c r="M439" i="2"/>
  <c r="M397" i="2"/>
  <c r="M74" i="2"/>
  <c r="M57" i="2"/>
  <c r="M447" i="2"/>
  <c r="M55" i="2"/>
  <c r="M534" i="2"/>
  <c r="M19" i="2"/>
  <c r="M34" i="2"/>
  <c r="M181" i="2"/>
  <c r="M260" i="2"/>
  <c r="M308" i="2"/>
  <c r="M141" i="2"/>
  <c r="M129" i="2"/>
  <c r="M190" i="2"/>
  <c r="M468" i="2"/>
  <c r="M15" i="2"/>
  <c r="M127" i="2"/>
  <c r="M404" i="2"/>
  <c r="M460" i="2"/>
  <c r="M285" i="2"/>
  <c r="M450" i="2"/>
  <c r="M307" i="2"/>
  <c r="M183" i="2"/>
  <c r="M472" i="2"/>
  <c r="M2" i="2"/>
  <c r="M11" i="2"/>
  <c r="M413" i="2"/>
  <c r="M304" i="2"/>
  <c r="M157" i="2"/>
  <c r="M414" i="2"/>
  <c r="M577" i="2"/>
  <c r="M60" i="2"/>
  <c r="M238" i="2"/>
  <c r="M89" i="2"/>
  <c r="M571" i="2"/>
  <c r="M423" i="2"/>
  <c r="M95" i="2"/>
  <c r="M448" i="2"/>
  <c r="M229" i="2"/>
  <c r="M192" i="2"/>
  <c r="M331" i="2"/>
  <c r="M109" i="2"/>
  <c r="M524" i="2"/>
  <c r="M195" i="2"/>
  <c r="M336" i="2"/>
  <c r="M25" i="2"/>
  <c r="M128" i="2"/>
  <c r="M494" i="2"/>
  <c r="M401" i="2"/>
  <c r="M150" i="2"/>
  <c r="M431" i="2"/>
  <c r="M162" i="2"/>
  <c r="M139" i="2"/>
  <c r="M529" i="2"/>
  <c r="M339" i="2"/>
  <c r="M383" i="2"/>
  <c r="M163" i="2"/>
  <c r="M16" i="2"/>
  <c r="M542" i="2"/>
  <c r="M412" i="2"/>
  <c r="M482" i="2"/>
  <c r="M599" i="2"/>
  <c r="M391" i="2"/>
  <c r="M134" i="2"/>
  <c r="M117" i="2"/>
  <c r="M13" i="2"/>
  <c r="M122" i="2"/>
  <c r="M256" i="2"/>
  <c r="M586" i="2"/>
  <c r="M425" i="2"/>
  <c r="M305" i="2"/>
  <c r="M399" i="2"/>
  <c r="M63" i="2"/>
  <c r="M78" i="2"/>
  <c r="M39" i="2"/>
  <c r="M386" i="2"/>
  <c r="M140" i="2"/>
  <c r="M523" i="2"/>
  <c r="M187" i="2"/>
  <c r="M102" i="2"/>
  <c r="M580" i="2"/>
  <c r="M273" i="2"/>
  <c r="M219" i="2"/>
  <c r="M151" i="2"/>
  <c r="M477" i="2"/>
  <c r="M268" i="2"/>
  <c r="M489" i="2"/>
  <c r="M80" i="2"/>
  <c r="M257" i="2"/>
  <c r="M66" i="2"/>
  <c r="M486" i="2"/>
  <c r="M286" i="2"/>
  <c r="M373" i="2"/>
  <c r="M12" i="2"/>
  <c r="M341" i="2"/>
  <c r="M457" i="2"/>
  <c r="M567" i="2"/>
  <c r="M311" i="2"/>
  <c r="M213" i="2"/>
  <c r="M346" i="2"/>
  <c r="M323" i="2"/>
  <c r="M516" i="2"/>
  <c r="M252" i="2"/>
  <c r="M132" i="2"/>
  <c r="M173" i="2"/>
  <c r="M382" i="2"/>
  <c r="M88" i="2"/>
  <c r="M536" i="2"/>
  <c r="M503" i="2"/>
  <c r="M538" i="2"/>
  <c r="M152" i="2"/>
  <c r="M463" i="2"/>
  <c r="M480" i="2"/>
  <c r="M456" i="2"/>
  <c r="M75" i="2"/>
  <c r="M97" i="2"/>
  <c r="M206" i="2"/>
  <c r="M537" i="2"/>
  <c r="M221" i="2"/>
  <c r="M136" i="2"/>
  <c r="M106" i="2"/>
  <c r="M568" i="2"/>
  <c r="M214" i="2"/>
  <c r="M488" i="2"/>
  <c r="M81" i="2"/>
  <c r="M41" i="2"/>
  <c r="M543" i="2"/>
  <c r="M276" i="2"/>
  <c r="M570" i="2"/>
  <c r="M215" i="2"/>
  <c r="M451" i="2"/>
  <c r="M547" i="2"/>
  <c r="M250" i="2"/>
  <c r="M290" i="2"/>
  <c r="M502" i="2"/>
  <c r="M225" i="2"/>
  <c r="M364" i="2"/>
  <c r="M550" i="2"/>
  <c r="M478" i="2"/>
  <c r="M42" i="2"/>
  <c r="M530" i="2"/>
  <c r="M169" i="2"/>
  <c r="M379" i="2"/>
  <c r="M411" i="2"/>
  <c r="M476" i="2"/>
  <c r="M103" i="2"/>
  <c r="M421" i="2"/>
  <c r="M45" i="2"/>
  <c r="M420" i="2"/>
  <c r="M79" i="2"/>
  <c r="M261" i="2"/>
  <c r="M569" i="2"/>
  <c r="M407" i="2"/>
  <c r="M61" i="2"/>
  <c r="M532" i="2"/>
  <c r="M458" i="2"/>
  <c r="M113" i="2"/>
  <c r="M10" i="2"/>
  <c r="M202" i="2"/>
  <c r="M510" i="2"/>
  <c r="M327" i="2"/>
  <c r="M91" i="2"/>
  <c r="M50" i="2"/>
  <c r="M396" i="2"/>
  <c r="M185" i="2"/>
  <c r="M490" i="2"/>
  <c r="M507" i="2"/>
  <c r="M461" i="2"/>
  <c r="M29" i="2"/>
  <c r="M387" i="2"/>
  <c r="M177" i="2"/>
  <c r="M473" i="2"/>
  <c r="M470" i="2"/>
  <c r="M71" i="2"/>
  <c r="M320" i="2"/>
  <c r="M277" i="2"/>
  <c r="M333" i="2"/>
  <c r="M426" i="2"/>
  <c r="M519" i="2"/>
  <c r="M31" i="2"/>
  <c r="M579" i="2"/>
  <c r="M356" i="2"/>
  <c r="M378" i="2"/>
  <c r="M218" i="2"/>
  <c r="M381" i="2"/>
  <c r="M130" i="2"/>
  <c r="M230" i="2"/>
  <c r="M114" i="2"/>
  <c r="M242" i="2"/>
  <c r="M37" i="2"/>
  <c r="M582" i="2"/>
  <c r="M495" i="2"/>
  <c r="M228" i="2"/>
  <c r="M340" i="2"/>
  <c r="M342" i="2"/>
  <c r="M375" i="2"/>
  <c r="M254" i="2"/>
  <c r="M178" i="2"/>
  <c r="M115" i="2"/>
  <c r="M7" i="2"/>
  <c r="M147" i="2"/>
  <c r="M68" i="2"/>
  <c r="M135" i="2"/>
  <c r="M545" i="2"/>
  <c r="M574" i="2"/>
  <c r="M583" i="2"/>
  <c r="M302" i="2"/>
  <c r="M471" i="2"/>
  <c r="M179" i="2"/>
  <c r="M492" i="2"/>
  <c r="M592" i="2"/>
  <c r="M170" i="2"/>
  <c r="M171" i="2"/>
  <c r="M174" i="2"/>
  <c r="M27" i="2"/>
  <c r="M175" i="2"/>
  <c r="M588" i="2"/>
  <c r="M462" i="2"/>
  <c r="M107" i="2"/>
  <c r="M144" i="2"/>
  <c r="M196" i="2"/>
  <c r="M338" i="2"/>
  <c r="M330" i="2"/>
  <c r="M164" i="2"/>
  <c r="M294" i="2"/>
  <c r="M245" i="2"/>
  <c r="M398" i="2"/>
  <c r="M549" i="2"/>
  <c r="M350" i="2"/>
  <c r="M301" i="2"/>
  <c r="M275" i="2"/>
  <c r="M442" i="2"/>
  <c r="M491" i="2"/>
  <c r="M270" i="2"/>
  <c r="M48" i="2"/>
  <c r="M578" i="2"/>
  <c r="M299" i="2"/>
  <c r="M525" i="2"/>
  <c r="M188" i="2"/>
  <c r="M123" i="2"/>
  <c r="M6" i="2"/>
  <c r="M362" i="2"/>
  <c r="M258" i="2"/>
  <c r="M118" i="2"/>
  <c r="M544" i="2"/>
  <c r="M438" i="2"/>
  <c r="M389" i="2"/>
  <c r="M434" i="2"/>
  <c r="M189" i="2"/>
  <c r="M514" i="2"/>
  <c r="M176" i="2"/>
  <c r="M422" i="2"/>
  <c r="M358" i="2"/>
  <c r="M280" i="2"/>
  <c r="M291" i="2"/>
  <c r="M246" i="2"/>
  <c r="M521" i="2"/>
  <c r="M565" i="2"/>
  <c r="M322" i="2"/>
  <c r="M384" i="2"/>
  <c r="M435" i="2"/>
  <c r="M235" i="2"/>
  <c r="M49" i="2"/>
  <c r="M464" i="2"/>
  <c r="M54" i="2"/>
  <c r="M126" i="2"/>
  <c r="M353" i="2"/>
  <c r="M108" i="2"/>
  <c r="M347" i="2"/>
  <c r="M436" i="2"/>
  <c r="M247" i="2"/>
  <c r="M406" i="2"/>
  <c r="M598" i="2"/>
  <c r="M517" i="2"/>
  <c r="M82" i="2"/>
  <c r="M240" i="2"/>
  <c r="M410" i="2"/>
  <c r="M21" i="2"/>
  <c r="M300" i="2"/>
  <c r="M392" i="2"/>
  <c r="M172" i="2"/>
  <c r="M564" i="2"/>
  <c r="M522" i="2"/>
  <c r="M145" i="2"/>
  <c r="M73" i="2"/>
  <c r="M475" i="2"/>
  <c r="M590" i="2"/>
  <c r="M293" i="2"/>
  <c r="M337" i="2"/>
  <c r="M119" i="2"/>
  <c r="M94" i="2"/>
  <c r="M104" i="2"/>
  <c r="M69" i="2"/>
  <c r="M22" i="2"/>
  <c r="M51" i="2"/>
  <c r="M324" i="2"/>
  <c r="M165" i="2"/>
  <c r="M506" i="2"/>
  <c r="M278" i="2"/>
  <c r="M466" i="2"/>
  <c r="M417" i="2"/>
  <c r="M186" i="2"/>
  <c r="M207" i="2"/>
  <c r="M335" i="2"/>
  <c r="M283" i="2"/>
  <c r="M282" i="2"/>
  <c r="M30" i="2"/>
  <c r="M220" i="2"/>
  <c r="M124" i="2"/>
  <c r="M555" i="2"/>
  <c r="M149" i="2"/>
  <c r="M318" i="2"/>
  <c r="M38" i="2"/>
  <c r="M233" i="2"/>
  <c r="M262" i="2"/>
  <c r="M380" i="2"/>
  <c r="M86" i="2"/>
  <c r="M548" i="2"/>
  <c r="M334" i="2"/>
  <c r="M354" i="2"/>
  <c r="M133" i="2"/>
  <c r="M369" i="2"/>
  <c r="M211" i="2"/>
  <c r="M90" i="2"/>
  <c r="M589" i="2"/>
  <c r="M184" i="2"/>
  <c r="M271" i="2"/>
  <c r="M367" i="2"/>
  <c r="M298" i="2"/>
  <c r="M546" i="2"/>
  <c r="M96" i="2"/>
  <c r="M418" i="2"/>
  <c r="M200" i="2"/>
  <c r="M454" i="2"/>
  <c r="M36" i="2"/>
  <c r="M432" i="2"/>
  <c r="M198" i="2"/>
  <c r="M319" i="2"/>
  <c r="M223" i="2"/>
  <c r="M83" i="2"/>
  <c r="M264" i="2"/>
  <c r="M24" i="2"/>
  <c r="M441" i="2"/>
  <c r="M584" i="2"/>
  <c r="M449" i="2"/>
  <c r="M43" i="2"/>
  <c r="M244" i="2"/>
  <c r="M224" i="2"/>
  <c r="M313" i="2"/>
  <c r="M465" i="2"/>
  <c r="M427" i="2"/>
  <c r="M455" i="2"/>
  <c r="M167" i="2"/>
  <c r="M292" i="2"/>
  <c r="M310" i="2"/>
  <c r="M193" i="2"/>
  <c r="M241" i="2"/>
  <c r="M393" i="2"/>
  <c r="M595" i="2"/>
  <c r="M59" i="2"/>
  <c r="M558" i="2"/>
  <c r="M158" i="2"/>
  <c r="M566" i="2"/>
  <c r="M528" i="2"/>
  <c r="M453" i="2"/>
  <c r="M297" i="2"/>
  <c r="M161" i="2"/>
  <c r="M561" i="2"/>
  <c r="M368" i="2"/>
  <c r="M40" i="2"/>
  <c r="M345" i="2"/>
  <c r="M376" i="2"/>
  <c r="M239" i="2"/>
  <c r="M370" i="2"/>
  <c r="M101" i="2"/>
  <c r="M557" i="2"/>
  <c r="M572" i="2"/>
  <c r="M236" i="2"/>
  <c r="M444" i="2"/>
  <c r="M511" i="2"/>
  <c r="M390" i="2"/>
  <c r="M467" i="2"/>
  <c r="M363" i="2"/>
  <c r="M35" i="2"/>
  <c r="M84" i="2"/>
  <c r="M168" i="2"/>
  <c r="M77" i="2"/>
  <c r="M540" i="2"/>
  <c r="M596" i="2"/>
  <c r="M479" i="2"/>
  <c r="M552" i="2"/>
  <c r="M355" i="2"/>
  <c r="M594" i="2"/>
  <c r="M159" i="2"/>
  <c r="M98" i="2"/>
  <c r="M352" i="2"/>
  <c r="M28" i="2"/>
  <c r="M505" i="2"/>
  <c r="M433" i="2"/>
  <c r="M508" i="2"/>
  <c r="M234" i="2"/>
  <c r="M237" i="2"/>
  <c r="M321" i="2"/>
  <c r="M226" i="2"/>
  <c r="M325" i="2"/>
  <c r="M18" i="2"/>
  <c r="M217" i="2"/>
  <c r="M125" i="2"/>
  <c r="M3" i="2"/>
  <c r="M553" i="2"/>
  <c r="M575" i="2"/>
  <c r="M326" i="2"/>
  <c r="M251" i="2"/>
  <c r="M573" i="2"/>
  <c r="M581" i="2"/>
  <c r="M361" i="2"/>
  <c r="M203" i="2"/>
  <c r="M487" i="2"/>
  <c r="M366" i="2"/>
  <c r="M357" i="2"/>
  <c r="M255" i="2"/>
  <c r="M232" i="2"/>
  <c r="M121" i="2"/>
  <c r="M400" i="2"/>
  <c r="M146" i="2"/>
  <c r="M197" i="2"/>
  <c r="M440" i="2"/>
  <c r="M497" i="2"/>
  <c r="M329" i="2"/>
  <c r="M58" i="2"/>
  <c r="M110" i="2"/>
  <c r="M259" i="2"/>
  <c r="M360" i="2"/>
  <c r="M99" i="2"/>
  <c r="M52" i="2"/>
  <c r="M499" i="2"/>
  <c r="M287" i="2"/>
  <c r="M76" i="2"/>
  <c r="M148" i="2"/>
  <c r="M205" i="2"/>
  <c r="M526" i="2"/>
  <c r="M279" i="2"/>
  <c r="M33" i="2"/>
  <c r="M23" i="2"/>
  <c r="M394" i="2"/>
  <c r="M332" i="2"/>
  <c r="M92" i="2"/>
  <c r="M143" i="2"/>
  <c r="M562" i="2"/>
  <c r="M600" i="2"/>
  <c r="M515" i="2"/>
  <c r="M194" i="2"/>
  <c r="M372" i="2"/>
  <c r="M120" i="2"/>
  <c r="M419" i="2"/>
  <c r="M585" i="2"/>
  <c r="M533" i="2"/>
  <c r="M216" i="2"/>
  <c r="M154" i="2"/>
  <c r="M212" i="2"/>
  <c r="M26" i="2"/>
  <c r="M316" i="2"/>
  <c r="M474" i="2"/>
  <c r="M349" i="2"/>
  <c r="M153" i="2"/>
  <c r="M131" i="2"/>
  <c r="M343" i="2"/>
  <c r="M484" i="2"/>
  <c r="M527" i="2"/>
  <c r="M138" i="2"/>
  <c r="M100" i="2"/>
  <c r="M295" i="2"/>
  <c r="M111" i="2"/>
  <c r="M371" i="2"/>
  <c r="M446" i="2"/>
  <c r="M14" i="2"/>
  <c r="M403" i="2"/>
  <c r="M344" i="2"/>
  <c r="M160" i="2"/>
  <c r="M531" i="2"/>
  <c r="M443" i="2"/>
  <c r="M459" i="2"/>
  <c r="M559" i="2"/>
  <c r="M32" i="2"/>
  <c r="M87" i="2"/>
  <c r="M85" i="2"/>
  <c r="M314" i="2"/>
  <c r="M385" i="2"/>
  <c r="M265" i="2"/>
  <c r="M210" i="2"/>
  <c r="M204" i="2"/>
  <c r="M402" i="2"/>
  <c r="M93" i="2"/>
  <c r="M309" i="2"/>
  <c r="M501" i="2"/>
  <c r="M227" i="2"/>
  <c r="M166" i="2"/>
  <c r="M306" i="2"/>
  <c r="M155" i="2"/>
  <c r="M70" i="2"/>
  <c r="M5" i="2"/>
  <c r="M504" i="2"/>
  <c r="M53" i="2"/>
  <c r="M328" i="2"/>
  <c r="M284" i="2"/>
  <c r="M266" i="2"/>
  <c r="M62" i="2"/>
  <c r="M112" i="2"/>
  <c r="M46" i="2"/>
  <c r="M429" i="2"/>
  <c r="M500" i="2"/>
  <c r="M47" i="2"/>
  <c r="M317" i="2"/>
  <c r="M593" i="2"/>
  <c r="M289" i="2"/>
  <c r="M20" i="2"/>
  <c r="M481" i="2"/>
  <c r="M388" i="2"/>
  <c r="M222" i="2"/>
  <c r="M359" i="2"/>
  <c r="M520" i="2"/>
  <c r="M512" i="2"/>
  <c r="M428" i="2"/>
  <c r="M541" i="2"/>
  <c r="M180" i="2"/>
  <c r="M67" i="2"/>
  <c r="M493" i="2"/>
  <c r="M518" i="2"/>
  <c r="M377" i="2"/>
  <c r="M405" i="2"/>
  <c r="M274" i="2"/>
  <c r="M395" i="2"/>
  <c r="M9" i="2"/>
  <c r="M263" i="2"/>
  <c r="M249" i="2"/>
  <c r="M563" i="2"/>
  <c r="M416" i="2"/>
  <c r="M452" i="2"/>
  <c r="M296" i="2"/>
  <c r="M437" i="2"/>
  <c r="M513" i="2"/>
  <c r="M424" i="2"/>
  <c r="M483" i="2"/>
  <c r="M556" i="2"/>
  <c r="M201" i="2"/>
  <c r="M445" i="2"/>
  <c r="L303" i="2"/>
  <c r="L191" i="2"/>
  <c r="L288" i="2"/>
  <c r="L44" i="2"/>
  <c r="L560" i="2"/>
  <c r="L199" i="2"/>
  <c r="L415" i="2"/>
  <c r="L72" i="2"/>
  <c r="L17" i="2"/>
  <c r="L56" i="2"/>
  <c r="L231" i="2"/>
  <c r="L312" i="2"/>
  <c r="L496" i="2"/>
  <c r="L348" i="2"/>
  <c r="L509" i="2"/>
  <c r="L243" i="2"/>
  <c r="L469" i="2"/>
  <c r="L597" i="2"/>
  <c r="L8" i="2"/>
  <c r="L269" i="2"/>
  <c r="L142" i="2"/>
  <c r="L374" i="2"/>
  <c r="L430" i="2"/>
  <c r="L591" i="2"/>
  <c r="L554" i="2"/>
  <c r="L208" i="2"/>
  <c r="L539" i="2"/>
  <c r="L182" i="2"/>
  <c r="L64" i="2"/>
  <c r="L248" i="2"/>
  <c r="L365" i="2"/>
  <c r="L137" i="2"/>
  <c r="L498" i="2"/>
  <c r="L209" i="2"/>
  <c r="L576" i="2"/>
  <c r="L351" i="2"/>
  <c r="L281" i="2"/>
  <c r="L535" i="2"/>
  <c r="L4" i="2"/>
  <c r="L409" i="2"/>
  <c r="L272" i="2"/>
  <c r="L65" i="2"/>
  <c r="L408" i="2"/>
  <c r="L116" i="2"/>
  <c r="L485" i="2"/>
  <c r="L315" i="2"/>
  <c r="L587" i="2"/>
  <c r="L105" i="2"/>
  <c r="L253" i="2"/>
  <c r="L156" i="2"/>
  <c r="L267" i="2"/>
  <c r="L439" i="2"/>
  <c r="L397" i="2"/>
  <c r="L74" i="2"/>
  <c r="L57" i="2"/>
  <c r="L447" i="2"/>
  <c r="L55" i="2"/>
  <c r="L534" i="2"/>
  <c r="L19" i="2"/>
  <c r="L34" i="2"/>
  <c r="L181" i="2"/>
  <c r="L260" i="2"/>
  <c r="L308" i="2"/>
  <c r="L141" i="2"/>
  <c r="L129" i="2"/>
  <c r="L190" i="2"/>
  <c r="L468" i="2"/>
  <c r="L15" i="2"/>
  <c r="L127" i="2"/>
  <c r="L404" i="2"/>
  <c r="L460" i="2"/>
  <c r="L285" i="2"/>
  <c r="L450" i="2"/>
  <c r="L307" i="2"/>
  <c r="L183" i="2"/>
  <c r="L472" i="2"/>
  <c r="L2" i="2"/>
  <c r="L11" i="2"/>
  <c r="L413" i="2"/>
  <c r="L304" i="2"/>
  <c r="L157" i="2"/>
  <c r="L414" i="2"/>
  <c r="L577" i="2"/>
  <c r="L60" i="2"/>
  <c r="L238" i="2"/>
  <c r="L89" i="2"/>
  <c r="L571" i="2"/>
  <c r="L423" i="2"/>
  <c r="L95" i="2"/>
  <c r="L448" i="2"/>
  <c r="L229" i="2"/>
  <c r="L192" i="2"/>
  <c r="L331" i="2"/>
  <c r="L109" i="2"/>
  <c r="L524" i="2"/>
  <c r="L195" i="2"/>
  <c r="L336" i="2"/>
  <c r="L25" i="2"/>
  <c r="L128" i="2"/>
  <c r="L494" i="2"/>
  <c r="L401" i="2"/>
  <c r="L150" i="2"/>
  <c r="L431" i="2"/>
  <c r="L162" i="2"/>
  <c r="L139" i="2"/>
  <c r="L529" i="2"/>
  <c r="L339" i="2"/>
  <c r="L383" i="2"/>
  <c r="L163" i="2"/>
  <c r="L16" i="2"/>
  <c r="L542" i="2"/>
  <c r="L412" i="2"/>
  <c r="L482" i="2"/>
  <c r="L599" i="2"/>
  <c r="L391" i="2"/>
  <c r="L134" i="2"/>
  <c r="L117" i="2"/>
  <c r="L13" i="2"/>
  <c r="L122" i="2"/>
  <c r="L256" i="2"/>
  <c r="L586" i="2"/>
  <c r="L425" i="2"/>
  <c r="L305" i="2"/>
  <c r="L399" i="2"/>
  <c r="L63" i="2"/>
  <c r="L78" i="2"/>
  <c r="L39" i="2"/>
  <c r="L386" i="2"/>
  <c r="L140" i="2"/>
  <c r="L523" i="2"/>
  <c r="L187" i="2"/>
  <c r="L102" i="2"/>
  <c r="L580" i="2"/>
  <c r="L273" i="2"/>
  <c r="L219" i="2"/>
  <c r="L151" i="2"/>
  <c r="L477" i="2"/>
  <c r="L268" i="2"/>
  <c r="L489" i="2"/>
  <c r="L80" i="2"/>
  <c r="L257" i="2"/>
  <c r="L66" i="2"/>
  <c r="L486" i="2"/>
  <c r="L286" i="2"/>
  <c r="L373" i="2"/>
  <c r="L12" i="2"/>
  <c r="L341" i="2"/>
  <c r="L457" i="2"/>
  <c r="L567" i="2"/>
  <c r="L311" i="2"/>
  <c r="L213" i="2"/>
  <c r="L346" i="2"/>
  <c r="L323" i="2"/>
  <c r="L516" i="2"/>
  <c r="L252" i="2"/>
  <c r="L132" i="2"/>
  <c r="L173" i="2"/>
  <c r="L382" i="2"/>
  <c r="L88" i="2"/>
  <c r="L536" i="2"/>
  <c r="L503" i="2"/>
  <c r="L538" i="2"/>
  <c r="L152" i="2"/>
  <c r="L463" i="2"/>
  <c r="L480" i="2"/>
  <c r="L456" i="2"/>
  <c r="L75" i="2"/>
  <c r="L97" i="2"/>
  <c r="L206" i="2"/>
  <c r="L537" i="2"/>
  <c r="L221" i="2"/>
  <c r="L136" i="2"/>
  <c r="L106" i="2"/>
  <c r="L568" i="2"/>
  <c r="L214" i="2"/>
  <c r="L488" i="2"/>
  <c r="L81" i="2"/>
  <c r="L41" i="2"/>
  <c r="L543" i="2"/>
  <c r="L276" i="2"/>
  <c r="L570" i="2"/>
  <c r="L215" i="2"/>
  <c r="L451" i="2"/>
  <c r="L547" i="2"/>
  <c r="L250" i="2"/>
  <c r="L290" i="2"/>
  <c r="L502" i="2"/>
  <c r="L225" i="2"/>
  <c r="L364" i="2"/>
  <c r="L550" i="2"/>
  <c r="L478" i="2"/>
  <c r="L42" i="2"/>
  <c r="L530" i="2"/>
  <c r="L169" i="2"/>
  <c r="L379" i="2"/>
  <c r="L411" i="2"/>
  <c r="L476" i="2"/>
  <c r="L103" i="2"/>
  <c r="L421" i="2"/>
  <c r="L45" i="2"/>
  <c r="L420" i="2"/>
  <c r="L79" i="2"/>
  <c r="L261" i="2"/>
  <c r="L569" i="2"/>
  <c r="L407" i="2"/>
  <c r="L61" i="2"/>
  <c r="L532" i="2"/>
  <c r="L458" i="2"/>
  <c r="L113" i="2"/>
  <c r="L10" i="2"/>
  <c r="L202" i="2"/>
  <c r="L510" i="2"/>
  <c r="L327" i="2"/>
  <c r="L91" i="2"/>
  <c r="L50" i="2"/>
  <c r="L396" i="2"/>
  <c r="L185" i="2"/>
  <c r="L490" i="2"/>
  <c r="L507" i="2"/>
  <c r="L461" i="2"/>
  <c r="L29" i="2"/>
  <c r="L387" i="2"/>
  <c r="L177" i="2"/>
  <c r="L473" i="2"/>
  <c r="L470" i="2"/>
  <c r="L71" i="2"/>
  <c r="L320" i="2"/>
  <c r="L277" i="2"/>
  <c r="L333" i="2"/>
  <c r="L426" i="2"/>
  <c r="L519" i="2"/>
  <c r="L31" i="2"/>
  <c r="L579" i="2"/>
  <c r="L356" i="2"/>
  <c r="L378" i="2"/>
  <c r="L218" i="2"/>
  <c r="L381" i="2"/>
  <c r="L130" i="2"/>
  <c r="L230" i="2"/>
  <c r="L114" i="2"/>
  <c r="L242" i="2"/>
  <c r="L37" i="2"/>
  <c r="L582" i="2"/>
  <c r="L495" i="2"/>
  <c r="L228" i="2"/>
  <c r="L340" i="2"/>
  <c r="L342" i="2"/>
  <c r="L375" i="2"/>
  <c r="L254" i="2"/>
  <c r="L178" i="2"/>
  <c r="L115" i="2"/>
  <c r="L7" i="2"/>
  <c r="L147" i="2"/>
  <c r="L68" i="2"/>
  <c r="L135" i="2"/>
  <c r="L545" i="2"/>
  <c r="L574" i="2"/>
  <c r="L583" i="2"/>
  <c r="L302" i="2"/>
  <c r="L471" i="2"/>
  <c r="L179" i="2"/>
  <c r="L492" i="2"/>
  <c r="L592" i="2"/>
  <c r="L170" i="2"/>
  <c r="L171" i="2"/>
  <c r="L174" i="2"/>
  <c r="L27" i="2"/>
  <c r="L175" i="2"/>
  <c r="L588" i="2"/>
  <c r="L462" i="2"/>
  <c r="L107" i="2"/>
  <c r="L144" i="2"/>
  <c r="L196" i="2"/>
  <c r="L338" i="2"/>
  <c r="L330" i="2"/>
  <c r="L164" i="2"/>
  <c r="L294" i="2"/>
  <c r="L245" i="2"/>
  <c r="L398" i="2"/>
  <c r="L549" i="2"/>
  <c r="L350" i="2"/>
  <c r="L301" i="2"/>
  <c r="L275" i="2"/>
  <c r="L442" i="2"/>
  <c r="L491" i="2"/>
  <c r="L270" i="2"/>
  <c r="L48" i="2"/>
  <c r="L578" i="2"/>
  <c r="L299" i="2"/>
  <c r="L525" i="2"/>
  <c r="L188" i="2"/>
  <c r="L123" i="2"/>
  <c r="L6" i="2"/>
  <c r="L362" i="2"/>
  <c r="L258" i="2"/>
  <c r="L118" i="2"/>
  <c r="L544" i="2"/>
  <c r="L438" i="2"/>
  <c r="L389" i="2"/>
  <c r="L434" i="2"/>
  <c r="L189" i="2"/>
  <c r="L514" i="2"/>
  <c r="L176" i="2"/>
  <c r="L422" i="2"/>
  <c r="L358" i="2"/>
  <c r="L280" i="2"/>
  <c r="L291" i="2"/>
  <c r="L246" i="2"/>
  <c r="L521" i="2"/>
  <c r="L565" i="2"/>
  <c r="L322" i="2"/>
  <c r="L384" i="2"/>
  <c r="L435" i="2"/>
  <c r="L235" i="2"/>
  <c r="L49" i="2"/>
  <c r="L464" i="2"/>
  <c r="L54" i="2"/>
  <c r="L126" i="2"/>
  <c r="L353" i="2"/>
  <c r="L108" i="2"/>
  <c r="L347" i="2"/>
  <c r="L436" i="2"/>
  <c r="L247" i="2"/>
  <c r="L406" i="2"/>
  <c r="L598" i="2"/>
  <c r="L517" i="2"/>
  <c r="L82" i="2"/>
  <c r="L240" i="2"/>
  <c r="L410" i="2"/>
  <c r="L21" i="2"/>
  <c r="L300" i="2"/>
  <c r="L392" i="2"/>
  <c r="L172" i="2"/>
  <c r="L564" i="2"/>
  <c r="L522" i="2"/>
  <c r="L145" i="2"/>
  <c r="L73" i="2"/>
  <c r="L475" i="2"/>
  <c r="L590" i="2"/>
  <c r="L293" i="2"/>
  <c r="L337" i="2"/>
  <c r="L119" i="2"/>
  <c r="L94" i="2"/>
  <c r="L104" i="2"/>
  <c r="L69" i="2"/>
  <c r="L22" i="2"/>
  <c r="L51" i="2"/>
  <c r="L324" i="2"/>
  <c r="L165" i="2"/>
  <c r="L506" i="2"/>
  <c r="L278" i="2"/>
  <c r="L466" i="2"/>
  <c r="L417" i="2"/>
  <c r="L186" i="2"/>
  <c r="L207" i="2"/>
  <c r="L335" i="2"/>
  <c r="L283" i="2"/>
  <c r="L282" i="2"/>
  <c r="L30" i="2"/>
  <c r="L220" i="2"/>
  <c r="L124" i="2"/>
  <c r="L555" i="2"/>
  <c r="L149" i="2"/>
  <c r="L318" i="2"/>
  <c r="L38" i="2"/>
  <c r="L233" i="2"/>
  <c r="L262" i="2"/>
  <c r="L380" i="2"/>
  <c r="L86" i="2"/>
  <c r="L548" i="2"/>
  <c r="L334" i="2"/>
  <c r="L354" i="2"/>
  <c r="L133" i="2"/>
  <c r="L369" i="2"/>
  <c r="L211" i="2"/>
  <c r="L90" i="2"/>
  <c r="L589" i="2"/>
  <c r="L184" i="2"/>
  <c r="L271" i="2"/>
  <c r="L367" i="2"/>
  <c r="L298" i="2"/>
  <c r="L546" i="2"/>
  <c r="L96" i="2"/>
  <c r="L418" i="2"/>
  <c r="L200" i="2"/>
  <c r="L454" i="2"/>
  <c r="L36" i="2"/>
  <c r="L432" i="2"/>
  <c r="L198" i="2"/>
  <c r="L319" i="2"/>
  <c r="L223" i="2"/>
  <c r="L83" i="2"/>
  <c r="L264" i="2"/>
  <c r="L24" i="2"/>
  <c r="L441" i="2"/>
  <c r="L584" i="2"/>
  <c r="L449" i="2"/>
  <c r="L43" i="2"/>
  <c r="L244" i="2"/>
  <c r="L224" i="2"/>
  <c r="L313" i="2"/>
  <c r="L465" i="2"/>
  <c r="L427" i="2"/>
  <c r="L455" i="2"/>
  <c r="L167" i="2"/>
  <c r="L292" i="2"/>
  <c r="L310" i="2"/>
  <c r="L193" i="2"/>
  <c r="L241" i="2"/>
  <c r="L393" i="2"/>
  <c r="L595" i="2"/>
  <c r="L59" i="2"/>
  <c r="L558" i="2"/>
  <c r="L158" i="2"/>
  <c r="L566" i="2"/>
  <c r="L528" i="2"/>
  <c r="L453" i="2"/>
  <c r="L297" i="2"/>
  <c r="L161" i="2"/>
  <c r="L561" i="2"/>
  <c r="L368" i="2"/>
  <c r="L40" i="2"/>
  <c r="L345" i="2"/>
  <c r="L376" i="2"/>
  <c r="L239" i="2"/>
  <c r="L370" i="2"/>
  <c r="L101" i="2"/>
  <c r="L557" i="2"/>
  <c r="L572" i="2"/>
  <c r="L236" i="2"/>
  <c r="L444" i="2"/>
  <c r="L511" i="2"/>
  <c r="L390" i="2"/>
  <c r="L467" i="2"/>
  <c r="L363" i="2"/>
  <c r="L35" i="2"/>
  <c r="L84" i="2"/>
  <c r="L168" i="2"/>
  <c r="L77" i="2"/>
  <c r="L540" i="2"/>
  <c r="L596" i="2"/>
  <c r="L479" i="2"/>
  <c r="L552" i="2"/>
  <c r="L355" i="2"/>
  <c r="L594" i="2"/>
  <c r="L159" i="2"/>
  <c r="L98" i="2"/>
  <c r="L352" i="2"/>
  <c r="L28" i="2"/>
  <c r="L505" i="2"/>
  <c r="L433" i="2"/>
  <c r="L508" i="2"/>
  <c r="L234" i="2"/>
  <c r="L237" i="2"/>
  <c r="L321" i="2"/>
  <c r="L226" i="2"/>
  <c r="L325" i="2"/>
  <c r="L18" i="2"/>
  <c r="L217" i="2"/>
  <c r="L125" i="2"/>
  <c r="L3" i="2"/>
  <c r="L553" i="2"/>
  <c r="L575" i="2"/>
  <c r="L326" i="2"/>
  <c r="L251" i="2"/>
  <c r="L573" i="2"/>
  <c r="L581" i="2"/>
  <c r="L361" i="2"/>
  <c r="L203" i="2"/>
  <c r="L487" i="2"/>
  <c r="L366" i="2"/>
  <c r="L357" i="2"/>
  <c r="L255" i="2"/>
  <c r="L232" i="2"/>
  <c r="L121" i="2"/>
  <c r="L400" i="2"/>
  <c r="L146" i="2"/>
  <c r="L197" i="2"/>
  <c r="L440" i="2"/>
  <c r="L497" i="2"/>
  <c r="L329" i="2"/>
  <c r="L58" i="2"/>
  <c r="L110" i="2"/>
  <c r="L259" i="2"/>
  <c r="L360" i="2"/>
  <c r="L99" i="2"/>
  <c r="L52" i="2"/>
  <c r="L499" i="2"/>
  <c r="L287" i="2"/>
  <c r="L76" i="2"/>
  <c r="L148" i="2"/>
  <c r="L205" i="2"/>
  <c r="L526" i="2"/>
  <c r="L279" i="2"/>
  <c r="L33" i="2"/>
  <c r="L23" i="2"/>
  <c r="L394" i="2"/>
  <c r="L332" i="2"/>
  <c r="L92" i="2"/>
  <c r="L143" i="2"/>
  <c r="L562" i="2"/>
  <c r="L600" i="2"/>
  <c r="L515" i="2"/>
  <c r="L194" i="2"/>
  <c r="L372" i="2"/>
  <c r="L120" i="2"/>
  <c r="L419" i="2"/>
  <c r="L585" i="2"/>
  <c r="L533" i="2"/>
  <c r="L216" i="2"/>
  <c r="L154" i="2"/>
  <c r="L212" i="2"/>
  <c r="L26" i="2"/>
  <c r="L316" i="2"/>
  <c r="L474" i="2"/>
  <c r="L349" i="2"/>
  <c r="L153" i="2"/>
  <c r="L131" i="2"/>
  <c r="L343" i="2"/>
  <c r="L484" i="2"/>
  <c r="L527" i="2"/>
  <c r="L138" i="2"/>
  <c r="L100" i="2"/>
  <c r="L295" i="2"/>
  <c r="L111" i="2"/>
  <c r="L371" i="2"/>
  <c r="L446" i="2"/>
  <c r="L14" i="2"/>
  <c r="L403" i="2"/>
  <c r="L344" i="2"/>
  <c r="L160" i="2"/>
  <c r="L531" i="2"/>
  <c r="L443" i="2"/>
  <c r="L459" i="2"/>
  <c r="L559" i="2"/>
  <c r="L32" i="2"/>
  <c r="L87" i="2"/>
  <c r="L85" i="2"/>
  <c r="L314" i="2"/>
  <c r="L385" i="2"/>
  <c r="L265" i="2"/>
  <c r="L210" i="2"/>
  <c r="L204" i="2"/>
  <c r="L402" i="2"/>
  <c r="L93" i="2"/>
  <c r="L309" i="2"/>
  <c r="L501" i="2"/>
  <c r="L227" i="2"/>
  <c r="L166" i="2"/>
  <c r="L306" i="2"/>
  <c r="L155" i="2"/>
  <c r="L70" i="2"/>
  <c r="L5" i="2"/>
  <c r="L504" i="2"/>
  <c r="L53" i="2"/>
  <c r="L328" i="2"/>
  <c r="L284" i="2"/>
  <c r="L266" i="2"/>
  <c r="L62" i="2"/>
  <c r="L112" i="2"/>
  <c r="L46" i="2"/>
  <c r="L429" i="2"/>
  <c r="L500" i="2"/>
  <c r="L47" i="2"/>
  <c r="L317" i="2"/>
  <c r="L593" i="2"/>
  <c r="L289" i="2"/>
  <c r="L20" i="2"/>
  <c r="L481" i="2"/>
  <c r="L388" i="2"/>
  <c r="L222" i="2"/>
  <c r="L359" i="2"/>
  <c r="L520" i="2"/>
  <c r="L512" i="2"/>
  <c r="L428" i="2"/>
  <c r="L541" i="2"/>
  <c r="L180" i="2"/>
  <c r="L67" i="2"/>
  <c r="L493" i="2"/>
  <c r="L518" i="2"/>
  <c r="L377" i="2"/>
  <c r="L405" i="2"/>
  <c r="L274" i="2"/>
  <c r="L395" i="2"/>
  <c r="L9" i="2"/>
  <c r="L263" i="2"/>
  <c r="L249" i="2"/>
  <c r="L563" i="2"/>
  <c r="L416" i="2"/>
  <c r="L452" i="2"/>
  <c r="L296" i="2"/>
  <c r="L437" i="2"/>
  <c r="L513" i="2"/>
  <c r="L424" i="2"/>
  <c r="L483" i="2"/>
  <c r="L556" i="2"/>
  <c r="L201" i="2"/>
  <c r="L445" i="2"/>
  <c r="K303" i="2"/>
  <c r="K191" i="2"/>
  <c r="K288" i="2"/>
  <c r="K44" i="2"/>
  <c r="K560" i="2"/>
  <c r="K199" i="2"/>
  <c r="K415" i="2"/>
  <c r="K72" i="2"/>
  <c r="K17" i="2"/>
  <c r="K56" i="2"/>
  <c r="K231" i="2"/>
  <c r="K312" i="2"/>
  <c r="K496" i="2"/>
  <c r="K348" i="2"/>
  <c r="K509" i="2"/>
  <c r="K243" i="2"/>
  <c r="K469" i="2"/>
  <c r="K597" i="2"/>
  <c r="K8" i="2"/>
  <c r="K269" i="2"/>
  <c r="K142" i="2"/>
  <c r="K374" i="2"/>
  <c r="K430" i="2"/>
  <c r="K591" i="2"/>
  <c r="K554" i="2"/>
  <c r="K208" i="2"/>
  <c r="K539" i="2"/>
  <c r="K182" i="2"/>
  <c r="K64" i="2"/>
  <c r="K248" i="2"/>
  <c r="K365" i="2"/>
  <c r="K137" i="2"/>
  <c r="K498" i="2"/>
  <c r="K209" i="2"/>
  <c r="K576" i="2"/>
  <c r="K351" i="2"/>
  <c r="K281" i="2"/>
  <c r="K535" i="2"/>
  <c r="K4" i="2"/>
  <c r="K409" i="2"/>
  <c r="K272" i="2"/>
  <c r="K65" i="2"/>
  <c r="K408" i="2"/>
  <c r="K116" i="2"/>
  <c r="K485" i="2"/>
  <c r="K315" i="2"/>
  <c r="K587" i="2"/>
  <c r="K105" i="2"/>
  <c r="K253" i="2"/>
  <c r="K156" i="2"/>
  <c r="K267" i="2"/>
  <c r="K439" i="2"/>
  <c r="K397" i="2"/>
  <c r="K74" i="2"/>
  <c r="K57" i="2"/>
  <c r="K447" i="2"/>
  <c r="K55" i="2"/>
  <c r="K534" i="2"/>
  <c r="K19" i="2"/>
  <c r="K34" i="2"/>
  <c r="K181" i="2"/>
  <c r="K260" i="2"/>
  <c r="K308" i="2"/>
  <c r="K141" i="2"/>
  <c r="K129" i="2"/>
  <c r="K190" i="2"/>
  <c r="K468" i="2"/>
  <c r="K15" i="2"/>
  <c r="K127" i="2"/>
  <c r="K404" i="2"/>
  <c r="K460" i="2"/>
  <c r="K285" i="2"/>
  <c r="K450" i="2"/>
  <c r="K307" i="2"/>
  <c r="K183" i="2"/>
  <c r="K472" i="2"/>
  <c r="K2" i="2"/>
  <c r="K11" i="2"/>
  <c r="K413" i="2"/>
  <c r="K304" i="2"/>
  <c r="K157" i="2"/>
  <c r="K414" i="2"/>
  <c r="K577" i="2"/>
  <c r="K60" i="2"/>
  <c r="K238" i="2"/>
  <c r="K89" i="2"/>
  <c r="K571" i="2"/>
  <c r="K423" i="2"/>
  <c r="K95" i="2"/>
  <c r="K448" i="2"/>
  <c r="K229" i="2"/>
  <c r="K192" i="2"/>
  <c r="K331" i="2"/>
  <c r="K109" i="2"/>
  <c r="K524" i="2"/>
  <c r="K195" i="2"/>
  <c r="K336" i="2"/>
  <c r="K25" i="2"/>
  <c r="K128" i="2"/>
  <c r="K494" i="2"/>
  <c r="K401" i="2"/>
  <c r="K150" i="2"/>
  <c r="K431" i="2"/>
  <c r="K162" i="2"/>
  <c r="K139" i="2"/>
  <c r="K529" i="2"/>
  <c r="K339" i="2"/>
  <c r="K383" i="2"/>
  <c r="K163" i="2"/>
  <c r="K16" i="2"/>
  <c r="K542" i="2"/>
  <c r="K412" i="2"/>
  <c r="K482" i="2"/>
  <c r="K599" i="2"/>
  <c r="K391" i="2"/>
  <c r="K134" i="2"/>
  <c r="K117" i="2"/>
  <c r="K13" i="2"/>
  <c r="K122" i="2"/>
  <c r="K256" i="2"/>
  <c r="K586" i="2"/>
  <c r="K425" i="2"/>
  <c r="K305" i="2"/>
  <c r="K399" i="2"/>
  <c r="K63" i="2"/>
  <c r="K78" i="2"/>
  <c r="K39" i="2"/>
  <c r="K386" i="2"/>
  <c r="K140" i="2"/>
  <c r="K523" i="2"/>
  <c r="K187" i="2"/>
  <c r="K102" i="2"/>
  <c r="K580" i="2"/>
  <c r="K273" i="2"/>
  <c r="K219" i="2"/>
  <c r="K151" i="2"/>
  <c r="K477" i="2"/>
  <c r="K268" i="2"/>
  <c r="K489" i="2"/>
  <c r="K80" i="2"/>
  <c r="K257" i="2"/>
  <c r="K66" i="2"/>
  <c r="K486" i="2"/>
  <c r="K286" i="2"/>
  <c r="K373" i="2"/>
  <c r="K12" i="2"/>
  <c r="K341" i="2"/>
  <c r="K457" i="2"/>
  <c r="K567" i="2"/>
  <c r="K311" i="2"/>
  <c r="K213" i="2"/>
  <c r="K346" i="2"/>
  <c r="K323" i="2"/>
  <c r="K516" i="2"/>
  <c r="K252" i="2"/>
  <c r="K132" i="2"/>
  <c r="K173" i="2"/>
  <c r="K382" i="2"/>
  <c r="K88" i="2"/>
  <c r="K536" i="2"/>
  <c r="K503" i="2"/>
  <c r="K538" i="2"/>
  <c r="K152" i="2"/>
  <c r="K463" i="2"/>
  <c r="K480" i="2"/>
  <c r="K456" i="2"/>
  <c r="K75" i="2"/>
  <c r="K97" i="2"/>
  <c r="K206" i="2"/>
  <c r="K537" i="2"/>
  <c r="K221" i="2"/>
  <c r="K136" i="2"/>
  <c r="K106" i="2"/>
  <c r="K568" i="2"/>
  <c r="K214" i="2"/>
  <c r="K488" i="2"/>
  <c r="K81" i="2"/>
  <c r="K41" i="2"/>
  <c r="K543" i="2"/>
  <c r="K276" i="2"/>
  <c r="K570" i="2"/>
  <c r="K215" i="2"/>
  <c r="K451" i="2"/>
  <c r="K547" i="2"/>
  <c r="K250" i="2"/>
  <c r="K290" i="2"/>
  <c r="K502" i="2"/>
  <c r="K225" i="2"/>
  <c r="K364" i="2"/>
  <c r="K550" i="2"/>
  <c r="K478" i="2"/>
  <c r="K42" i="2"/>
  <c r="K530" i="2"/>
  <c r="K169" i="2"/>
  <c r="K379" i="2"/>
  <c r="K411" i="2"/>
  <c r="K476" i="2"/>
  <c r="K103" i="2"/>
  <c r="K421" i="2"/>
  <c r="K45" i="2"/>
  <c r="K420" i="2"/>
  <c r="K79" i="2"/>
  <c r="K261" i="2"/>
  <c r="K569" i="2"/>
  <c r="K407" i="2"/>
  <c r="K61" i="2"/>
  <c r="K532" i="2"/>
  <c r="K458" i="2"/>
  <c r="K113" i="2"/>
  <c r="K10" i="2"/>
  <c r="K202" i="2"/>
  <c r="K510" i="2"/>
  <c r="K327" i="2"/>
  <c r="K91" i="2"/>
  <c r="K50" i="2"/>
  <c r="K396" i="2"/>
  <c r="K185" i="2"/>
  <c r="K490" i="2"/>
  <c r="K507" i="2"/>
  <c r="K461" i="2"/>
  <c r="K29" i="2"/>
  <c r="K387" i="2"/>
  <c r="K177" i="2"/>
  <c r="K473" i="2"/>
  <c r="K470" i="2"/>
  <c r="K71" i="2"/>
  <c r="K320" i="2"/>
  <c r="K277" i="2"/>
  <c r="K333" i="2"/>
  <c r="K426" i="2"/>
  <c r="K519" i="2"/>
  <c r="K31" i="2"/>
  <c r="K579" i="2"/>
  <c r="K356" i="2"/>
  <c r="K378" i="2"/>
  <c r="K218" i="2"/>
  <c r="K381" i="2"/>
  <c r="K130" i="2"/>
  <c r="K230" i="2"/>
  <c r="K114" i="2"/>
  <c r="K242" i="2"/>
  <c r="K37" i="2"/>
  <c r="K582" i="2"/>
  <c r="K495" i="2"/>
  <c r="K228" i="2"/>
  <c r="K340" i="2"/>
  <c r="K342" i="2"/>
  <c r="K375" i="2"/>
  <c r="K254" i="2"/>
  <c r="K178" i="2"/>
  <c r="K115" i="2"/>
  <c r="K7" i="2"/>
  <c r="K147" i="2"/>
  <c r="K68" i="2"/>
  <c r="K135" i="2"/>
  <c r="K545" i="2"/>
  <c r="K574" i="2"/>
  <c r="K583" i="2"/>
  <c r="K302" i="2"/>
  <c r="K471" i="2"/>
  <c r="K179" i="2"/>
  <c r="K492" i="2"/>
  <c r="K592" i="2"/>
  <c r="K170" i="2"/>
  <c r="K171" i="2"/>
  <c r="K174" i="2"/>
  <c r="K27" i="2"/>
  <c r="K175" i="2"/>
  <c r="K588" i="2"/>
  <c r="K462" i="2"/>
  <c r="K107" i="2"/>
  <c r="K144" i="2"/>
  <c r="K196" i="2"/>
  <c r="K338" i="2"/>
  <c r="K330" i="2"/>
  <c r="K164" i="2"/>
  <c r="K294" i="2"/>
  <c r="K245" i="2"/>
  <c r="K398" i="2"/>
  <c r="K549" i="2"/>
  <c r="K350" i="2"/>
  <c r="K301" i="2"/>
  <c r="K275" i="2"/>
  <c r="K442" i="2"/>
  <c r="K491" i="2"/>
  <c r="K270" i="2"/>
  <c r="K48" i="2"/>
  <c r="K578" i="2"/>
  <c r="K299" i="2"/>
  <c r="K525" i="2"/>
  <c r="K188" i="2"/>
  <c r="K123" i="2"/>
  <c r="K6" i="2"/>
  <c r="K362" i="2"/>
  <c r="K258" i="2"/>
  <c r="K118" i="2"/>
  <c r="K544" i="2"/>
  <c r="K438" i="2"/>
  <c r="K389" i="2"/>
  <c r="K434" i="2"/>
  <c r="K189" i="2"/>
  <c r="K514" i="2"/>
  <c r="K176" i="2"/>
  <c r="K422" i="2"/>
  <c r="K358" i="2"/>
  <c r="K280" i="2"/>
  <c r="K291" i="2"/>
  <c r="K246" i="2"/>
  <c r="K521" i="2"/>
  <c r="K565" i="2"/>
  <c r="K322" i="2"/>
  <c r="K384" i="2"/>
  <c r="K435" i="2"/>
  <c r="K235" i="2"/>
  <c r="K49" i="2"/>
  <c r="K464" i="2"/>
  <c r="K54" i="2"/>
  <c r="K126" i="2"/>
  <c r="K353" i="2"/>
  <c r="K108" i="2"/>
  <c r="K347" i="2"/>
  <c r="K436" i="2"/>
  <c r="K247" i="2"/>
  <c r="K406" i="2"/>
  <c r="K598" i="2"/>
  <c r="K517" i="2"/>
  <c r="K82" i="2"/>
  <c r="K240" i="2"/>
  <c r="K410" i="2"/>
  <c r="K21" i="2"/>
  <c r="K300" i="2"/>
  <c r="K392" i="2"/>
  <c r="K172" i="2"/>
  <c r="K564" i="2"/>
  <c r="K522" i="2"/>
  <c r="K145" i="2"/>
  <c r="K73" i="2"/>
  <c r="K475" i="2"/>
  <c r="K590" i="2"/>
  <c r="K293" i="2"/>
  <c r="K337" i="2"/>
  <c r="K119" i="2"/>
  <c r="K94" i="2"/>
  <c r="K104" i="2"/>
  <c r="K69" i="2"/>
  <c r="K22" i="2"/>
  <c r="K51" i="2"/>
  <c r="K324" i="2"/>
  <c r="K165" i="2"/>
  <c r="K506" i="2"/>
  <c r="K278" i="2"/>
  <c r="K466" i="2"/>
  <c r="K417" i="2"/>
  <c r="K186" i="2"/>
  <c r="K207" i="2"/>
  <c r="K335" i="2"/>
  <c r="K283" i="2"/>
  <c r="K282" i="2"/>
  <c r="K30" i="2"/>
  <c r="K220" i="2"/>
  <c r="K124" i="2"/>
  <c r="K555" i="2"/>
  <c r="K149" i="2"/>
  <c r="K318" i="2"/>
  <c r="K38" i="2"/>
  <c r="K233" i="2"/>
  <c r="K262" i="2"/>
  <c r="K380" i="2"/>
  <c r="K86" i="2"/>
  <c r="K548" i="2"/>
  <c r="K334" i="2"/>
  <c r="K354" i="2"/>
  <c r="K133" i="2"/>
  <c r="K369" i="2"/>
  <c r="K211" i="2"/>
  <c r="K90" i="2"/>
  <c r="K589" i="2"/>
  <c r="K184" i="2"/>
  <c r="K271" i="2"/>
  <c r="K367" i="2"/>
  <c r="K298" i="2"/>
  <c r="K546" i="2"/>
  <c r="K96" i="2"/>
  <c r="K418" i="2"/>
  <c r="K200" i="2"/>
  <c r="K454" i="2"/>
  <c r="K36" i="2"/>
  <c r="K432" i="2"/>
  <c r="K198" i="2"/>
  <c r="K319" i="2"/>
  <c r="K223" i="2"/>
  <c r="K83" i="2"/>
  <c r="K264" i="2"/>
  <c r="K24" i="2"/>
  <c r="K441" i="2"/>
  <c r="K584" i="2"/>
  <c r="K449" i="2"/>
  <c r="K43" i="2"/>
  <c r="K244" i="2"/>
  <c r="K224" i="2"/>
  <c r="K313" i="2"/>
  <c r="K465" i="2"/>
  <c r="K427" i="2"/>
  <c r="K455" i="2"/>
  <c r="K167" i="2"/>
  <c r="K292" i="2"/>
  <c r="K310" i="2"/>
  <c r="K193" i="2"/>
  <c r="K241" i="2"/>
  <c r="K393" i="2"/>
  <c r="K595" i="2"/>
  <c r="K59" i="2"/>
  <c r="K558" i="2"/>
  <c r="K158" i="2"/>
  <c r="K566" i="2"/>
  <c r="K528" i="2"/>
  <c r="K453" i="2"/>
  <c r="K297" i="2"/>
  <c r="K161" i="2"/>
  <c r="K561" i="2"/>
  <c r="K368" i="2"/>
  <c r="K40" i="2"/>
  <c r="K345" i="2"/>
  <c r="K376" i="2"/>
  <c r="K239" i="2"/>
  <c r="K370" i="2"/>
  <c r="K101" i="2"/>
  <c r="K557" i="2"/>
  <c r="K572" i="2"/>
  <c r="K236" i="2"/>
  <c r="K444" i="2"/>
  <c r="K511" i="2"/>
  <c r="K390" i="2"/>
  <c r="K467" i="2"/>
  <c r="K363" i="2"/>
  <c r="K35" i="2"/>
  <c r="K84" i="2"/>
  <c r="K168" i="2"/>
  <c r="K77" i="2"/>
  <c r="K540" i="2"/>
  <c r="K596" i="2"/>
  <c r="K479" i="2"/>
  <c r="K552" i="2"/>
  <c r="K355" i="2"/>
  <c r="K594" i="2"/>
  <c r="K159" i="2"/>
  <c r="K98" i="2"/>
  <c r="K352" i="2"/>
  <c r="K28" i="2"/>
  <c r="K505" i="2"/>
  <c r="K433" i="2"/>
  <c r="K508" i="2"/>
  <c r="K234" i="2"/>
  <c r="K237" i="2"/>
  <c r="K321" i="2"/>
  <c r="K226" i="2"/>
  <c r="K325" i="2"/>
  <c r="K18" i="2"/>
  <c r="K217" i="2"/>
  <c r="K125" i="2"/>
  <c r="K3" i="2"/>
  <c r="K553" i="2"/>
  <c r="K575" i="2"/>
  <c r="K326" i="2"/>
  <c r="K251" i="2"/>
  <c r="K573" i="2"/>
  <c r="K581" i="2"/>
  <c r="K361" i="2"/>
  <c r="K203" i="2"/>
  <c r="K487" i="2"/>
  <c r="K366" i="2"/>
  <c r="K357" i="2"/>
  <c r="K255" i="2"/>
  <c r="K232" i="2"/>
  <c r="K121" i="2"/>
  <c r="K400" i="2"/>
  <c r="K146" i="2"/>
  <c r="K197" i="2"/>
  <c r="K440" i="2"/>
  <c r="K497" i="2"/>
  <c r="K329" i="2"/>
  <c r="K58" i="2"/>
  <c r="K110" i="2"/>
  <c r="K259" i="2"/>
  <c r="K360" i="2"/>
  <c r="K99" i="2"/>
  <c r="K52" i="2"/>
  <c r="K499" i="2"/>
  <c r="K287" i="2"/>
  <c r="K76" i="2"/>
  <c r="K148" i="2"/>
  <c r="K205" i="2"/>
  <c r="K526" i="2"/>
  <c r="K279" i="2"/>
  <c r="K33" i="2"/>
  <c r="K23" i="2"/>
  <c r="K394" i="2"/>
  <c r="K332" i="2"/>
  <c r="K92" i="2"/>
  <c r="K143" i="2"/>
  <c r="K562" i="2"/>
  <c r="K600" i="2"/>
  <c r="K515" i="2"/>
  <c r="K194" i="2"/>
  <c r="K372" i="2"/>
  <c r="K120" i="2"/>
  <c r="K419" i="2"/>
  <c r="K585" i="2"/>
  <c r="K533" i="2"/>
  <c r="K216" i="2"/>
  <c r="K154" i="2"/>
  <c r="K212" i="2"/>
  <c r="K26" i="2"/>
  <c r="K316" i="2"/>
  <c r="K474" i="2"/>
  <c r="K349" i="2"/>
  <c r="K153" i="2"/>
  <c r="K131" i="2"/>
  <c r="K343" i="2"/>
  <c r="K484" i="2"/>
  <c r="K527" i="2"/>
  <c r="K138" i="2"/>
  <c r="K100" i="2"/>
  <c r="K295" i="2"/>
  <c r="K111" i="2"/>
  <c r="K371" i="2"/>
  <c r="K446" i="2"/>
  <c r="K14" i="2"/>
  <c r="K403" i="2"/>
  <c r="K344" i="2"/>
  <c r="K160" i="2"/>
  <c r="K531" i="2"/>
  <c r="K443" i="2"/>
  <c r="K459" i="2"/>
  <c r="K559" i="2"/>
  <c r="K32" i="2"/>
  <c r="K87" i="2"/>
  <c r="K85" i="2"/>
  <c r="K314" i="2"/>
  <c r="K385" i="2"/>
  <c r="K265" i="2"/>
  <c r="K210" i="2"/>
  <c r="K204" i="2"/>
  <c r="K402" i="2"/>
  <c r="K93" i="2"/>
  <c r="K309" i="2"/>
  <c r="K501" i="2"/>
  <c r="K227" i="2"/>
  <c r="K166" i="2"/>
  <c r="K306" i="2"/>
  <c r="K155" i="2"/>
  <c r="K70" i="2"/>
  <c r="K5" i="2"/>
  <c r="K504" i="2"/>
  <c r="K53" i="2"/>
  <c r="K328" i="2"/>
  <c r="K284" i="2"/>
  <c r="K266" i="2"/>
  <c r="K62" i="2"/>
  <c r="K112" i="2"/>
  <c r="K46" i="2"/>
  <c r="K429" i="2"/>
  <c r="K500" i="2"/>
  <c r="K47" i="2"/>
  <c r="K317" i="2"/>
  <c r="K593" i="2"/>
  <c r="K289" i="2"/>
  <c r="K20" i="2"/>
  <c r="K481" i="2"/>
  <c r="K388" i="2"/>
  <c r="K222" i="2"/>
  <c r="K359" i="2"/>
  <c r="K520" i="2"/>
  <c r="K512" i="2"/>
  <c r="K428" i="2"/>
  <c r="K541" i="2"/>
  <c r="K180" i="2"/>
  <c r="K67" i="2"/>
  <c r="K493" i="2"/>
  <c r="K518" i="2"/>
  <c r="K377" i="2"/>
  <c r="K405" i="2"/>
  <c r="K274" i="2"/>
  <c r="K395" i="2"/>
  <c r="K9" i="2"/>
  <c r="K263" i="2"/>
  <c r="K249" i="2"/>
  <c r="K563" i="2"/>
  <c r="K416" i="2"/>
  <c r="K452" i="2"/>
  <c r="K296" i="2"/>
  <c r="K437" i="2"/>
  <c r="K513" i="2"/>
  <c r="K424" i="2"/>
  <c r="K483" i="2"/>
  <c r="K556" i="2"/>
  <c r="K201" i="2"/>
  <c r="K445" i="2"/>
  <c r="J303" i="2"/>
  <c r="J191" i="2"/>
  <c r="J288" i="2"/>
  <c r="J44" i="2"/>
  <c r="J560" i="2"/>
  <c r="J199" i="2"/>
  <c r="J415" i="2"/>
  <c r="J72" i="2"/>
  <c r="J17" i="2"/>
  <c r="J56" i="2"/>
  <c r="J231" i="2"/>
  <c r="J312" i="2"/>
  <c r="J496" i="2"/>
  <c r="J348" i="2"/>
  <c r="J509" i="2"/>
  <c r="J243" i="2"/>
  <c r="J469" i="2"/>
  <c r="J597" i="2"/>
  <c r="J8" i="2"/>
  <c r="J269" i="2"/>
  <c r="J142" i="2"/>
  <c r="J374" i="2"/>
  <c r="J430" i="2"/>
  <c r="J591" i="2"/>
  <c r="J554" i="2"/>
  <c r="J208" i="2"/>
  <c r="J539" i="2"/>
  <c r="J182" i="2"/>
  <c r="J64" i="2"/>
  <c r="J248" i="2"/>
  <c r="J365" i="2"/>
  <c r="J137" i="2"/>
  <c r="J498" i="2"/>
  <c r="J209" i="2"/>
  <c r="J576" i="2"/>
  <c r="J351" i="2"/>
  <c r="J281" i="2"/>
  <c r="J535" i="2"/>
  <c r="J4" i="2"/>
  <c r="J409" i="2"/>
  <c r="J272" i="2"/>
  <c r="J65" i="2"/>
  <c r="J408" i="2"/>
  <c r="J116" i="2"/>
  <c r="J485" i="2"/>
  <c r="J315" i="2"/>
  <c r="J587" i="2"/>
  <c r="J105" i="2"/>
  <c r="J253" i="2"/>
  <c r="J156" i="2"/>
  <c r="J267" i="2"/>
  <c r="J439" i="2"/>
  <c r="J397" i="2"/>
  <c r="J74" i="2"/>
  <c r="J57" i="2"/>
  <c r="J447" i="2"/>
  <c r="J55" i="2"/>
  <c r="J534" i="2"/>
  <c r="J19" i="2"/>
  <c r="J34" i="2"/>
  <c r="J181" i="2"/>
  <c r="J260" i="2"/>
  <c r="J308" i="2"/>
  <c r="J141" i="2"/>
  <c r="J129" i="2"/>
  <c r="J190" i="2"/>
  <c r="J468" i="2"/>
  <c r="J15" i="2"/>
  <c r="J127" i="2"/>
  <c r="J404" i="2"/>
  <c r="J460" i="2"/>
  <c r="J285" i="2"/>
  <c r="J450" i="2"/>
  <c r="J307" i="2"/>
  <c r="J183" i="2"/>
  <c r="J472" i="2"/>
  <c r="J2" i="2"/>
  <c r="J11" i="2"/>
  <c r="J413" i="2"/>
  <c r="J304" i="2"/>
  <c r="J157" i="2"/>
  <c r="J414" i="2"/>
  <c r="J577" i="2"/>
  <c r="J60" i="2"/>
  <c r="J238" i="2"/>
  <c r="J89" i="2"/>
  <c r="J571" i="2"/>
  <c r="J423" i="2"/>
  <c r="J95" i="2"/>
  <c r="J448" i="2"/>
  <c r="J229" i="2"/>
  <c r="J192" i="2"/>
  <c r="J331" i="2"/>
  <c r="J109" i="2"/>
  <c r="J524" i="2"/>
  <c r="J195" i="2"/>
  <c r="J336" i="2"/>
  <c r="J25" i="2"/>
  <c r="J128" i="2"/>
  <c r="J494" i="2"/>
  <c r="J401" i="2"/>
  <c r="J150" i="2"/>
  <c r="J431" i="2"/>
  <c r="J162" i="2"/>
  <c r="J139" i="2"/>
  <c r="J529" i="2"/>
  <c r="J339" i="2"/>
  <c r="J383" i="2"/>
  <c r="J163" i="2"/>
  <c r="J16" i="2"/>
  <c r="J542" i="2"/>
  <c r="J412" i="2"/>
  <c r="J482" i="2"/>
  <c r="J599" i="2"/>
  <c r="J391" i="2"/>
  <c r="J134" i="2"/>
  <c r="J117" i="2"/>
  <c r="J13" i="2"/>
  <c r="J122" i="2"/>
  <c r="J256" i="2"/>
  <c r="J586" i="2"/>
  <c r="J425" i="2"/>
  <c r="J305" i="2"/>
  <c r="J399" i="2"/>
  <c r="J63" i="2"/>
  <c r="J78" i="2"/>
  <c r="J39" i="2"/>
  <c r="J386" i="2"/>
  <c r="J140" i="2"/>
  <c r="J523" i="2"/>
  <c r="J187" i="2"/>
  <c r="J102" i="2"/>
  <c r="J580" i="2"/>
  <c r="J273" i="2"/>
  <c r="J219" i="2"/>
  <c r="J151" i="2"/>
  <c r="J477" i="2"/>
  <c r="J268" i="2"/>
  <c r="J489" i="2"/>
  <c r="J80" i="2"/>
  <c r="J257" i="2"/>
  <c r="J66" i="2"/>
  <c r="J486" i="2"/>
  <c r="J286" i="2"/>
  <c r="J373" i="2"/>
  <c r="J12" i="2"/>
  <c r="J341" i="2"/>
  <c r="J457" i="2"/>
  <c r="J567" i="2"/>
  <c r="J311" i="2"/>
  <c r="J213" i="2"/>
  <c r="J346" i="2"/>
  <c r="J323" i="2"/>
  <c r="J516" i="2"/>
  <c r="J252" i="2"/>
  <c r="J132" i="2"/>
  <c r="J173" i="2"/>
  <c r="J382" i="2"/>
  <c r="J88" i="2"/>
  <c r="J536" i="2"/>
  <c r="J503" i="2"/>
  <c r="J538" i="2"/>
  <c r="J152" i="2"/>
  <c r="J463" i="2"/>
  <c r="J480" i="2"/>
  <c r="J456" i="2"/>
  <c r="J75" i="2"/>
  <c r="J97" i="2"/>
  <c r="J206" i="2"/>
  <c r="J537" i="2"/>
  <c r="J221" i="2"/>
  <c r="J136" i="2"/>
  <c r="J106" i="2"/>
  <c r="J568" i="2"/>
  <c r="J214" i="2"/>
  <c r="J488" i="2"/>
  <c r="J81" i="2"/>
  <c r="J41" i="2"/>
  <c r="J543" i="2"/>
  <c r="J276" i="2"/>
  <c r="J570" i="2"/>
  <c r="J215" i="2"/>
  <c r="J451" i="2"/>
  <c r="J547" i="2"/>
  <c r="J250" i="2"/>
  <c r="J290" i="2"/>
  <c r="J502" i="2"/>
  <c r="J225" i="2"/>
  <c r="J364" i="2"/>
  <c r="J550" i="2"/>
  <c r="J478" i="2"/>
  <c r="J42" i="2"/>
  <c r="J530" i="2"/>
  <c r="J169" i="2"/>
  <c r="J379" i="2"/>
  <c r="J411" i="2"/>
  <c r="J476" i="2"/>
  <c r="J103" i="2"/>
  <c r="J421" i="2"/>
  <c r="J45" i="2"/>
  <c r="J420" i="2"/>
  <c r="J79" i="2"/>
  <c r="J261" i="2"/>
  <c r="J569" i="2"/>
  <c r="J407" i="2"/>
  <c r="J61" i="2"/>
  <c r="J532" i="2"/>
  <c r="J458" i="2"/>
  <c r="J113" i="2"/>
  <c r="J10" i="2"/>
  <c r="J202" i="2"/>
  <c r="J510" i="2"/>
  <c r="J327" i="2"/>
  <c r="J91" i="2"/>
  <c r="J50" i="2"/>
  <c r="J396" i="2"/>
  <c r="J185" i="2"/>
  <c r="J490" i="2"/>
  <c r="J507" i="2"/>
  <c r="J461" i="2"/>
  <c r="J29" i="2"/>
  <c r="J387" i="2"/>
  <c r="J177" i="2"/>
  <c r="J473" i="2"/>
  <c r="J470" i="2"/>
  <c r="J71" i="2"/>
  <c r="J320" i="2"/>
  <c r="J277" i="2"/>
  <c r="J333" i="2"/>
  <c r="J426" i="2"/>
  <c r="J519" i="2"/>
  <c r="J31" i="2"/>
  <c r="J579" i="2"/>
  <c r="J356" i="2"/>
  <c r="J378" i="2"/>
  <c r="J218" i="2"/>
  <c r="J381" i="2"/>
  <c r="J130" i="2"/>
  <c r="J230" i="2"/>
  <c r="J114" i="2"/>
  <c r="J242" i="2"/>
  <c r="J37" i="2"/>
  <c r="J582" i="2"/>
  <c r="J495" i="2"/>
  <c r="J228" i="2"/>
  <c r="J340" i="2"/>
  <c r="J342" i="2"/>
  <c r="J375" i="2"/>
  <c r="J254" i="2"/>
  <c r="J178" i="2"/>
  <c r="J115" i="2"/>
  <c r="J7" i="2"/>
  <c r="J147" i="2"/>
  <c r="J68" i="2"/>
  <c r="J135" i="2"/>
  <c r="J545" i="2"/>
  <c r="J574" i="2"/>
  <c r="J583" i="2"/>
  <c r="J302" i="2"/>
  <c r="J471" i="2"/>
  <c r="J179" i="2"/>
  <c r="J492" i="2"/>
  <c r="J592" i="2"/>
  <c r="J170" i="2"/>
  <c r="J171" i="2"/>
  <c r="J174" i="2"/>
  <c r="J27" i="2"/>
  <c r="J175" i="2"/>
  <c r="J588" i="2"/>
  <c r="J462" i="2"/>
  <c r="J107" i="2"/>
  <c r="J144" i="2"/>
  <c r="J196" i="2"/>
  <c r="J338" i="2"/>
  <c r="J330" i="2"/>
  <c r="J164" i="2"/>
  <c r="J294" i="2"/>
  <c r="J245" i="2"/>
  <c r="J398" i="2"/>
  <c r="J549" i="2"/>
  <c r="J350" i="2"/>
  <c r="J301" i="2"/>
  <c r="J275" i="2"/>
  <c r="J442" i="2"/>
  <c r="J491" i="2"/>
  <c r="J270" i="2"/>
  <c r="J48" i="2"/>
  <c r="J578" i="2"/>
  <c r="J299" i="2"/>
  <c r="J525" i="2"/>
  <c r="J188" i="2"/>
  <c r="J123" i="2"/>
  <c r="J6" i="2"/>
  <c r="J362" i="2"/>
  <c r="J258" i="2"/>
  <c r="J118" i="2"/>
  <c r="J544" i="2"/>
  <c r="J438" i="2"/>
  <c r="J389" i="2"/>
  <c r="J434" i="2"/>
  <c r="J189" i="2"/>
  <c r="J514" i="2"/>
  <c r="J176" i="2"/>
  <c r="J422" i="2"/>
  <c r="J358" i="2"/>
  <c r="J280" i="2"/>
  <c r="J291" i="2"/>
  <c r="J246" i="2"/>
  <c r="J521" i="2"/>
  <c r="J565" i="2"/>
  <c r="J322" i="2"/>
  <c r="J384" i="2"/>
  <c r="J435" i="2"/>
  <c r="J235" i="2"/>
  <c r="J49" i="2"/>
  <c r="J464" i="2"/>
  <c r="J54" i="2"/>
  <c r="J126" i="2"/>
  <c r="J353" i="2"/>
  <c r="J108" i="2"/>
  <c r="J347" i="2"/>
  <c r="J436" i="2"/>
  <c r="J247" i="2"/>
  <c r="J406" i="2"/>
  <c r="J598" i="2"/>
  <c r="J517" i="2"/>
  <c r="J82" i="2"/>
  <c r="J240" i="2"/>
  <c r="J410" i="2"/>
  <c r="J21" i="2"/>
  <c r="J300" i="2"/>
  <c r="J392" i="2"/>
  <c r="J172" i="2"/>
  <c r="J564" i="2"/>
  <c r="J522" i="2"/>
  <c r="J145" i="2"/>
  <c r="J73" i="2"/>
  <c r="J475" i="2"/>
  <c r="J590" i="2"/>
  <c r="J293" i="2"/>
  <c r="J337" i="2"/>
  <c r="J119" i="2"/>
  <c r="J94" i="2"/>
  <c r="J104" i="2"/>
  <c r="J69" i="2"/>
  <c r="J22" i="2"/>
  <c r="J51" i="2"/>
  <c r="J324" i="2"/>
  <c r="J165" i="2"/>
  <c r="J506" i="2"/>
  <c r="J278" i="2"/>
  <c r="J466" i="2"/>
  <c r="J417" i="2"/>
  <c r="J186" i="2"/>
  <c r="J207" i="2"/>
  <c r="J335" i="2"/>
  <c r="J283" i="2"/>
  <c r="J282" i="2"/>
  <c r="J30" i="2"/>
  <c r="J220" i="2"/>
  <c r="J124" i="2"/>
  <c r="J555" i="2"/>
  <c r="J149" i="2"/>
  <c r="J318" i="2"/>
  <c r="J38" i="2"/>
  <c r="J233" i="2"/>
  <c r="J262" i="2"/>
  <c r="J380" i="2"/>
  <c r="J86" i="2"/>
  <c r="J548" i="2"/>
  <c r="J334" i="2"/>
  <c r="J354" i="2"/>
  <c r="J133" i="2"/>
  <c r="J369" i="2"/>
  <c r="J211" i="2"/>
  <c r="J90" i="2"/>
  <c r="J589" i="2"/>
  <c r="J184" i="2"/>
  <c r="J271" i="2"/>
  <c r="J367" i="2"/>
  <c r="J298" i="2"/>
  <c r="J546" i="2"/>
  <c r="J96" i="2"/>
  <c r="J418" i="2"/>
  <c r="J200" i="2"/>
  <c r="J454" i="2"/>
  <c r="J36" i="2"/>
  <c r="J432" i="2"/>
  <c r="J198" i="2"/>
  <c r="J319" i="2"/>
  <c r="J223" i="2"/>
  <c r="J83" i="2"/>
  <c r="J264" i="2"/>
  <c r="J24" i="2"/>
  <c r="J441" i="2"/>
  <c r="J584" i="2"/>
  <c r="J449" i="2"/>
  <c r="J43" i="2"/>
  <c r="J244" i="2"/>
  <c r="J224" i="2"/>
  <c r="J313" i="2"/>
  <c r="J465" i="2"/>
  <c r="J427" i="2"/>
  <c r="J455" i="2"/>
  <c r="J167" i="2"/>
  <c r="J292" i="2"/>
  <c r="J310" i="2"/>
  <c r="J193" i="2"/>
  <c r="J241" i="2"/>
  <c r="J393" i="2"/>
  <c r="J595" i="2"/>
  <c r="J59" i="2"/>
  <c r="J558" i="2"/>
  <c r="J158" i="2"/>
  <c r="J566" i="2"/>
  <c r="J528" i="2"/>
  <c r="J453" i="2"/>
  <c r="J297" i="2"/>
  <c r="J161" i="2"/>
  <c r="J561" i="2"/>
  <c r="J368" i="2"/>
  <c r="J40" i="2"/>
  <c r="J345" i="2"/>
  <c r="J376" i="2"/>
  <c r="J239" i="2"/>
  <c r="J370" i="2"/>
  <c r="J101" i="2"/>
  <c r="J557" i="2"/>
  <c r="J572" i="2"/>
  <c r="J236" i="2"/>
  <c r="J444" i="2"/>
  <c r="J511" i="2"/>
  <c r="J390" i="2"/>
  <c r="J467" i="2"/>
  <c r="J363" i="2"/>
  <c r="J35" i="2"/>
  <c r="J84" i="2"/>
  <c r="J168" i="2"/>
  <c r="J77" i="2"/>
  <c r="J540" i="2"/>
  <c r="J596" i="2"/>
  <c r="J479" i="2"/>
  <c r="J552" i="2"/>
  <c r="J355" i="2"/>
  <c r="J594" i="2"/>
  <c r="J159" i="2"/>
  <c r="J98" i="2"/>
  <c r="J352" i="2"/>
  <c r="J28" i="2"/>
  <c r="J505" i="2"/>
  <c r="J433" i="2"/>
  <c r="J508" i="2"/>
  <c r="J234" i="2"/>
  <c r="J237" i="2"/>
  <c r="J321" i="2"/>
  <c r="J226" i="2"/>
  <c r="J325" i="2"/>
  <c r="J18" i="2"/>
  <c r="J217" i="2"/>
  <c r="J125" i="2"/>
  <c r="J3" i="2"/>
  <c r="J553" i="2"/>
  <c r="J575" i="2"/>
  <c r="J326" i="2"/>
  <c r="J251" i="2"/>
  <c r="J573" i="2"/>
  <c r="J581" i="2"/>
  <c r="J361" i="2"/>
  <c r="J203" i="2"/>
  <c r="J487" i="2"/>
  <c r="J366" i="2"/>
  <c r="J357" i="2"/>
  <c r="J255" i="2"/>
  <c r="J232" i="2"/>
  <c r="J121" i="2"/>
  <c r="J400" i="2"/>
  <c r="J146" i="2"/>
  <c r="J197" i="2"/>
  <c r="J440" i="2"/>
  <c r="J497" i="2"/>
  <c r="J329" i="2"/>
  <c r="J58" i="2"/>
  <c r="J110" i="2"/>
  <c r="J259" i="2"/>
  <c r="J360" i="2"/>
  <c r="J99" i="2"/>
  <c r="J52" i="2"/>
  <c r="J499" i="2"/>
  <c r="J287" i="2"/>
  <c r="J76" i="2"/>
  <c r="J148" i="2"/>
  <c r="J205" i="2"/>
  <c r="J526" i="2"/>
  <c r="J279" i="2"/>
  <c r="J33" i="2"/>
  <c r="J23" i="2"/>
  <c r="J394" i="2"/>
  <c r="J332" i="2"/>
  <c r="J92" i="2"/>
  <c r="J143" i="2"/>
  <c r="J562" i="2"/>
  <c r="J600" i="2"/>
  <c r="J515" i="2"/>
  <c r="J194" i="2"/>
  <c r="J372" i="2"/>
  <c r="J120" i="2"/>
  <c r="J419" i="2"/>
  <c r="J585" i="2"/>
  <c r="J533" i="2"/>
  <c r="J216" i="2"/>
  <c r="J154" i="2"/>
  <c r="J212" i="2"/>
  <c r="J26" i="2"/>
  <c r="J316" i="2"/>
  <c r="J474" i="2"/>
  <c r="J349" i="2"/>
  <c r="J153" i="2"/>
  <c r="J131" i="2"/>
  <c r="J343" i="2"/>
  <c r="J484" i="2"/>
  <c r="J527" i="2"/>
  <c r="J138" i="2"/>
  <c r="J100" i="2"/>
  <c r="J295" i="2"/>
  <c r="J111" i="2"/>
  <c r="J371" i="2"/>
  <c r="J446" i="2"/>
  <c r="J14" i="2"/>
  <c r="J403" i="2"/>
  <c r="J344" i="2"/>
  <c r="J160" i="2"/>
  <c r="J531" i="2"/>
  <c r="J443" i="2"/>
  <c r="J459" i="2"/>
  <c r="J559" i="2"/>
  <c r="J32" i="2"/>
  <c r="J87" i="2"/>
  <c r="J85" i="2"/>
  <c r="J314" i="2"/>
  <c r="J385" i="2"/>
  <c r="J265" i="2"/>
  <c r="J210" i="2"/>
  <c r="J204" i="2"/>
  <c r="J402" i="2"/>
  <c r="J93" i="2"/>
  <c r="J309" i="2"/>
  <c r="J501" i="2"/>
  <c r="J227" i="2"/>
  <c r="J166" i="2"/>
  <c r="J306" i="2"/>
  <c r="J155" i="2"/>
  <c r="J70" i="2"/>
  <c r="J5" i="2"/>
  <c r="J504" i="2"/>
  <c r="J53" i="2"/>
  <c r="J328" i="2"/>
  <c r="J284" i="2"/>
  <c r="J266" i="2"/>
  <c r="J62" i="2"/>
  <c r="J112" i="2"/>
  <c r="J46" i="2"/>
  <c r="J429" i="2"/>
  <c r="J500" i="2"/>
  <c r="J47" i="2"/>
  <c r="J317" i="2"/>
  <c r="J593" i="2"/>
  <c r="J289" i="2"/>
  <c r="J20" i="2"/>
  <c r="J481" i="2"/>
  <c r="J388" i="2"/>
  <c r="J222" i="2"/>
  <c r="J359" i="2"/>
  <c r="J520" i="2"/>
  <c r="J512" i="2"/>
  <c r="J428" i="2"/>
  <c r="J541" i="2"/>
  <c r="J180" i="2"/>
  <c r="J67" i="2"/>
  <c r="J493" i="2"/>
  <c r="J518" i="2"/>
  <c r="J377" i="2"/>
  <c r="J405" i="2"/>
  <c r="J274" i="2"/>
  <c r="J395" i="2"/>
  <c r="J9" i="2"/>
  <c r="J263" i="2"/>
  <c r="J249" i="2"/>
  <c r="J563" i="2"/>
  <c r="J416" i="2"/>
  <c r="J452" i="2"/>
  <c r="J296" i="2"/>
  <c r="J437" i="2"/>
  <c r="J513" i="2"/>
  <c r="J424" i="2"/>
  <c r="J483" i="2"/>
  <c r="J556" i="2"/>
  <c r="J201" i="2"/>
  <c r="J445" i="2"/>
  <c r="I303" i="2"/>
  <c r="I191" i="2"/>
  <c r="I288" i="2"/>
  <c r="I44" i="2"/>
  <c r="I560" i="2"/>
  <c r="I199" i="2"/>
  <c r="I415" i="2"/>
  <c r="I72" i="2"/>
  <c r="I17" i="2"/>
  <c r="I56" i="2"/>
  <c r="I231" i="2"/>
  <c r="I312" i="2"/>
  <c r="I496" i="2"/>
  <c r="I348" i="2"/>
  <c r="I509" i="2"/>
  <c r="I243" i="2"/>
  <c r="I469" i="2"/>
  <c r="I597" i="2"/>
  <c r="I8" i="2"/>
  <c r="I269" i="2"/>
  <c r="I142" i="2"/>
  <c r="I374" i="2"/>
  <c r="I430" i="2"/>
  <c r="I591" i="2"/>
  <c r="I554" i="2"/>
  <c r="I208" i="2"/>
  <c r="I539" i="2"/>
  <c r="I182" i="2"/>
  <c r="I64" i="2"/>
  <c r="I248" i="2"/>
  <c r="I365" i="2"/>
  <c r="I137" i="2"/>
  <c r="I498" i="2"/>
  <c r="I209" i="2"/>
  <c r="I576" i="2"/>
  <c r="I351" i="2"/>
  <c r="I281" i="2"/>
  <c r="I535" i="2"/>
  <c r="I4" i="2"/>
  <c r="I409" i="2"/>
  <c r="I272" i="2"/>
  <c r="I65" i="2"/>
  <c r="I408" i="2"/>
  <c r="I116" i="2"/>
  <c r="I485" i="2"/>
  <c r="I315" i="2"/>
  <c r="I587" i="2"/>
  <c r="I105" i="2"/>
  <c r="I253" i="2"/>
  <c r="I156" i="2"/>
  <c r="I267" i="2"/>
  <c r="I439" i="2"/>
  <c r="I397" i="2"/>
  <c r="I74" i="2"/>
  <c r="I57" i="2"/>
  <c r="I447" i="2"/>
  <c r="I55" i="2"/>
  <c r="I534" i="2"/>
  <c r="I19" i="2"/>
  <c r="I34" i="2"/>
  <c r="I181" i="2"/>
  <c r="I260" i="2"/>
  <c r="I308" i="2"/>
  <c r="I141" i="2"/>
  <c r="I129" i="2"/>
  <c r="I190" i="2"/>
  <c r="I468" i="2"/>
  <c r="I15" i="2"/>
  <c r="I127" i="2"/>
  <c r="I404" i="2"/>
  <c r="I460" i="2"/>
  <c r="I285" i="2"/>
  <c r="I450" i="2"/>
  <c r="I307" i="2"/>
  <c r="I183" i="2"/>
  <c r="I472" i="2"/>
  <c r="I2" i="2"/>
  <c r="I11" i="2"/>
  <c r="I413" i="2"/>
  <c r="I304" i="2"/>
  <c r="I157" i="2"/>
  <c r="I414" i="2"/>
  <c r="I577" i="2"/>
  <c r="I60" i="2"/>
  <c r="I238" i="2"/>
  <c r="I89" i="2"/>
  <c r="I571" i="2"/>
  <c r="I423" i="2"/>
  <c r="I95" i="2"/>
  <c r="I448" i="2"/>
  <c r="I229" i="2"/>
  <c r="I192" i="2"/>
  <c r="I331" i="2"/>
  <c r="I109" i="2"/>
  <c r="I524" i="2"/>
  <c r="I195" i="2"/>
  <c r="I336" i="2"/>
  <c r="I25" i="2"/>
  <c r="I128" i="2"/>
  <c r="I494" i="2"/>
  <c r="I401" i="2"/>
  <c r="I150" i="2"/>
  <c r="I431" i="2"/>
  <c r="I162" i="2"/>
  <c r="I139" i="2"/>
  <c r="I529" i="2"/>
  <c r="I339" i="2"/>
  <c r="I383" i="2"/>
  <c r="I163" i="2"/>
  <c r="I16" i="2"/>
  <c r="I542" i="2"/>
  <c r="I412" i="2"/>
  <c r="I482" i="2"/>
  <c r="I599" i="2"/>
  <c r="I391" i="2"/>
  <c r="I134" i="2"/>
  <c r="I117" i="2"/>
  <c r="I13" i="2"/>
  <c r="I122" i="2"/>
  <c r="I256" i="2"/>
  <c r="I586" i="2"/>
  <c r="I425" i="2"/>
  <c r="I305" i="2"/>
  <c r="I399" i="2"/>
  <c r="I63" i="2"/>
  <c r="I78" i="2"/>
  <c r="I39" i="2"/>
  <c r="I386" i="2"/>
  <c r="I140" i="2"/>
  <c r="I523" i="2"/>
  <c r="I187" i="2"/>
  <c r="I102" i="2"/>
  <c r="I580" i="2"/>
  <c r="I273" i="2"/>
  <c r="I219" i="2"/>
  <c r="I151" i="2"/>
  <c r="I477" i="2"/>
  <c r="I268" i="2"/>
  <c r="I489" i="2"/>
  <c r="I80" i="2"/>
  <c r="I257" i="2"/>
  <c r="I66" i="2"/>
  <c r="I486" i="2"/>
  <c r="I286" i="2"/>
  <c r="I373" i="2"/>
  <c r="I12" i="2"/>
  <c r="I341" i="2"/>
  <c r="I457" i="2"/>
  <c r="I567" i="2"/>
  <c r="I311" i="2"/>
  <c r="I213" i="2"/>
  <c r="I346" i="2"/>
  <c r="I323" i="2"/>
  <c r="I516" i="2"/>
  <c r="I252" i="2"/>
  <c r="I132" i="2"/>
  <c r="I173" i="2"/>
  <c r="I382" i="2"/>
  <c r="I88" i="2"/>
  <c r="I536" i="2"/>
  <c r="I503" i="2"/>
  <c r="I538" i="2"/>
  <c r="I152" i="2"/>
  <c r="I463" i="2"/>
  <c r="I480" i="2"/>
  <c r="I456" i="2"/>
  <c r="I75" i="2"/>
  <c r="I97" i="2"/>
  <c r="I206" i="2"/>
  <c r="I537" i="2"/>
  <c r="I221" i="2"/>
  <c r="I136" i="2"/>
  <c r="I106" i="2"/>
  <c r="I568" i="2"/>
  <c r="I214" i="2"/>
  <c r="I488" i="2"/>
  <c r="I81" i="2"/>
  <c r="I41" i="2"/>
  <c r="I543" i="2"/>
  <c r="I276" i="2"/>
  <c r="I570" i="2"/>
  <c r="I215" i="2"/>
  <c r="I451" i="2"/>
  <c r="I547" i="2"/>
  <c r="I250" i="2"/>
  <c r="I290" i="2"/>
  <c r="I502" i="2"/>
  <c r="I225" i="2"/>
  <c r="I364" i="2"/>
  <c r="I550" i="2"/>
  <c r="I478" i="2"/>
  <c r="I42" i="2"/>
  <c r="I530" i="2"/>
  <c r="I169" i="2"/>
  <c r="I379" i="2"/>
  <c r="I411" i="2"/>
  <c r="I476" i="2"/>
  <c r="I103" i="2"/>
  <c r="I421" i="2"/>
  <c r="I45" i="2"/>
  <c r="I420" i="2"/>
  <c r="I79" i="2"/>
  <c r="I261" i="2"/>
  <c r="I569" i="2"/>
  <c r="I407" i="2"/>
  <c r="I61" i="2"/>
  <c r="I532" i="2"/>
  <c r="I458" i="2"/>
  <c r="I113" i="2"/>
  <c r="I10" i="2"/>
  <c r="I202" i="2"/>
  <c r="I510" i="2"/>
  <c r="I327" i="2"/>
  <c r="I91" i="2"/>
  <c r="I50" i="2"/>
  <c r="I396" i="2"/>
  <c r="I185" i="2"/>
  <c r="I490" i="2"/>
  <c r="I507" i="2"/>
  <c r="I461" i="2"/>
  <c r="I29" i="2"/>
  <c r="I387" i="2"/>
  <c r="I177" i="2"/>
  <c r="I473" i="2"/>
  <c r="I470" i="2"/>
  <c r="I71" i="2"/>
  <c r="I320" i="2"/>
  <c r="I277" i="2"/>
  <c r="I333" i="2"/>
  <c r="I426" i="2"/>
  <c r="I519" i="2"/>
  <c r="I31" i="2"/>
  <c r="I579" i="2"/>
  <c r="I356" i="2"/>
  <c r="I378" i="2"/>
  <c r="I218" i="2"/>
  <c r="I381" i="2"/>
  <c r="I130" i="2"/>
  <c r="I230" i="2"/>
  <c r="I114" i="2"/>
  <c r="I242" i="2"/>
  <c r="I37" i="2"/>
  <c r="I582" i="2"/>
  <c r="I495" i="2"/>
  <c r="I228" i="2"/>
  <c r="I340" i="2"/>
  <c r="I342" i="2"/>
  <c r="I375" i="2"/>
  <c r="I254" i="2"/>
  <c r="I178" i="2"/>
  <c r="I115" i="2"/>
  <c r="I7" i="2"/>
  <c r="I147" i="2"/>
  <c r="I68" i="2"/>
  <c r="I135" i="2"/>
  <c r="I545" i="2"/>
  <c r="I574" i="2"/>
  <c r="I583" i="2"/>
  <c r="I302" i="2"/>
  <c r="I471" i="2"/>
  <c r="I179" i="2"/>
  <c r="I492" i="2"/>
  <c r="I592" i="2"/>
  <c r="I170" i="2"/>
  <c r="I171" i="2"/>
  <c r="I174" i="2"/>
  <c r="I27" i="2"/>
  <c r="I175" i="2"/>
  <c r="I588" i="2"/>
  <c r="I462" i="2"/>
  <c r="I107" i="2"/>
  <c r="I144" i="2"/>
  <c r="I196" i="2"/>
  <c r="I338" i="2"/>
  <c r="I330" i="2"/>
  <c r="I164" i="2"/>
  <c r="I294" i="2"/>
  <c r="I245" i="2"/>
  <c r="I398" i="2"/>
  <c r="I549" i="2"/>
  <c r="I350" i="2"/>
  <c r="I301" i="2"/>
  <c r="I275" i="2"/>
  <c r="I442" i="2"/>
  <c r="I491" i="2"/>
  <c r="I270" i="2"/>
  <c r="I48" i="2"/>
  <c r="I578" i="2"/>
  <c r="I299" i="2"/>
  <c r="I525" i="2"/>
  <c r="I188" i="2"/>
  <c r="I123" i="2"/>
  <c r="I6" i="2"/>
  <c r="I362" i="2"/>
  <c r="I258" i="2"/>
  <c r="I118" i="2"/>
  <c r="I544" i="2"/>
  <c r="I438" i="2"/>
  <c r="I389" i="2"/>
  <c r="I434" i="2"/>
  <c r="I189" i="2"/>
  <c r="I514" i="2"/>
  <c r="I176" i="2"/>
  <c r="I422" i="2"/>
  <c r="I358" i="2"/>
  <c r="I280" i="2"/>
  <c r="I291" i="2"/>
  <c r="I246" i="2"/>
  <c r="I521" i="2"/>
  <c r="I565" i="2"/>
  <c r="I322" i="2"/>
  <c r="I384" i="2"/>
  <c r="I435" i="2"/>
  <c r="I235" i="2"/>
  <c r="I49" i="2"/>
  <c r="I464" i="2"/>
  <c r="I54" i="2"/>
  <c r="I126" i="2"/>
  <c r="I353" i="2"/>
  <c r="I108" i="2"/>
  <c r="I347" i="2"/>
  <c r="I436" i="2"/>
  <c r="I247" i="2"/>
  <c r="I406" i="2"/>
  <c r="I598" i="2"/>
  <c r="I517" i="2"/>
  <c r="I82" i="2"/>
  <c r="I240" i="2"/>
  <c r="I410" i="2"/>
  <c r="I21" i="2"/>
  <c r="I300" i="2"/>
  <c r="I392" i="2"/>
  <c r="I172" i="2"/>
  <c r="I564" i="2"/>
  <c r="I522" i="2"/>
  <c r="I145" i="2"/>
  <c r="I73" i="2"/>
  <c r="I475" i="2"/>
  <c r="I590" i="2"/>
  <c r="I293" i="2"/>
  <c r="I337" i="2"/>
  <c r="I119" i="2"/>
  <c r="I94" i="2"/>
  <c r="I104" i="2"/>
  <c r="I69" i="2"/>
  <c r="I22" i="2"/>
  <c r="I51" i="2"/>
  <c r="I324" i="2"/>
  <c r="I165" i="2"/>
  <c r="I506" i="2"/>
  <c r="I278" i="2"/>
  <c r="I466" i="2"/>
  <c r="I417" i="2"/>
  <c r="I186" i="2"/>
  <c r="I207" i="2"/>
  <c r="I335" i="2"/>
  <c r="I283" i="2"/>
  <c r="I282" i="2"/>
  <c r="I30" i="2"/>
  <c r="I220" i="2"/>
  <c r="I124" i="2"/>
  <c r="I555" i="2"/>
  <c r="I149" i="2"/>
  <c r="I318" i="2"/>
  <c r="I38" i="2"/>
  <c r="I233" i="2"/>
  <c r="I262" i="2"/>
  <c r="I380" i="2"/>
  <c r="I86" i="2"/>
  <c r="I548" i="2"/>
  <c r="I334" i="2"/>
  <c r="I354" i="2"/>
  <c r="I133" i="2"/>
  <c r="I369" i="2"/>
  <c r="I211" i="2"/>
  <c r="I90" i="2"/>
  <c r="I589" i="2"/>
  <c r="I184" i="2"/>
  <c r="I271" i="2"/>
  <c r="I367" i="2"/>
  <c r="I298" i="2"/>
  <c r="I546" i="2"/>
  <c r="I96" i="2"/>
  <c r="I418" i="2"/>
  <c r="I200" i="2"/>
  <c r="I454" i="2"/>
  <c r="I36" i="2"/>
  <c r="I432" i="2"/>
  <c r="I198" i="2"/>
  <c r="I319" i="2"/>
  <c r="I223" i="2"/>
  <c r="I83" i="2"/>
  <c r="I264" i="2"/>
  <c r="I24" i="2"/>
  <c r="I441" i="2"/>
  <c r="I584" i="2"/>
  <c r="I449" i="2"/>
  <c r="I43" i="2"/>
  <c r="I244" i="2"/>
  <c r="I224" i="2"/>
  <c r="I313" i="2"/>
  <c r="I465" i="2"/>
  <c r="I427" i="2"/>
  <c r="I455" i="2"/>
  <c r="I167" i="2"/>
  <c r="I292" i="2"/>
  <c r="I310" i="2"/>
  <c r="I193" i="2"/>
  <c r="I241" i="2"/>
  <c r="I393" i="2"/>
  <c r="I595" i="2"/>
  <c r="I59" i="2"/>
  <c r="I558" i="2"/>
  <c r="I158" i="2"/>
  <c r="I566" i="2"/>
  <c r="I528" i="2"/>
  <c r="I453" i="2"/>
  <c r="I297" i="2"/>
  <c r="I161" i="2"/>
  <c r="I561" i="2"/>
  <c r="I368" i="2"/>
  <c r="I40" i="2"/>
  <c r="I345" i="2"/>
  <c r="I376" i="2"/>
  <c r="I239" i="2"/>
  <c r="I370" i="2"/>
  <c r="I101" i="2"/>
  <c r="I557" i="2"/>
  <c r="I572" i="2"/>
  <c r="I236" i="2"/>
  <c r="I444" i="2"/>
  <c r="I511" i="2"/>
  <c r="I390" i="2"/>
  <c r="I467" i="2"/>
  <c r="I363" i="2"/>
  <c r="I35" i="2"/>
  <c r="I84" i="2"/>
  <c r="I168" i="2"/>
  <c r="I77" i="2"/>
  <c r="I540" i="2"/>
  <c r="I596" i="2"/>
  <c r="I479" i="2"/>
  <c r="I552" i="2"/>
  <c r="I355" i="2"/>
  <c r="I594" i="2"/>
  <c r="I159" i="2"/>
  <c r="I98" i="2"/>
  <c r="I352" i="2"/>
  <c r="I28" i="2"/>
  <c r="I505" i="2"/>
  <c r="I433" i="2"/>
  <c r="I508" i="2"/>
  <c r="I234" i="2"/>
  <c r="I237" i="2"/>
  <c r="I321" i="2"/>
  <c r="I226" i="2"/>
  <c r="I325" i="2"/>
  <c r="I18" i="2"/>
  <c r="I217" i="2"/>
  <c r="I125" i="2"/>
  <c r="I3" i="2"/>
  <c r="I553" i="2"/>
  <c r="I575" i="2"/>
  <c r="I326" i="2"/>
  <c r="I251" i="2"/>
  <c r="I573" i="2"/>
  <c r="I581" i="2"/>
  <c r="I361" i="2"/>
  <c r="I203" i="2"/>
  <c r="I487" i="2"/>
  <c r="I366" i="2"/>
  <c r="I357" i="2"/>
  <c r="I255" i="2"/>
  <c r="I232" i="2"/>
  <c r="I121" i="2"/>
  <c r="I400" i="2"/>
  <c r="I146" i="2"/>
  <c r="I197" i="2"/>
  <c r="I440" i="2"/>
  <c r="I497" i="2"/>
  <c r="I329" i="2"/>
  <c r="I58" i="2"/>
  <c r="I110" i="2"/>
  <c r="I259" i="2"/>
  <c r="I360" i="2"/>
  <c r="I99" i="2"/>
  <c r="I52" i="2"/>
  <c r="I499" i="2"/>
  <c r="I287" i="2"/>
  <c r="I76" i="2"/>
  <c r="I148" i="2"/>
  <c r="I205" i="2"/>
  <c r="I526" i="2"/>
  <c r="I279" i="2"/>
  <c r="I33" i="2"/>
  <c r="I23" i="2"/>
  <c r="I394" i="2"/>
  <c r="I332" i="2"/>
  <c r="I92" i="2"/>
  <c r="I143" i="2"/>
  <c r="I562" i="2"/>
  <c r="I600" i="2"/>
  <c r="I515" i="2"/>
  <c r="I194" i="2"/>
  <c r="I372" i="2"/>
  <c r="I120" i="2"/>
  <c r="I419" i="2"/>
  <c r="I585" i="2"/>
  <c r="I533" i="2"/>
  <c r="I216" i="2"/>
  <c r="I154" i="2"/>
  <c r="I212" i="2"/>
  <c r="I26" i="2"/>
  <c r="I316" i="2"/>
  <c r="I474" i="2"/>
  <c r="I349" i="2"/>
  <c r="I153" i="2"/>
  <c r="I131" i="2"/>
  <c r="I343" i="2"/>
  <c r="I484" i="2"/>
  <c r="I527" i="2"/>
  <c r="I138" i="2"/>
  <c r="I100" i="2"/>
  <c r="I295" i="2"/>
  <c r="I111" i="2"/>
  <c r="I371" i="2"/>
  <c r="I446" i="2"/>
  <c r="I14" i="2"/>
  <c r="I403" i="2"/>
  <c r="I344" i="2"/>
  <c r="I160" i="2"/>
  <c r="I531" i="2"/>
  <c r="I443" i="2"/>
  <c r="I459" i="2"/>
  <c r="I559" i="2"/>
  <c r="I32" i="2"/>
  <c r="I87" i="2"/>
  <c r="I85" i="2"/>
  <c r="I314" i="2"/>
  <c r="I385" i="2"/>
  <c r="I265" i="2"/>
  <c r="I210" i="2"/>
  <c r="I204" i="2"/>
  <c r="I402" i="2"/>
  <c r="I93" i="2"/>
  <c r="I309" i="2"/>
  <c r="I501" i="2"/>
  <c r="I227" i="2"/>
  <c r="I166" i="2"/>
  <c r="I306" i="2"/>
  <c r="I155" i="2"/>
  <c r="I70" i="2"/>
  <c r="I5" i="2"/>
  <c r="I504" i="2"/>
  <c r="I53" i="2"/>
  <c r="I328" i="2"/>
  <c r="I284" i="2"/>
  <c r="I266" i="2"/>
  <c r="I62" i="2"/>
  <c r="I112" i="2"/>
  <c r="I46" i="2"/>
  <c r="I429" i="2"/>
  <c r="I500" i="2"/>
  <c r="I47" i="2"/>
  <c r="I317" i="2"/>
  <c r="I593" i="2"/>
  <c r="I289" i="2"/>
  <c r="I20" i="2"/>
  <c r="I481" i="2"/>
  <c r="I388" i="2"/>
  <c r="I222" i="2"/>
  <c r="I359" i="2"/>
  <c r="I520" i="2"/>
  <c r="I512" i="2"/>
  <c r="I428" i="2"/>
  <c r="I541" i="2"/>
  <c r="I180" i="2"/>
  <c r="I67" i="2"/>
  <c r="I493" i="2"/>
  <c r="I518" i="2"/>
  <c r="I377" i="2"/>
  <c r="I405" i="2"/>
  <c r="I274" i="2"/>
  <c r="I395" i="2"/>
  <c r="I9" i="2"/>
  <c r="I263" i="2"/>
  <c r="I249" i="2"/>
  <c r="I563" i="2"/>
  <c r="I416" i="2"/>
  <c r="I452" i="2"/>
  <c r="I296" i="2"/>
  <c r="I437" i="2"/>
  <c r="I513" i="2"/>
  <c r="I424" i="2"/>
  <c r="I483" i="2"/>
  <c r="I556" i="2"/>
  <c r="I201" i="2"/>
  <c r="I445" i="2"/>
  <c r="H303" i="2"/>
  <c r="H191" i="2"/>
  <c r="H288" i="2"/>
  <c r="H44" i="2"/>
  <c r="H560" i="2"/>
  <c r="H199" i="2"/>
  <c r="H415" i="2"/>
  <c r="H72" i="2"/>
  <c r="H17" i="2"/>
  <c r="H56" i="2"/>
  <c r="H231" i="2"/>
  <c r="H312" i="2"/>
  <c r="H496" i="2"/>
  <c r="H348" i="2"/>
  <c r="H509" i="2"/>
  <c r="H243" i="2"/>
  <c r="H469" i="2"/>
  <c r="H597" i="2"/>
  <c r="H8" i="2"/>
  <c r="H269" i="2"/>
  <c r="H142" i="2"/>
  <c r="H374" i="2"/>
  <c r="H430" i="2"/>
  <c r="H591" i="2"/>
  <c r="H554" i="2"/>
  <c r="H208" i="2"/>
  <c r="H539" i="2"/>
  <c r="H182" i="2"/>
  <c r="H64" i="2"/>
  <c r="H248" i="2"/>
  <c r="H365" i="2"/>
  <c r="H137" i="2"/>
  <c r="H498" i="2"/>
  <c r="H209" i="2"/>
  <c r="H576" i="2"/>
  <c r="H351" i="2"/>
  <c r="H281" i="2"/>
  <c r="H535" i="2"/>
  <c r="H4" i="2"/>
  <c r="H409" i="2"/>
  <c r="H272" i="2"/>
  <c r="H65" i="2"/>
  <c r="H408" i="2"/>
  <c r="H116" i="2"/>
  <c r="H485" i="2"/>
  <c r="H315" i="2"/>
  <c r="H587" i="2"/>
  <c r="H105" i="2"/>
  <c r="H253" i="2"/>
  <c r="H156" i="2"/>
  <c r="H267" i="2"/>
  <c r="H439" i="2"/>
  <c r="H397" i="2"/>
  <c r="H74" i="2"/>
  <c r="H57" i="2"/>
  <c r="H447" i="2"/>
  <c r="H55" i="2"/>
  <c r="H534" i="2"/>
  <c r="H19" i="2"/>
  <c r="H34" i="2"/>
  <c r="H181" i="2"/>
  <c r="H260" i="2"/>
  <c r="H308" i="2"/>
  <c r="H141" i="2"/>
  <c r="H129" i="2"/>
  <c r="H190" i="2"/>
  <c r="H468" i="2"/>
  <c r="H15" i="2"/>
  <c r="H127" i="2"/>
  <c r="H404" i="2"/>
  <c r="H460" i="2"/>
  <c r="H285" i="2"/>
  <c r="H450" i="2"/>
  <c r="H307" i="2"/>
  <c r="H183" i="2"/>
  <c r="H472" i="2"/>
  <c r="H2" i="2"/>
  <c r="H11" i="2"/>
  <c r="H413" i="2"/>
  <c r="H304" i="2"/>
  <c r="H157" i="2"/>
  <c r="H414" i="2"/>
  <c r="H577" i="2"/>
  <c r="H60" i="2"/>
  <c r="H238" i="2"/>
  <c r="H89" i="2"/>
  <c r="H571" i="2"/>
  <c r="H423" i="2"/>
  <c r="H95" i="2"/>
  <c r="H448" i="2"/>
  <c r="H229" i="2"/>
  <c r="H192" i="2"/>
  <c r="H331" i="2"/>
  <c r="H109" i="2"/>
  <c r="H524" i="2"/>
  <c r="H195" i="2"/>
  <c r="H336" i="2"/>
  <c r="H25" i="2"/>
  <c r="H128" i="2"/>
  <c r="H494" i="2"/>
  <c r="H401" i="2"/>
  <c r="H150" i="2"/>
  <c r="H431" i="2"/>
  <c r="H162" i="2"/>
  <c r="H139" i="2"/>
  <c r="H529" i="2"/>
  <c r="H339" i="2"/>
  <c r="H383" i="2"/>
  <c r="H163" i="2"/>
  <c r="H16" i="2"/>
  <c r="H542" i="2"/>
  <c r="H412" i="2"/>
  <c r="H482" i="2"/>
  <c r="H599" i="2"/>
  <c r="H391" i="2"/>
  <c r="H134" i="2"/>
  <c r="H117" i="2"/>
  <c r="H13" i="2"/>
  <c r="H122" i="2"/>
  <c r="H256" i="2"/>
  <c r="H586" i="2"/>
  <c r="H425" i="2"/>
  <c r="H305" i="2"/>
  <c r="H399" i="2"/>
  <c r="H63" i="2"/>
  <c r="H78" i="2"/>
  <c r="H39" i="2"/>
  <c r="H386" i="2"/>
  <c r="H140" i="2"/>
  <c r="H523" i="2"/>
  <c r="H187" i="2"/>
  <c r="H102" i="2"/>
  <c r="H580" i="2"/>
  <c r="H273" i="2"/>
  <c r="H219" i="2"/>
  <c r="H151" i="2"/>
  <c r="H477" i="2"/>
  <c r="H268" i="2"/>
  <c r="H489" i="2"/>
  <c r="H80" i="2"/>
  <c r="H257" i="2"/>
  <c r="H66" i="2"/>
  <c r="H486" i="2"/>
  <c r="H286" i="2"/>
  <c r="H373" i="2"/>
  <c r="H12" i="2"/>
  <c r="H341" i="2"/>
  <c r="H457" i="2"/>
  <c r="H567" i="2"/>
  <c r="H311" i="2"/>
  <c r="H213" i="2"/>
  <c r="H346" i="2"/>
  <c r="H323" i="2"/>
  <c r="H516" i="2"/>
  <c r="H252" i="2"/>
  <c r="H132" i="2"/>
  <c r="H173" i="2"/>
  <c r="H382" i="2"/>
  <c r="H88" i="2"/>
  <c r="H536" i="2"/>
  <c r="H503" i="2"/>
  <c r="H538" i="2"/>
  <c r="H152" i="2"/>
  <c r="H463" i="2"/>
  <c r="H480" i="2"/>
  <c r="H456" i="2"/>
  <c r="H75" i="2"/>
  <c r="H97" i="2"/>
  <c r="H206" i="2"/>
  <c r="H537" i="2"/>
  <c r="H221" i="2"/>
  <c r="H136" i="2"/>
  <c r="H106" i="2"/>
  <c r="H568" i="2"/>
  <c r="H214" i="2"/>
  <c r="H488" i="2"/>
  <c r="H81" i="2"/>
  <c r="H41" i="2"/>
  <c r="H543" i="2"/>
  <c r="H276" i="2"/>
  <c r="H570" i="2"/>
  <c r="H215" i="2"/>
  <c r="H451" i="2"/>
  <c r="H547" i="2"/>
  <c r="H250" i="2"/>
  <c r="H290" i="2"/>
  <c r="H502" i="2"/>
  <c r="H225" i="2"/>
  <c r="H364" i="2"/>
  <c r="H550" i="2"/>
  <c r="H478" i="2"/>
  <c r="H42" i="2"/>
  <c r="H530" i="2"/>
  <c r="H169" i="2"/>
  <c r="H379" i="2"/>
  <c r="H411" i="2"/>
  <c r="H476" i="2"/>
  <c r="H103" i="2"/>
  <c r="H421" i="2"/>
  <c r="H45" i="2"/>
  <c r="H420" i="2"/>
  <c r="H79" i="2"/>
  <c r="H261" i="2"/>
  <c r="H569" i="2"/>
  <c r="H407" i="2"/>
  <c r="H61" i="2"/>
  <c r="H532" i="2"/>
  <c r="H458" i="2"/>
  <c r="H113" i="2"/>
  <c r="H10" i="2"/>
  <c r="H202" i="2"/>
  <c r="H510" i="2"/>
  <c r="H327" i="2"/>
  <c r="H91" i="2"/>
  <c r="H50" i="2"/>
  <c r="H396" i="2"/>
  <c r="H185" i="2"/>
  <c r="H490" i="2"/>
  <c r="H507" i="2"/>
  <c r="H461" i="2"/>
  <c r="H29" i="2"/>
  <c r="H387" i="2"/>
  <c r="H177" i="2"/>
  <c r="H473" i="2"/>
  <c r="H470" i="2"/>
  <c r="H71" i="2"/>
  <c r="H320" i="2"/>
  <c r="H277" i="2"/>
  <c r="H333" i="2"/>
  <c r="H426" i="2"/>
  <c r="H519" i="2"/>
  <c r="H31" i="2"/>
  <c r="H579" i="2"/>
  <c r="H356" i="2"/>
  <c r="H378" i="2"/>
  <c r="H218" i="2"/>
  <c r="H381" i="2"/>
  <c r="H130" i="2"/>
  <c r="H230" i="2"/>
  <c r="H114" i="2"/>
  <c r="H242" i="2"/>
  <c r="H37" i="2"/>
  <c r="H582" i="2"/>
  <c r="H495" i="2"/>
  <c r="H228" i="2"/>
  <c r="H340" i="2"/>
  <c r="H342" i="2"/>
  <c r="H375" i="2"/>
  <c r="H254" i="2"/>
  <c r="H178" i="2"/>
  <c r="H115" i="2"/>
  <c r="H7" i="2"/>
  <c r="H147" i="2"/>
  <c r="H68" i="2"/>
  <c r="H135" i="2"/>
  <c r="H545" i="2"/>
  <c r="H574" i="2"/>
  <c r="H583" i="2"/>
  <c r="H302" i="2"/>
  <c r="H471" i="2"/>
  <c r="H179" i="2"/>
  <c r="H492" i="2"/>
  <c r="H592" i="2"/>
  <c r="H170" i="2"/>
  <c r="H171" i="2"/>
  <c r="H174" i="2"/>
  <c r="H27" i="2"/>
  <c r="H175" i="2"/>
  <c r="H588" i="2"/>
  <c r="H462" i="2"/>
  <c r="H107" i="2"/>
  <c r="H144" i="2"/>
  <c r="H196" i="2"/>
  <c r="H338" i="2"/>
  <c r="H330" i="2"/>
  <c r="H164" i="2"/>
  <c r="H294" i="2"/>
  <c r="H245" i="2"/>
  <c r="H398" i="2"/>
  <c r="H549" i="2"/>
  <c r="H350" i="2"/>
  <c r="H301" i="2"/>
  <c r="H275" i="2"/>
  <c r="H442" i="2"/>
  <c r="H491" i="2"/>
  <c r="H270" i="2"/>
  <c r="H48" i="2"/>
  <c r="H578" i="2"/>
  <c r="H299" i="2"/>
  <c r="H525" i="2"/>
  <c r="H188" i="2"/>
  <c r="H123" i="2"/>
  <c r="H6" i="2"/>
  <c r="H362" i="2"/>
  <c r="H258" i="2"/>
  <c r="H118" i="2"/>
  <c r="H544" i="2"/>
  <c r="H438" i="2"/>
  <c r="H389" i="2"/>
  <c r="H434" i="2"/>
  <c r="H189" i="2"/>
  <c r="H514" i="2"/>
  <c r="H176" i="2"/>
  <c r="H422" i="2"/>
  <c r="H358" i="2"/>
  <c r="H280" i="2"/>
  <c r="H291" i="2"/>
  <c r="H246" i="2"/>
  <c r="H521" i="2"/>
  <c r="H565" i="2"/>
  <c r="H322" i="2"/>
  <c r="H384" i="2"/>
  <c r="H435" i="2"/>
  <c r="H235" i="2"/>
  <c r="H49" i="2"/>
  <c r="H464" i="2"/>
  <c r="H54" i="2"/>
  <c r="H126" i="2"/>
  <c r="H353" i="2"/>
  <c r="H108" i="2"/>
  <c r="H347" i="2"/>
  <c r="H436" i="2"/>
  <c r="H247" i="2"/>
  <c r="H406" i="2"/>
  <c r="H598" i="2"/>
  <c r="H517" i="2"/>
  <c r="H82" i="2"/>
  <c r="H240" i="2"/>
  <c r="H410" i="2"/>
  <c r="H21" i="2"/>
  <c r="H300" i="2"/>
  <c r="H392" i="2"/>
  <c r="H172" i="2"/>
  <c r="H564" i="2"/>
  <c r="H522" i="2"/>
  <c r="H145" i="2"/>
  <c r="H73" i="2"/>
  <c r="H475" i="2"/>
  <c r="H590" i="2"/>
  <c r="H293" i="2"/>
  <c r="H337" i="2"/>
  <c r="H119" i="2"/>
  <c r="H94" i="2"/>
  <c r="H104" i="2"/>
  <c r="H69" i="2"/>
  <c r="H22" i="2"/>
  <c r="H51" i="2"/>
  <c r="H324" i="2"/>
  <c r="H165" i="2"/>
  <c r="H506" i="2"/>
  <c r="H278" i="2"/>
  <c r="H466" i="2"/>
  <c r="H417" i="2"/>
  <c r="H186" i="2"/>
  <c r="H207" i="2"/>
  <c r="H335" i="2"/>
  <c r="H283" i="2"/>
  <c r="H282" i="2"/>
  <c r="H30" i="2"/>
  <c r="H220" i="2"/>
  <c r="H124" i="2"/>
  <c r="H555" i="2"/>
  <c r="H149" i="2"/>
  <c r="H318" i="2"/>
  <c r="H38" i="2"/>
  <c r="H233" i="2"/>
  <c r="H262" i="2"/>
  <c r="H380" i="2"/>
  <c r="H86" i="2"/>
  <c r="H548" i="2"/>
  <c r="H334" i="2"/>
  <c r="H354" i="2"/>
  <c r="H133" i="2"/>
  <c r="H369" i="2"/>
  <c r="H211" i="2"/>
  <c r="H90" i="2"/>
  <c r="H589" i="2"/>
  <c r="H184" i="2"/>
  <c r="H271" i="2"/>
  <c r="H367" i="2"/>
  <c r="H298" i="2"/>
  <c r="H546" i="2"/>
  <c r="H96" i="2"/>
  <c r="H418" i="2"/>
  <c r="H200" i="2"/>
  <c r="H454" i="2"/>
  <c r="H36" i="2"/>
  <c r="H432" i="2"/>
  <c r="H198" i="2"/>
  <c r="H319" i="2"/>
  <c r="H223" i="2"/>
  <c r="H83" i="2"/>
  <c r="H264" i="2"/>
  <c r="H24" i="2"/>
  <c r="H441" i="2"/>
  <c r="H584" i="2"/>
  <c r="H449" i="2"/>
  <c r="H43" i="2"/>
  <c r="H244" i="2"/>
  <c r="H224" i="2"/>
  <c r="H313" i="2"/>
  <c r="H465" i="2"/>
  <c r="H427" i="2"/>
  <c r="H455" i="2"/>
  <c r="H167" i="2"/>
  <c r="H292" i="2"/>
  <c r="H310" i="2"/>
  <c r="H193" i="2"/>
  <c r="H241" i="2"/>
  <c r="H393" i="2"/>
  <c r="H595" i="2"/>
  <c r="H59" i="2"/>
  <c r="H558" i="2"/>
  <c r="H158" i="2"/>
  <c r="H566" i="2"/>
  <c r="H528" i="2"/>
  <c r="H453" i="2"/>
  <c r="H297" i="2"/>
  <c r="H161" i="2"/>
  <c r="H561" i="2"/>
  <c r="H368" i="2"/>
  <c r="H40" i="2"/>
  <c r="H345" i="2"/>
  <c r="H376" i="2"/>
  <c r="H239" i="2"/>
  <c r="H370" i="2"/>
  <c r="H101" i="2"/>
  <c r="H557" i="2"/>
  <c r="H572" i="2"/>
  <c r="H236" i="2"/>
  <c r="H444" i="2"/>
  <c r="H511" i="2"/>
  <c r="H390" i="2"/>
  <c r="H467" i="2"/>
  <c r="H363" i="2"/>
  <c r="H35" i="2"/>
  <c r="H84" i="2"/>
  <c r="H168" i="2"/>
  <c r="H77" i="2"/>
  <c r="H540" i="2"/>
  <c r="H596" i="2"/>
  <c r="H479" i="2"/>
  <c r="H552" i="2"/>
  <c r="H355" i="2"/>
  <c r="H594" i="2"/>
  <c r="H159" i="2"/>
  <c r="H98" i="2"/>
  <c r="H352" i="2"/>
  <c r="H28" i="2"/>
  <c r="H505" i="2"/>
  <c r="H433" i="2"/>
  <c r="H508" i="2"/>
  <c r="H234" i="2"/>
  <c r="H237" i="2"/>
  <c r="H321" i="2"/>
  <c r="H226" i="2"/>
  <c r="H325" i="2"/>
  <c r="H18" i="2"/>
  <c r="H217" i="2"/>
  <c r="H125" i="2"/>
  <c r="H3" i="2"/>
  <c r="H553" i="2"/>
  <c r="H575" i="2"/>
  <c r="H326" i="2"/>
  <c r="H251" i="2"/>
  <c r="H573" i="2"/>
  <c r="H581" i="2"/>
  <c r="H361" i="2"/>
  <c r="H203" i="2"/>
  <c r="H487" i="2"/>
  <c r="H366" i="2"/>
  <c r="H357" i="2"/>
  <c r="H255" i="2"/>
  <c r="H232" i="2"/>
  <c r="H121" i="2"/>
  <c r="H400" i="2"/>
  <c r="H146" i="2"/>
  <c r="H197" i="2"/>
  <c r="H440" i="2"/>
  <c r="H497" i="2"/>
  <c r="H329" i="2"/>
  <c r="H58" i="2"/>
  <c r="H110" i="2"/>
  <c r="H259" i="2"/>
  <c r="H360" i="2"/>
  <c r="H99" i="2"/>
  <c r="H52" i="2"/>
  <c r="H499" i="2"/>
  <c r="H287" i="2"/>
  <c r="H76" i="2"/>
  <c r="H148" i="2"/>
  <c r="H205" i="2"/>
  <c r="H526" i="2"/>
  <c r="H279" i="2"/>
  <c r="H33" i="2"/>
  <c r="H23" i="2"/>
  <c r="H394" i="2"/>
  <c r="H332" i="2"/>
  <c r="H92" i="2"/>
  <c r="H143" i="2"/>
  <c r="H562" i="2"/>
  <c r="H600" i="2"/>
  <c r="H515" i="2"/>
  <c r="H194" i="2"/>
  <c r="H372" i="2"/>
  <c r="H120" i="2"/>
  <c r="H419" i="2"/>
  <c r="H585" i="2"/>
  <c r="H533" i="2"/>
  <c r="H216" i="2"/>
  <c r="H154" i="2"/>
  <c r="H212" i="2"/>
  <c r="H26" i="2"/>
  <c r="H316" i="2"/>
  <c r="H474" i="2"/>
  <c r="H349" i="2"/>
  <c r="H153" i="2"/>
  <c r="H131" i="2"/>
  <c r="H343" i="2"/>
  <c r="H484" i="2"/>
  <c r="H527" i="2"/>
  <c r="H138" i="2"/>
  <c r="H100" i="2"/>
  <c r="H295" i="2"/>
  <c r="H111" i="2"/>
  <c r="H371" i="2"/>
  <c r="H446" i="2"/>
  <c r="H14" i="2"/>
  <c r="H403" i="2"/>
  <c r="H344" i="2"/>
  <c r="H160" i="2"/>
  <c r="H531" i="2"/>
  <c r="H443" i="2"/>
  <c r="H459" i="2"/>
  <c r="H559" i="2"/>
  <c r="H32" i="2"/>
  <c r="H87" i="2"/>
  <c r="H85" i="2"/>
  <c r="H314" i="2"/>
  <c r="H385" i="2"/>
  <c r="H265" i="2"/>
  <c r="H210" i="2"/>
  <c r="H204" i="2"/>
  <c r="H402" i="2"/>
  <c r="H93" i="2"/>
  <c r="H309" i="2"/>
  <c r="H501" i="2"/>
  <c r="H227" i="2"/>
  <c r="H166" i="2"/>
  <c r="H306" i="2"/>
  <c r="H155" i="2"/>
  <c r="H70" i="2"/>
  <c r="H5" i="2"/>
  <c r="H504" i="2"/>
  <c r="H53" i="2"/>
  <c r="H328" i="2"/>
  <c r="H284" i="2"/>
  <c r="H266" i="2"/>
  <c r="H62" i="2"/>
  <c r="H112" i="2"/>
  <c r="H46" i="2"/>
  <c r="H429" i="2"/>
  <c r="H500" i="2"/>
  <c r="H47" i="2"/>
  <c r="H317" i="2"/>
  <c r="H593" i="2"/>
  <c r="H289" i="2"/>
  <c r="H20" i="2"/>
  <c r="H481" i="2"/>
  <c r="H388" i="2"/>
  <c r="H222" i="2"/>
  <c r="H359" i="2"/>
  <c r="H520" i="2"/>
  <c r="H512" i="2"/>
  <c r="H428" i="2"/>
  <c r="H541" i="2"/>
  <c r="H180" i="2"/>
  <c r="H67" i="2"/>
  <c r="H493" i="2"/>
  <c r="H518" i="2"/>
  <c r="H377" i="2"/>
  <c r="H405" i="2"/>
  <c r="H274" i="2"/>
  <c r="H395" i="2"/>
  <c r="H9" i="2"/>
  <c r="H263" i="2"/>
  <c r="H249" i="2"/>
  <c r="H563" i="2"/>
  <c r="H416" i="2"/>
  <c r="H452" i="2"/>
  <c r="H296" i="2"/>
  <c r="H437" i="2"/>
  <c r="H513" i="2"/>
  <c r="H424" i="2"/>
  <c r="H483" i="2"/>
  <c r="H556" i="2"/>
  <c r="H201" i="2"/>
  <c r="H445" i="2"/>
  <c r="G303" i="2"/>
  <c r="G191" i="2"/>
  <c r="G288" i="2"/>
  <c r="G44" i="2"/>
  <c r="G560" i="2"/>
  <c r="G199" i="2"/>
  <c r="G415" i="2"/>
  <c r="G72" i="2"/>
  <c r="G17" i="2"/>
  <c r="G56" i="2"/>
  <c r="G231" i="2"/>
  <c r="G312" i="2"/>
  <c r="G496" i="2"/>
  <c r="G348" i="2"/>
  <c r="G509" i="2"/>
  <c r="G243" i="2"/>
  <c r="G469" i="2"/>
  <c r="G597" i="2"/>
  <c r="G8" i="2"/>
  <c r="G269" i="2"/>
  <c r="G142" i="2"/>
  <c r="G374" i="2"/>
  <c r="G430" i="2"/>
  <c r="G591" i="2"/>
  <c r="G554" i="2"/>
  <c r="G208" i="2"/>
  <c r="G539" i="2"/>
  <c r="G182" i="2"/>
  <c r="G64" i="2"/>
  <c r="G248" i="2"/>
  <c r="G365" i="2"/>
  <c r="G137" i="2"/>
  <c r="G498" i="2"/>
  <c r="G209" i="2"/>
  <c r="G576" i="2"/>
  <c r="G351" i="2"/>
  <c r="G281" i="2"/>
  <c r="G535" i="2"/>
  <c r="G4" i="2"/>
  <c r="G409" i="2"/>
  <c r="G272" i="2"/>
  <c r="G65" i="2"/>
  <c r="G408" i="2"/>
  <c r="G116" i="2"/>
  <c r="G485" i="2"/>
  <c r="G315" i="2"/>
  <c r="G587" i="2"/>
  <c r="G105" i="2"/>
  <c r="G253" i="2"/>
  <c r="G156" i="2"/>
  <c r="G267" i="2"/>
  <c r="G439" i="2"/>
  <c r="G397" i="2"/>
  <c r="G74" i="2"/>
  <c r="G57" i="2"/>
  <c r="G447" i="2"/>
  <c r="G55" i="2"/>
  <c r="G534" i="2"/>
  <c r="G19" i="2"/>
  <c r="G34" i="2"/>
  <c r="G181" i="2"/>
  <c r="G260" i="2"/>
  <c r="G308" i="2"/>
  <c r="G141" i="2"/>
  <c r="G129" i="2"/>
  <c r="G190" i="2"/>
  <c r="G468" i="2"/>
  <c r="G15" i="2"/>
  <c r="G127" i="2"/>
  <c r="G404" i="2"/>
  <c r="G460" i="2"/>
  <c r="G285" i="2"/>
  <c r="G450" i="2"/>
  <c r="G307" i="2"/>
  <c r="G183" i="2"/>
  <c r="G472" i="2"/>
  <c r="G2" i="2"/>
  <c r="G11" i="2"/>
  <c r="G413" i="2"/>
  <c r="G304" i="2"/>
  <c r="G157" i="2"/>
  <c r="G414" i="2"/>
  <c r="G577" i="2"/>
  <c r="G60" i="2"/>
  <c r="G238" i="2"/>
  <c r="G89" i="2"/>
  <c r="G571" i="2"/>
  <c r="G423" i="2"/>
  <c r="G95" i="2"/>
  <c r="G448" i="2"/>
  <c r="G229" i="2"/>
  <c r="G192" i="2"/>
  <c r="G331" i="2"/>
  <c r="G109" i="2"/>
  <c r="G524" i="2"/>
  <c r="G195" i="2"/>
  <c r="G336" i="2"/>
  <c r="G25" i="2"/>
  <c r="G128" i="2"/>
  <c r="G494" i="2"/>
  <c r="G401" i="2"/>
  <c r="G150" i="2"/>
  <c r="G431" i="2"/>
  <c r="G162" i="2"/>
  <c r="G139" i="2"/>
  <c r="G529" i="2"/>
  <c r="G339" i="2"/>
  <c r="G383" i="2"/>
  <c r="G163" i="2"/>
  <c r="G16" i="2"/>
  <c r="G542" i="2"/>
  <c r="G412" i="2"/>
  <c r="G482" i="2"/>
  <c r="G599" i="2"/>
  <c r="G391" i="2"/>
  <c r="G134" i="2"/>
  <c r="G117" i="2"/>
  <c r="G13" i="2"/>
  <c r="G122" i="2"/>
  <c r="G256" i="2"/>
  <c r="G586" i="2"/>
  <c r="G425" i="2"/>
  <c r="G305" i="2"/>
  <c r="G399" i="2"/>
  <c r="G63" i="2"/>
  <c r="G78" i="2"/>
  <c r="G39" i="2"/>
  <c r="G386" i="2"/>
  <c r="G140" i="2"/>
  <c r="G523" i="2"/>
  <c r="G187" i="2"/>
  <c r="G102" i="2"/>
  <c r="G580" i="2"/>
  <c r="G273" i="2"/>
  <c r="G219" i="2"/>
  <c r="G151" i="2"/>
  <c r="G477" i="2"/>
  <c r="G268" i="2"/>
  <c r="G489" i="2"/>
  <c r="G80" i="2"/>
  <c r="G257" i="2"/>
  <c r="G66" i="2"/>
  <c r="G486" i="2"/>
  <c r="G286" i="2"/>
  <c r="G373" i="2"/>
  <c r="G12" i="2"/>
  <c r="G341" i="2"/>
  <c r="G457" i="2"/>
  <c r="G567" i="2"/>
  <c r="G311" i="2"/>
  <c r="G213" i="2"/>
  <c r="G346" i="2"/>
  <c r="G323" i="2"/>
  <c r="G516" i="2"/>
  <c r="G252" i="2"/>
  <c r="G132" i="2"/>
  <c r="G173" i="2"/>
  <c r="G382" i="2"/>
  <c r="G88" i="2"/>
  <c r="G536" i="2"/>
  <c r="G503" i="2"/>
  <c r="G538" i="2"/>
  <c r="G152" i="2"/>
  <c r="G463" i="2"/>
  <c r="G480" i="2"/>
  <c r="G456" i="2"/>
  <c r="G75" i="2"/>
  <c r="G97" i="2"/>
  <c r="G206" i="2"/>
  <c r="G537" i="2"/>
  <c r="G221" i="2"/>
  <c r="G136" i="2"/>
  <c r="G106" i="2"/>
  <c r="G568" i="2"/>
  <c r="G214" i="2"/>
  <c r="G488" i="2"/>
  <c r="G81" i="2"/>
  <c r="G41" i="2"/>
  <c r="G543" i="2"/>
  <c r="G276" i="2"/>
  <c r="G570" i="2"/>
  <c r="G215" i="2"/>
  <c r="G451" i="2"/>
  <c r="G547" i="2"/>
  <c r="G250" i="2"/>
  <c r="G290" i="2"/>
  <c r="G502" i="2"/>
  <c r="G225" i="2"/>
  <c r="G364" i="2"/>
  <c r="G550" i="2"/>
  <c r="G478" i="2"/>
  <c r="G42" i="2"/>
  <c r="G530" i="2"/>
  <c r="G169" i="2"/>
  <c r="G379" i="2"/>
  <c r="G411" i="2"/>
  <c r="G476" i="2"/>
  <c r="G103" i="2"/>
  <c r="G421" i="2"/>
  <c r="G45" i="2"/>
  <c r="G420" i="2"/>
  <c r="G79" i="2"/>
  <c r="G261" i="2"/>
  <c r="G569" i="2"/>
  <c r="G407" i="2"/>
  <c r="G61" i="2"/>
  <c r="G532" i="2"/>
  <c r="G458" i="2"/>
  <c r="G113" i="2"/>
  <c r="G10" i="2"/>
  <c r="G202" i="2"/>
  <c r="G510" i="2"/>
  <c r="G327" i="2"/>
  <c r="G91" i="2"/>
  <c r="G50" i="2"/>
  <c r="G396" i="2"/>
  <c r="G185" i="2"/>
  <c r="G490" i="2"/>
  <c r="G507" i="2"/>
  <c r="G461" i="2"/>
  <c r="G29" i="2"/>
  <c r="G387" i="2"/>
  <c r="G177" i="2"/>
  <c r="G473" i="2"/>
  <c r="G470" i="2"/>
  <c r="G71" i="2"/>
  <c r="G320" i="2"/>
  <c r="G277" i="2"/>
  <c r="G333" i="2"/>
  <c r="G426" i="2"/>
  <c r="G519" i="2"/>
  <c r="G31" i="2"/>
  <c r="G579" i="2"/>
  <c r="G356" i="2"/>
  <c r="G378" i="2"/>
  <c r="G218" i="2"/>
  <c r="G381" i="2"/>
  <c r="G130" i="2"/>
  <c r="G230" i="2"/>
  <c r="G114" i="2"/>
  <c r="G242" i="2"/>
  <c r="G37" i="2"/>
  <c r="G582" i="2"/>
  <c r="G495" i="2"/>
  <c r="G228" i="2"/>
  <c r="G340" i="2"/>
  <c r="G342" i="2"/>
  <c r="G375" i="2"/>
  <c r="G254" i="2"/>
  <c r="G178" i="2"/>
  <c r="G115" i="2"/>
  <c r="G7" i="2"/>
  <c r="G147" i="2"/>
  <c r="G68" i="2"/>
  <c r="G135" i="2"/>
  <c r="G545" i="2"/>
  <c r="G574" i="2"/>
  <c r="G583" i="2"/>
  <c r="G302" i="2"/>
  <c r="G471" i="2"/>
  <c r="G179" i="2"/>
  <c r="G492" i="2"/>
  <c r="G592" i="2"/>
  <c r="G170" i="2"/>
  <c r="G171" i="2"/>
  <c r="G174" i="2"/>
  <c r="G27" i="2"/>
  <c r="G175" i="2"/>
  <c r="G588" i="2"/>
  <c r="G462" i="2"/>
  <c r="G107" i="2"/>
  <c r="G144" i="2"/>
  <c r="G196" i="2"/>
  <c r="G338" i="2"/>
  <c r="G330" i="2"/>
  <c r="G164" i="2"/>
  <c r="G294" i="2"/>
  <c r="G245" i="2"/>
  <c r="G398" i="2"/>
  <c r="G549" i="2"/>
  <c r="G350" i="2"/>
  <c r="G301" i="2"/>
  <c r="G275" i="2"/>
  <c r="G442" i="2"/>
  <c r="G491" i="2"/>
  <c r="G270" i="2"/>
  <c r="G48" i="2"/>
  <c r="G578" i="2"/>
  <c r="G299" i="2"/>
  <c r="G525" i="2"/>
  <c r="G188" i="2"/>
  <c r="G123" i="2"/>
  <c r="G6" i="2"/>
  <c r="G362" i="2"/>
  <c r="G258" i="2"/>
  <c r="G118" i="2"/>
  <c r="G544" i="2"/>
  <c r="G438" i="2"/>
  <c r="G389" i="2"/>
  <c r="G434" i="2"/>
  <c r="G189" i="2"/>
  <c r="G514" i="2"/>
  <c r="G176" i="2"/>
  <c r="G422" i="2"/>
  <c r="G358" i="2"/>
  <c r="G280" i="2"/>
  <c r="G291" i="2"/>
  <c r="G246" i="2"/>
  <c r="G521" i="2"/>
  <c r="G565" i="2"/>
  <c r="G322" i="2"/>
  <c r="G384" i="2"/>
  <c r="G435" i="2"/>
  <c r="G235" i="2"/>
  <c r="G49" i="2"/>
  <c r="G464" i="2"/>
  <c r="G54" i="2"/>
  <c r="G126" i="2"/>
  <c r="G353" i="2"/>
  <c r="G108" i="2"/>
  <c r="G347" i="2"/>
  <c r="G436" i="2"/>
  <c r="G247" i="2"/>
  <c r="G406" i="2"/>
  <c r="G598" i="2"/>
  <c r="G517" i="2"/>
  <c r="G82" i="2"/>
  <c r="G240" i="2"/>
  <c r="G410" i="2"/>
  <c r="G21" i="2"/>
  <c r="G300" i="2"/>
  <c r="G392" i="2"/>
  <c r="G172" i="2"/>
  <c r="G564" i="2"/>
  <c r="G522" i="2"/>
  <c r="G145" i="2"/>
  <c r="G73" i="2"/>
  <c r="G475" i="2"/>
  <c r="G590" i="2"/>
  <c r="G293" i="2"/>
  <c r="G337" i="2"/>
  <c r="G119" i="2"/>
  <c r="G94" i="2"/>
  <c r="G104" i="2"/>
  <c r="G69" i="2"/>
  <c r="G22" i="2"/>
  <c r="G51" i="2"/>
  <c r="G324" i="2"/>
  <c r="G165" i="2"/>
  <c r="G506" i="2"/>
  <c r="G278" i="2"/>
  <c r="G466" i="2"/>
  <c r="G417" i="2"/>
  <c r="G186" i="2"/>
  <c r="G207" i="2"/>
  <c r="G335" i="2"/>
  <c r="G283" i="2"/>
  <c r="G282" i="2"/>
  <c r="G30" i="2"/>
  <c r="G220" i="2"/>
  <c r="G124" i="2"/>
  <c r="G555" i="2"/>
  <c r="G149" i="2"/>
  <c r="G318" i="2"/>
  <c r="G38" i="2"/>
  <c r="G233" i="2"/>
  <c r="G262" i="2"/>
  <c r="G380" i="2"/>
  <c r="G86" i="2"/>
  <c r="G548" i="2"/>
  <c r="G334" i="2"/>
  <c r="G354" i="2"/>
  <c r="G133" i="2"/>
  <c r="G369" i="2"/>
  <c r="G211" i="2"/>
  <c r="G90" i="2"/>
  <c r="G589" i="2"/>
  <c r="G184" i="2"/>
  <c r="G271" i="2"/>
  <c r="G367" i="2"/>
  <c r="G298" i="2"/>
  <c r="G546" i="2"/>
  <c r="G96" i="2"/>
  <c r="G418" i="2"/>
  <c r="G200" i="2"/>
  <c r="G454" i="2"/>
  <c r="G36" i="2"/>
  <c r="G432" i="2"/>
  <c r="G198" i="2"/>
  <c r="G319" i="2"/>
  <c r="G223" i="2"/>
  <c r="G83" i="2"/>
  <c r="G264" i="2"/>
  <c r="G24" i="2"/>
  <c r="G441" i="2"/>
  <c r="G584" i="2"/>
  <c r="G449" i="2"/>
  <c r="G43" i="2"/>
  <c r="G244" i="2"/>
  <c r="G224" i="2"/>
  <c r="G313" i="2"/>
  <c r="G465" i="2"/>
  <c r="G427" i="2"/>
  <c r="G455" i="2"/>
  <c r="G167" i="2"/>
  <c r="G292" i="2"/>
  <c r="G310" i="2"/>
  <c r="G193" i="2"/>
  <c r="G241" i="2"/>
  <c r="G393" i="2"/>
  <c r="G595" i="2"/>
  <c r="G59" i="2"/>
  <c r="G558" i="2"/>
  <c r="G158" i="2"/>
  <c r="G566" i="2"/>
  <c r="G528" i="2"/>
  <c r="G453" i="2"/>
  <c r="G297" i="2"/>
  <c r="G161" i="2"/>
  <c r="G561" i="2"/>
  <c r="G368" i="2"/>
  <c r="G40" i="2"/>
  <c r="G345" i="2"/>
  <c r="G376" i="2"/>
  <c r="G239" i="2"/>
  <c r="G370" i="2"/>
  <c r="G101" i="2"/>
  <c r="G557" i="2"/>
  <c r="G572" i="2"/>
  <c r="G236" i="2"/>
  <c r="G444" i="2"/>
  <c r="G511" i="2"/>
  <c r="G390" i="2"/>
  <c r="G467" i="2"/>
  <c r="G363" i="2"/>
  <c r="G35" i="2"/>
  <c r="G84" i="2"/>
  <c r="G168" i="2"/>
  <c r="G77" i="2"/>
  <c r="G540" i="2"/>
  <c r="G596" i="2"/>
  <c r="G479" i="2"/>
  <c r="G552" i="2"/>
  <c r="G355" i="2"/>
  <c r="G594" i="2"/>
  <c r="G159" i="2"/>
  <c r="G98" i="2"/>
  <c r="G352" i="2"/>
  <c r="G28" i="2"/>
  <c r="G505" i="2"/>
  <c r="G433" i="2"/>
  <c r="G508" i="2"/>
  <c r="G234" i="2"/>
  <c r="G237" i="2"/>
  <c r="G321" i="2"/>
  <c r="G226" i="2"/>
  <c r="G325" i="2"/>
  <c r="G18" i="2"/>
  <c r="G217" i="2"/>
  <c r="G125" i="2"/>
  <c r="G3" i="2"/>
  <c r="G553" i="2"/>
  <c r="G575" i="2"/>
  <c r="G326" i="2"/>
  <c r="G251" i="2"/>
  <c r="G573" i="2"/>
  <c r="G581" i="2"/>
  <c r="G361" i="2"/>
  <c r="G203" i="2"/>
  <c r="G487" i="2"/>
  <c r="G366" i="2"/>
  <c r="G357" i="2"/>
  <c r="G255" i="2"/>
  <c r="G232" i="2"/>
  <c r="G121" i="2"/>
  <c r="G400" i="2"/>
  <c r="G146" i="2"/>
  <c r="G197" i="2"/>
  <c r="G440" i="2"/>
  <c r="G497" i="2"/>
  <c r="G329" i="2"/>
  <c r="G58" i="2"/>
  <c r="G110" i="2"/>
  <c r="G259" i="2"/>
  <c r="G360" i="2"/>
  <c r="G99" i="2"/>
  <c r="G52" i="2"/>
  <c r="G499" i="2"/>
  <c r="G287" i="2"/>
  <c r="G76" i="2"/>
  <c r="G148" i="2"/>
  <c r="G205" i="2"/>
  <c r="G526" i="2"/>
  <c r="G279" i="2"/>
  <c r="G33" i="2"/>
  <c r="G23" i="2"/>
  <c r="G394" i="2"/>
  <c r="G332" i="2"/>
  <c r="G92" i="2"/>
  <c r="G143" i="2"/>
  <c r="G562" i="2"/>
  <c r="G600" i="2"/>
  <c r="G515" i="2"/>
  <c r="G194" i="2"/>
  <c r="G372" i="2"/>
  <c r="G120" i="2"/>
  <c r="G419" i="2"/>
  <c r="G585" i="2"/>
  <c r="G533" i="2"/>
  <c r="G216" i="2"/>
  <c r="G154" i="2"/>
  <c r="G212" i="2"/>
  <c r="G26" i="2"/>
  <c r="G316" i="2"/>
  <c r="G474" i="2"/>
  <c r="G349" i="2"/>
  <c r="G153" i="2"/>
  <c r="G131" i="2"/>
  <c r="G343" i="2"/>
  <c r="G484" i="2"/>
  <c r="G527" i="2"/>
  <c r="G138" i="2"/>
  <c r="G100" i="2"/>
  <c r="G295" i="2"/>
  <c r="G111" i="2"/>
  <c r="G371" i="2"/>
  <c r="G446" i="2"/>
  <c r="G14" i="2"/>
  <c r="G403" i="2"/>
  <c r="G344" i="2"/>
  <c r="G160" i="2"/>
  <c r="G531" i="2"/>
  <c r="G443" i="2"/>
  <c r="G459" i="2"/>
  <c r="G559" i="2"/>
  <c r="G32" i="2"/>
  <c r="G87" i="2"/>
  <c r="G85" i="2"/>
  <c r="G314" i="2"/>
  <c r="G385" i="2"/>
  <c r="G265" i="2"/>
  <c r="G210" i="2"/>
  <c r="G204" i="2"/>
  <c r="G402" i="2"/>
  <c r="G93" i="2"/>
  <c r="G309" i="2"/>
  <c r="G501" i="2"/>
  <c r="G227" i="2"/>
  <c r="G166" i="2"/>
  <c r="G306" i="2"/>
  <c r="G155" i="2"/>
  <c r="G70" i="2"/>
  <c r="G5" i="2"/>
  <c r="G504" i="2"/>
  <c r="G53" i="2"/>
  <c r="G328" i="2"/>
  <c r="G284" i="2"/>
  <c r="G266" i="2"/>
  <c r="G62" i="2"/>
  <c r="G112" i="2"/>
  <c r="G46" i="2"/>
  <c r="G429" i="2"/>
  <c r="G500" i="2"/>
  <c r="G47" i="2"/>
  <c r="G317" i="2"/>
  <c r="G593" i="2"/>
  <c r="G289" i="2"/>
  <c r="G20" i="2"/>
  <c r="G481" i="2"/>
  <c r="G388" i="2"/>
  <c r="G222" i="2"/>
  <c r="G359" i="2"/>
  <c r="G520" i="2"/>
  <c r="G512" i="2"/>
  <c r="G428" i="2"/>
  <c r="G541" i="2"/>
  <c r="G180" i="2"/>
  <c r="G67" i="2"/>
  <c r="G493" i="2"/>
  <c r="G518" i="2"/>
  <c r="G377" i="2"/>
  <c r="G405" i="2"/>
  <c r="G274" i="2"/>
  <c r="G395" i="2"/>
  <c r="G9" i="2"/>
  <c r="G263" i="2"/>
  <c r="G249" i="2"/>
  <c r="G563" i="2"/>
  <c r="G416" i="2"/>
  <c r="G452" i="2"/>
  <c r="G296" i="2"/>
  <c r="G437" i="2"/>
  <c r="G513" i="2"/>
  <c r="G424" i="2"/>
  <c r="G483" i="2"/>
  <c r="G556" i="2"/>
  <c r="G201" i="2"/>
  <c r="G445" i="2"/>
  <c r="F303" i="2"/>
  <c r="F191" i="2"/>
  <c r="F288" i="2"/>
  <c r="F44" i="2"/>
  <c r="F560" i="2"/>
  <c r="F199" i="2"/>
  <c r="F415" i="2"/>
  <c r="F72" i="2"/>
  <c r="F17" i="2"/>
  <c r="F56" i="2"/>
  <c r="F231" i="2"/>
  <c r="F312" i="2"/>
  <c r="F496" i="2"/>
  <c r="F348" i="2"/>
  <c r="F509" i="2"/>
  <c r="F243" i="2"/>
  <c r="F469" i="2"/>
  <c r="F597" i="2"/>
  <c r="F8" i="2"/>
  <c r="F269" i="2"/>
  <c r="F142" i="2"/>
  <c r="F374" i="2"/>
  <c r="F430" i="2"/>
  <c r="F591" i="2"/>
  <c r="F554" i="2"/>
  <c r="F208" i="2"/>
  <c r="F539" i="2"/>
  <c r="F182" i="2"/>
  <c r="F64" i="2"/>
  <c r="F248" i="2"/>
  <c r="F365" i="2"/>
  <c r="F137" i="2"/>
  <c r="F498" i="2"/>
  <c r="F209" i="2"/>
  <c r="F576" i="2"/>
  <c r="F351" i="2"/>
  <c r="F281" i="2"/>
  <c r="F535" i="2"/>
  <c r="F4" i="2"/>
  <c r="F409" i="2"/>
  <c r="F272" i="2"/>
  <c r="F65" i="2"/>
  <c r="F408" i="2"/>
  <c r="F116" i="2"/>
  <c r="F485" i="2"/>
  <c r="F315" i="2"/>
  <c r="F587" i="2"/>
  <c r="F105" i="2"/>
  <c r="F253" i="2"/>
  <c r="F156" i="2"/>
  <c r="F267" i="2"/>
  <c r="F439" i="2"/>
  <c r="F397" i="2"/>
  <c r="F74" i="2"/>
  <c r="F57" i="2"/>
  <c r="F447" i="2"/>
  <c r="F55" i="2"/>
  <c r="F534" i="2"/>
  <c r="F19" i="2"/>
  <c r="F34" i="2"/>
  <c r="F181" i="2"/>
  <c r="F260" i="2"/>
  <c r="F308" i="2"/>
  <c r="F141" i="2"/>
  <c r="F129" i="2"/>
  <c r="F190" i="2"/>
  <c r="F468" i="2"/>
  <c r="F15" i="2"/>
  <c r="F127" i="2"/>
  <c r="F404" i="2"/>
  <c r="F460" i="2"/>
  <c r="F285" i="2"/>
  <c r="F450" i="2"/>
  <c r="F307" i="2"/>
  <c r="F183" i="2"/>
  <c r="F472" i="2"/>
  <c r="F2" i="2"/>
  <c r="F11" i="2"/>
  <c r="F413" i="2"/>
  <c r="F304" i="2"/>
  <c r="F157" i="2"/>
  <c r="F414" i="2"/>
  <c r="F577" i="2"/>
  <c r="F60" i="2"/>
  <c r="F238" i="2"/>
  <c r="F89" i="2"/>
  <c r="F571" i="2"/>
  <c r="F423" i="2"/>
  <c r="F95" i="2"/>
  <c r="F448" i="2"/>
  <c r="F229" i="2"/>
  <c r="F192" i="2"/>
  <c r="F331" i="2"/>
  <c r="F109" i="2"/>
  <c r="F524" i="2"/>
  <c r="F195" i="2"/>
  <c r="F336" i="2"/>
  <c r="F25" i="2"/>
  <c r="F128" i="2"/>
  <c r="F494" i="2"/>
  <c r="F401" i="2"/>
  <c r="F150" i="2"/>
  <c r="F431" i="2"/>
  <c r="F162" i="2"/>
  <c r="F139" i="2"/>
  <c r="F529" i="2"/>
  <c r="F339" i="2"/>
  <c r="F383" i="2"/>
  <c r="F163" i="2"/>
  <c r="F16" i="2"/>
  <c r="F542" i="2"/>
  <c r="F412" i="2"/>
  <c r="F482" i="2"/>
  <c r="F599" i="2"/>
  <c r="F391" i="2"/>
  <c r="F134" i="2"/>
  <c r="F117" i="2"/>
  <c r="F13" i="2"/>
  <c r="F122" i="2"/>
  <c r="F256" i="2"/>
  <c r="F586" i="2"/>
  <c r="F425" i="2"/>
  <c r="F305" i="2"/>
  <c r="F399" i="2"/>
  <c r="F63" i="2"/>
  <c r="F78" i="2"/>
  <c r="F39" i="2"/>
  <c r="F386" i="2"/>
  <c r="F140" i="2"/>
  <c r="F523" i="2"/>
  <c r="F187" i="2"/>
  <c r="F102" i="2"/>
  <c r="F580" i="2"/>
  <c r="F273" i="2"/>
  <c r="F219" i="2"/>
  <c r="F151" i="2"/>
  <c r="F477" i="2"/>
  <c r="F268" i="2"/>
  <c r="F489" i="2"/>
  <c r="F80" i="2"/>
  <c r="F257" i="2"/>
  <c r="F66" i="2"/>
  <c r="F486" i="2"/>
  <c r="F286" i="2"/>
  <c r="F373" i="2"/>
  <c r="F12" i="2"/>
  <c r="F341" i="2"/>
  <c r="F457" i="2"/>
  <c r="F567" i="2"/>
  <c r="F311" i="2"/>
  <c r="F213" i="2"/>
  <c r="F346" i="2"/>
  <c r="F323" i="2"/>
  <c r="F516" i="2"/>
  <c r="F252" i="2"/>
  <c r="F132" i="2"/>
  <c r="F173" i="2"/>
  <c r="F382" i="2"/>
  <c r="F88" i="2"/>
  <c r="F536" i="2"/>
  <c r="F503" i="2"/>
  <c r="F538" i="2"/>
  <c r="F152" i="2"/>
  <c r="F463" i="2"/>
  <c r="F480" i="2"/>
  <c r="F456" i="2"/>
  <c r="F75" i="2"/>
  <c r="F97" i="2"/>
  <c r="F206" i="2"/>
  <c r="F537" i="2"/>
  <c r="F221" i="2"/>
  <c r="F136" i="2"/>
  <c r="F106" i="2"/>
  <c r="F568" i="2"/>
  <c r="F214" i="2"/>
  <c r="F488" i="2"/>
  <c r="F81" i="2"/>
  <c r="F41" i="2"/>
  <c r="F543" i="2"/>
  <c r="F276" i="2"/>
  <c r="F570" i="2"/>
  <c r="F215" i="2"/>
  <c r="F451" i="2"/>
  <c r="F547" i="2"/>
  <c r="F250" i="2"/>
  <c r="F290" i="2"/>
  <c r="F502" i="2"/>
  <c r="F225" i="2"/>
  <c r="F364" i="2"/>
  <c r="F550" i="2"/>
  <c r="F478" i="2"/>
  <c r="F42" i="2"/>
  <c r="F530" i="2"/>
  <c r="F169" i="2"/>
  <c r="F379" i="2"/>
  <c r="F411" i="2"/>
  <c r="F476" i="2"/>
  <c r="F103" i="2"/>
  <c r="F421" i="2"/>
  <c r="F45" i="2"/>
  <c r="F420" i="2"/>
  <c r="F79" i="2"/>
  <c r="F261" i="2"/>
  <c r="F569" i="2"/>
  <c r="F407" i="2"/>
  <c r="F61" i="2"/>
  <c r="F532" i="2"/>
  <c r="F458" i="2"/>
  <c r="F113" i="2"/>
  <c r="F10" i="2"/>
  <c r="F202" i="2"/>
  <c r="F510" i="2"/>
  <c r="F327" i="2"/>
  <c r="F91" i="2"/>
  <c r="F50" i="2"/>
  <c r="F396" i="2"/>
  <c r="F185" i="2"/>
  <c r="F490" i="2"/>
  <c r="F507" i="2"/>
  <c r="F461" i="2"/>
  <c r="F29" i="2"/>
  <c r="F387" i="2"/>
  <c r="F177" i="2"/>
  <c r="F473" i="2"/>
  <c r="F470" i="2"/>
  <c r="F71" i="2"/>
  <c r="F320" i="2"/>
  <c r="F277" i="2"/>
  <c r="F333" i="2"/>
  <c r="F426" i="2"/>
  <c r="F519" i="2"/>
  <c r="F31" i="2"/>
  <c r="F579" i="2"/>
  <c r="F356" i="2"/>
  <c r="F378" i="2"/>
  <c r="F218" i="2"/>
  <c r="F381" i="2"/>
  <c r="F130" i="2"/>
  <c r="F230" i="2"/>
  <c r="F114" i="2"/>
  <c r="F242" i="2"/>
  <c r="F37" i="2"/>
  <c r="F582" i="2"/>
  <c r="F495" i="2"/>
  <c r="F228" i="2"/>
  <c r="F340" i="2"/>
  <c r="F342" i="2"/>
  <c r="F375" i="2"/>
  <c r="F254" i="2"/>
  <c r="F178" i="2"/>
  <c r="F115" i="2"/>
  <c r="F7" i="2"/>
  <c r="F147" i="2"/>
  <c r="F68" i="2"/>
  <c r="F135" i="2"/>
  <c r="F545" i="2"/>
  <c r="F574" i="2"/>
  <c r="F583" i="2"/>
  <c r="F302" i="2"/>
  <c r="F471" i="2"/>
  <c r="F179" i="2"/>
  <c r="F492" i="2"/>
  <c r="F592" i="2"/>
  <c r="F170" i="2"/>
  <c r="F171" i="2"/>
  <c r="F174" i="2"/>
  <c r="F27" i="2"/>
  <c r="F175" i="2"/>
  <c r="F588" i="2"/>
  <c r="F462" i="2"/>
  <c r="F107" i="2"/>
  <c r="F144" i="2"/>
  <c r="F196" i="2"/>
  <c r="F338" i="2"/>
  <c r="F330" i="2"/>
  <c r="F164" i="2"/>
  <c r="F294" i="2"/>
  <c r="F245" i="2"/>
  <c r="F398" i="2"/>
  <c r="F549" i="2"/>
  <c r="F350" i="2"/>
  <c r="F301" i="2"/>
  <c r="F275" i="2"/>
  <c r="F442" i="2"/>
  <c r="F491" i="2"/>
  <c r="F270" i="2"/>
  <c r="F48" i="2"/>
  <c r="F578" i="2"/>
  <c r="F299" i="2"/>
  <c r="F525" i="2"/>
  <c r="F188" i="2"/>
  <c r="F123" i="2"/>
  <c r="F6" i="2"/>
  <c r="F362" i="2"/>
  <c r="F258" i="2"/>
  <c r="F118" i="2"/>
  <c r="F544" i="2"/>
  <c r="F438" i="2"/>
  <c r="F389" i="2"/>
  <c r="F434" i="2"/>
  <c r="F189" i="2"/>
  <c r="F514" i="2"/>
  <c r="F176" i="2"/>
  <c r="F422" i="2"/>
  <c r="F358" i="2"/>
  <c r="F280" i="2"/>
  <c r="F291" i="2"/>
  <c r="F246" i="2"/>
  <c r="F521" i="2"/>
  <c r="F565" i="2"/>
  <c r="F322" i="2"/>
  <c r="F384" i="2"/>
  <c r="F435" i="2"/>
  <c r="F235" i="2"/>
  <c r="F49" i="2"/>
  <c r="F464" i="2"/>
  <c r="F54" i="2"/>
  <c r="F126" i="2"/>
  <c r="F353" i="2"/>
  <c r="F108" i="2"/>
  <c r="F347" i="2"/>
  <c r="F436" i="2"/>
  <c r="F247" i="2"/>
  <c r="F406" i="2"/>
  <c r="F598" i="2"/>
  <c r="F517" i="2"/>
  <c r="F82" i="2"/>
  <c r="F240" i="2"/>
  <c r="F410" i="2"/>
  <c r="F21" i="2"/>
  <c r="F300" i="2"/>
  <c r="F392" i="2"/>
  <c r="F172" i="2"/>
  <c r="F564" i="2"/>
  <c r="F522" i="2"/>
  <c r="F145" i="2"/>
  <c r="F73" i="2"/>
  <c r="F475" i="2"/>
  <c r="F590" i="2"/>
  <c r="F293" i="2"/>
  <c r="F337" i="2"/>
  <c r="F119" i="2"/>
  <c r="F94" i="2"/>
  <c r="F104" i="2"/>
  <c r="F69" i="2"/>
  <c r="F22" i="2"/>
  <c r="F51" i="2"/>
  <c r="F324" i="2"/>
  <c r="F165" i="2"/>
  <c r="F506" i="2"/>
  <c r="F278" i="2"/>
  <c r="F466" i="2"/>
  <c r="F417" i="2"/>
  <c r="F186" i="2"/>
  <c r="F207" i="2"/>
  <c r="F335" i="2"/>
  <c r="F283" i="2"/>
  <c r="F282" i="2"/>
  <c r="F30" i="2"/>
  <c r="F220" i="2"/>
  <c r="F124" i="2"/>
  <c r="F555" i="2"/>
  <c r="F149" i="2"/>
  <c r="F318" i="2"/>
  <c r="F38" i="2"/>
  <c r="F233" i="2"/>
  <c r="F262" i="2"/>
  <c r="F380" i="2"/>
  <c r="F86" i="2"/>
  <c r="F548" i="2"/>
  <c r="F334" i="2"/>
  <c r="F354" i="2"/>
  <c r="F133" i="2"/>
  <c r="F369" i="2"/>
  <c r="F211" i="2"/>
  <c r="F90" i="2"/>
  <c r="F589" i="2"/>
  <c r="F184" i="2"/>
  <c r="F271" i="2"/>
  <c r="F367" i="2"/>
  <c r="F298" i="2"/>
  <c r="F546" i="2"/>
  <c r="F96" i="2"/>
  <c r="F418" i="2"/>
  <c r="F200" i="2"/>
  <c r="F454" i="2"/>
  <c r="F36" i="2"/>
  <c r="F432" i="2"/>
  <c r="F198" i="2"/>
  <c r="F319" i="2"/>
  <c r="F223" i="2"/>
  <c r="F83" i="2"/>
  <c r="F264" i="2"/>
  <c r="F24" i="2"/>
  <c r="F441" i="2"/>
  <c r="F584" i="2"/>
  <c r="F449" i="2"/>
  <c r="F43" i="2"/>
  <c r="F244" i="2"/>
  <c r="F224" i="2"/>
  <c r="F313" i="2"/>
  <c r="F465" i="2"/>
  <c r="F427" i="2"/>
  <c r="F455" i="2"/>
  <c r="F167" i="2"/>
  <c r="F292" i="2"/>
  <c r="F310" i="2"/>
  <c r="F193" i="2"/>
  <c r="F241" i="2"/>
  <c r="F393" i="2"/>
  <c r="F595" i="2"/>
  <c r="F59" i="2"/>
  <c r="F558" i="2"/>
  <c r="F158" i="2"/>
  <c r="F566" i="2"/>
  <c r="F528" i="2"/>
  <c r="F453" i="2"/>
  <c r="F297" i="2"/>
  <c r="F161" i="2"/>
  <c r="F561" i="2"/>
  <c r="F368" i="2"/>
  <c r="F40" i="2"/>
  <c r="F345" i="2"/>
  <c r="F376" i="2"/>
  <c r="F239" i="2"/>
  <c r="F370" i="2"/>
  <c r="F101" i="2"/>
  <c r="F557" i="2"/>
  <c r="F572" i="2"/>
  <c r="F236" i="2"/>
  <c r="F444" i="2"/>
  <c r="F511" i="2"/>
  <c r="F390" i="2"/>
  <c r="F467" i="2"/>
  <c r="F363" i="2"/>
  <c r="F35" i="2"/>
  <c r="F84" i="2"/>
  <c r="F168" i="2"/>
  <c r="F77" i="2"/>
  <c r="F540" i="2"/>
  <c r="F596" i="2"/>
  <c r="F479" i="2"/>
  <c r="F552" i="2"/>
  <c r="F355" i="2"/>
  <c r="F594" i="2"/>
  <c r="F159" i="2"/>
  <c r="F98" i="2"/>
  <c r="F352" i="2"/>
  <c r="F28" i="2"/>
  <c r="F505" i="2"/>
  <c r="F433" i="2"/>
  <c r="F508" i="2"/>
  <c r="F234" i="2"/>
  <c r="F237" i="2"/>
  <c r="F321" i="2"/>
  <c r="F226" i="2"/>
  <c r="F325" i="2"/>
  <c r="F18" i="2"/>
  <c r="F217" i="2"/>
  <c r="F125" i="2"/>
  <c r="F3" i="2"/>
  <c r="F553" i="2"/>
  <c r="F575" i="2"/>
  <c r="F326" i="2"/>
  <c r="F251" i="2"/>
  <c r="F573" i="2"/>
  <c r="F581" i="2"/>
  <c r="F361" i="2"/>
  <c r="F203" i="2"/>
  <c r="F487" i="2"/>
  <c r="F366" i="2"/>
  <c r="F357" i="2"/>
  <c r="F255" i="2"/>
  <c r="F232" i="2"/>
  <c r="F121" i="2"/>
  <c r="F400" i="2"/>
  <c r="F146" i="2"/>
  <c r="F197" i="2"/>
  <c r="F440" i="2"/>
  <c r="F497" i="2"/>
  <c r="F329" i="2"/>
  <c r="F58" i="2"/>
  <c r="F110" i="2"/>
  <c r="F259" i="2"/>
  <c r="F360" i="2"/>
  <c r="F99" i="2"/>
  <c r="F52" i="2"/>
  <c r="F499" i="2"/>
  <c r="F287" i="2"/>
  <c r="F76" i="2"/>
  <c r="F148" i="2"/>
  <c r="F205" i="2"/>
  <c r="F526" i="2"/>
  <c r="F279" i="2"/>
  <c r="F33" i="2"/>
  <c r="F23" i="2"/>
  <c r="F394" i="2"/>
  <c r="F332" i="2"/>
  <c r="F92" i="2"/>
  <c r="F143" i="2"/>
  <c r="F562" i="2"/>
  <c r="F600" i="2"/>
  <c r="F515" i="2"/>
  <c r="F194" i="2"/>
  <c r="F372" i="2"/>
  <c r="F120" i="2"/>
  <c r="F419" i="2"/>
  <c r="F585" i="2"/>
  <c r="F533" i="2"/>
  <c r="F216" i="2"/>
  <c r="F154" i="2"/>
  <c r="F212" i="2"/>
  <c r="F26" i="2"/>
  <c r="F316" i="2"/>
  <c r="F474" i="2"/>
  <c r="F349" i="2"/>
  <c r="F153" i="2"/>
  <c r="F131" i="2"/>
  <c r="F343" i="2"/>
  <c r="F484" i="2"/>
  <c r="F527" i="2"/>
  <c r="F138" i="2"/>
  <c r="F100" i="2"/>
  <c r="F295" i="2"/>
  <c r="F111" i="2"/>
  <c r="F371" i="2"/>
  <c r="F446" i="2"/>
  <c r="F14" i="2"/>
  <c r="F403" i="2"/>
  <c r="F344" i="2"/>
  <c r="F160" i="2"/>
  <c r="F531" i="2"/>
  <c r="F443" i="2"/>
  <c r="F459" i="2"/>
  <c r="F559" i="2"/>
  <c r="F32" i="2"/>
  <c r="F87" i="2"/>
  <c r="F85" i="2"/>
  <c r="F314" i="2"/>
  <c r="F385" i="2"/>
  <c r="F265" i="2"/>
  <c r="F210" i="2"/>
  <c r="F204" i="2"/>
  <c r="F402" i="2"/>
  <c r="F93" i="2"/>
  <c r="F309" i="2"/>
  <c r="F501" i="2"/>
  <c r="F227" i="2"/>
  <c r="F166" i="2"/>
  <c r="F306" i="2"/>
  <c r="F155" i="2"/>
  <c r="F70" i="2"/>
  <c r="F5" i="2"/>
  <c r="F504" i="2"/>
  <c r="F53" i="2"/>
  <c r="F328" i="2"/>
  <c r="F284" i="2"/>
  <c r="F266" i="2"/>
  <c r="F62" i="2"/>
  <c r="F112" i="2"/>
  <c r="F46" i="2"/>
  <c r="F429" i="2"/>
  <c r="F500" i="2"/>
  <c r="F47" i="2"/>
  <c r="F317" i="2"/>
  <c r="F593" i="2"/>
  <c r="F289" i="2"/>
  <c r="F20" i="2"/>
  <c r="F481" i="2"/>
  <c r="F388" i="2"/>
  <c r="F222" i="2"/>
  <c r="F359" i="2"/>
  <c r="F520" i="2"/>
  <c r="F512" i="2"/>
  <c r="F428" i="2"/>
  <c r="F541" i="2"/>
  <c r="F180" i="2"/>
  <c r="F67" i="2"/>
  <c r="F493" i="2"/>
  <c r="F518" i="2"/>
  <c r="F377" i="2"/>
  <c r="F405" i="2"/>
  <c r="F274" i="2"/>
  <c r="F395" i="2"/>
  <c r="F9" i="2"/>
  <c r="F263" i="2"/>
  <c r="F249" i="2"/>
  <c r="F563" i="2"/>
  <c r="F416" i="2"/>
  <c r="F452" i="2"/>
  <c r="F296" i="2"/>
  <c r="F437" i="2"/>
  <c r="F513" i="2"/>
  <c r="F424" i="2"/>
  <c r="F483" i="2"/>
  <c r="F556" i="2"/>
  <c r="F201" i="2"/>
  <c r="F445" i="2"/>
  <c r="E303" i="2"/>
  <c r="E191" i="2"/>
  <c r="E288" i="2"/>
  <c r="E44" i="2"/>
  <c r="E560" i="2"/>
  <c r="E199" i="2"/>
  <c r="E415" i="2"/>
  <c r="E72" i="2"/>
  <c r="E17" i="2"/>
  <c r="E56" i="2"/>
  <c r="E231" i="2"/>
  <c r="E312" i="2"/>
  <c r="E496" i="2"/>
  <c r="E348" i="2"/>
  <c r="E509" i="2"/>
  <c r="E243" i="2"/>
  <c r="E469" i="2"/>
  <c r="E597" i="2"/>
  <c r="E8" i="2"/>
  <c r="E269" i="2"/>
  <c r="E142" i="2"/>
  <c r="E374" i="2"/>
  <c r="E430" i="2"/>
  <c r="E591" i="2"/>
  <c r="E554" i="2"/>
  <c r="E208" i="2"/>
  <c r="E539" i="2"/>
  <c r="E182" i="2"/>
  <c r="E64" i="2"/>
  <c r="E248" i="2"/>
  <c r="E365" i="2"/>
  <c r="E137" i="2"/>
  <c r="E498" i="2"/>
  <c r="E209" i="2"/>
  <c r="E576" i="2"/>
  <c r="E351" i="2"/>
  <c r="E281" i="2"/>
  <c r="E535" i="2"/>
  <c r="E4" i="2"/>
  <c r="E409" i="2"/>
  <c r="E272" i="2"/>
  <c r="E65" i="2"/>
  <c r="E408" i="2"/>
  <c r="E116" i="2"/>
  <c r="E485" i="2"/>
  <c r="E315" i="2"/>
  <c r="E587" i="2"/>
  <c r="E105" i="2"/>
  <c r="E253" i="2"/>
  <c r="E156" i="2"/>
  <c r="E267" i="2"/>
  <c r="E439" i="2"/>
  <c r="E397" i="2"/>
  <c r="E74" i="2"/>
  <c r="E57" i="2"/>
  <c r="E447" i="2"/>
  <c r="E55" i="2"/>
  <c r="E534" i="2"/>
  <c r="E19" i="2"/>
  <c r="E34" i="2"/>
  <c r="E181" i="2"/>
  <c r="E260" i="2"/>
  <c r="E308" i="2"/>
  <c r="E141" i="2"/>
  <c r="E129" i="2"/>
  <c r="E190" i="2"/>
  <c r="E468" i="2"/>
  <c r="E15" i="2"/>
  <c r="E127" i="2"/>
  <c r="E404" i="2"/>
  <c r="E460" i="2"/>
  <c r="E285" i="2"/>
  <c r="E450" i="2"/>
  <c r="E307" i="2"/>
  <c r="E183" i="2"/>
  <c r="E472" i="2"/>
  <c r="E2" i="2"/>
  <c r="E11" i="2"/>
  <c r="E413" i="2"/>
  <c r="E304" i="2"/>
  <c r="E157" i="2"/>
  <c r="E414" i="2"/>
  <c r="E577" i="2"/>
  <c r="E60" i="2"/>
  <c r="E238" i="2"/>
  <c r="E89" i="2"/>
  <c r="E571" i="2"/>
  <c r="E423" i="2"/>
  <c r="E95" i="2"/>
  <c r="E448" i="2"/>
  <c r="E229" i="2"/>
  <c r="E192" i="2"/>
  <c r="E331" i="2"/>
  <c r="E109" i="2"/>
  <c r="E524" i="2"/>
  <c r="E195" i="2"/>
  <c r="E336" i="2"/>
  <c r="E25" i="2"/>
  <c r="E128" i="2"/>
  <c r="E494" i="2"/>
  <c r="E401" i="2"/>
  <c r="E150" i="2"/>
  <c r="E431" i="2"/>
  <c r="E162" i="2"/>
  <c r="E139" i="2"/>
  <c r="E529" i="2"/>
  <c r="E339" i="2"/>
  <c r="E383" i="2"/>
  <c r="E163" i="2"/>
  <c r="E16" i="2"/>
  <c r="E542" i="2"/>
  <c r="E412" i="2"/>
  <c r="E482" i="2"/>
  <c r="E599" i="2"/>
  <c r="E391" i="2"/>
  <c r="E134" i="2"/>
  <c r="E117" i="2"/>
  <c r="E13" i="2"/>
  <c r="E122" i="2"/>
  <c r="E256" i="2"/>
  <c r="E586" i="2"/>
  <c r="E425" i="2"/>
  <c r="E305" i="2"/>
  <c r="E399" i="2"/>
  <c r="E63" i="2"/>
  <c r="E78" i="2"/>
  <c r="E39" i="2"/>
  <c r="E386" i="2"/>
  <c r="E140" i="2"/>
  <c r="E523" i="2"/>
  <c r="E187" i="2"/>
  <c r="E102" i="2"/>
  <c r="E580" i="2"/>
  <c r="E273" i="2"/>
  <c r="E219" i="2"/>
  <c r="E151" i="2"/>
  <c r="E477" i="2"/>
  <c r="E268" i="2"/>
  <c r="E489" i="2"/>
  <c r="E80" i="2"/>
  <c r="E257" i="2"/>
  <c r="E66" i="2"/>
  <c r="E486" i="2"/>
  <c r="E286" i="2"/>
  <c r="E373" i="2"/>
  <c r="E12" i="2"/>
  <c r="E341" i="2"/>
  <c r="E457" i="2"/>
  <c r="E567" i="2"/>
  <c r="E311" i="2"/>
  <c r="E213" i="2"/>
  <c r="E346" i="2"/>
  <c r="E323" i="2"/>
  <c r="E516" i="2"/>
  <c r="E252" i="2"/>
  <c r="E132" i="2"/>
  <c r="E173" i="2"/>
  <c r="E382" i="2"/>
  <c r="E88" i="2"/>
  <c r="E536" i="2"/>
  <c r="E503" i="2"/>
  <c r="E538" i="2"/>
  <c r="E152" i="2"/>
  <c r="E463" i="2"/>
  <c r="E480" i="2"/>
  <c r="E456" i="2"/>
  <c r="E75" i="2"/>
  <c r="E97" i="2"/>
  <c r="E206" i="2"/>
  <c r="E537" i="2"/>
  <c r="E221" i="2"/>
  <c r="E136" i="2"/>
  <c r="E106" i="2"/>
  <c r="E568" i="2"/>
  <c r="E214" i="2"/>
  <c r="E488" i="2"/>
  <c r="E81" i="2"/>
  <c r="E41" i="2"/>
  <c r="E543" i="2"/>
  <c r="E276" i="2"/>
  <c r="E570" i="2"/>
  <c r="E215" i="2"/>
  <c r="E451" i="2"/>
  <c r="E547" i="2"/>
  <c r="E250" i="2"/>
  <c r="E290" i="2"/>
  <c r="E502" i="2"/>
  <c r="E225" i="2"/>
  <c r="E364" i="2"/>
  <c r="E550" i="2"/>
  <c r="E478" i="2"/>
  <c r="E42" i="2"/>
  <c r="E530" i="2"/>
  <c r="E169" i="2"/>
  <c r="E379" i="2"/>
  <c r="E411" i="2"/>
  <c r="E476" i="2"/>
  <c r="E103" i="2"/>
  <c r="E421" i="2"/>
  <c r="E45" i="2"/>
  <c r="E420" i="2"/>
  <c r="E79" i="2"/>
  <c r="E261" i="2"/>
  <c r="E569" i="2"/>
  <c r="E407" i="2"/>
  <c r="E61" i="2"/>
  <c r="E532" i="2"/>
  <c r="E458" i="2"/>
  <c r="E113" i="2"/>
  <c r="E10" i="2"/>
  <c r="E202" i="2"/>
  <c r="E510" i="2"/>
  <c r="E327" i="2"/>
  <c r="E91" i="2"/>
  <c r="E50" i="2"/>
  <c r="E396" i="2"/>
  <c r="E185" i="2"/>
  <c r="E490" i="2"/>
  <c r="E507" i="2"/>
  <c r="E461" i="2"/>
  <c r="E29" i="2"/>
  <c r="E387" i="2"/>
  <c r="E177" i="2"/>
  <c r="E473" i="2"/>
  <c r="E470" i="2"/>
  <c r="E71" i="2"/>
  <c r="E320" i="2"/>
  <c r="E277" i="2"/>
  <c r="E333" i="2"/>
  <c r="E426" i="2"/>
  <c r="E519" i="2"/>
  <c r="E31" i="2"/>
  <c r="E579" i="2"/>
  <c r="E356" i="2"/>
  <c r="E378" i="2"/>
  <c r="E218" i="2"/>
  <c r="E381" i="2"/>
  <c r="E130" i="2"/>
  <c r="E230" i="2"/>
  <c r="E114" i="2"/>
  <c r="E242" i="2"/>
  <c r="E37" i="2"/>
  <c r="E582" i="2"/>
  <c r="E495" i="2"/>
  <c r="E228" i="2"/>
  <c r="E340" i="2"/>
  <c r="E342" i="2"/>
  <c r="E375" i="2"/>
  <c r="E254" i="2"/>
  <c r="E178" i="2"/>
  <c r="E115" i="2"/>
  <c r="E7" i="2"/>
  <c r="E147" i="2"/>
  <c r="E68" i="2"/>
  <c r="E135" i="2"/>
  <c r="E545" i="2"/>
  <c r="E574" i="2"/>
  <c r="E583" i="2"/>
  <c r="E302" i="2"/>
  <c r="E471" i="2"/>
  <c r="E179" i="2"/>
  <c r="E492" i="2"/>
  <c r="E592" i="2"/>
  <c r="E170" i="2"/>
  <c r="E171" i="2"/>
  <c r="E174" i="2"/>
  <c r="E27" i="2"/>
  <c r="E175" i="2"/>
  <c r="E588" i="2"/>
  <c r="E462" i="2"/>
  <c r="E107" i="2"/>
  <c r="E144" i="2"/>
  <c r="E196" i="2"/>
  <c r="E338" i="2"/>
  <c r="E330" i="2"/>
  <c r="E164" i="2"/>
  <c r="E294" i="2"/>
  <c r="E245" i="2"/>
  <c r="E398" i="2"/>
  <c r="E549" i="2"/>
  <c r="E350" i="2"/>
  <c r="E301" i="2"/>
  <c r="E275" i="2"/>
  <c r="E442" i="2"/>
  <c r="E491" i="2"/>
  <c r="E270" i="2"/>
  <c r="E48" i="2"/>
  <c r="E578" i="2"/>
  <c r="E299" i="2"/>
  <c r="E525" i="2"/>
  <c r="E188" i="2"/>
  <c r="E123" i="2"/>
  <c r="E6" i="2"/>
  <c r="E362" i="2"/>
  <c r="E258" i="2"/>
  <c r="E118" i="2"/>
  <c r="E544" i="2"/>
  <c r="E438" i="2"/>
  <c r="E389" i="2"/>
  <c r="E434" i="2"/>
  <c r="E189" i="2"/>
  <c r="E514" i="2"/>
  <c r="E176" i="2"/>
  <c r="E422" i="2"/>
  <c r="E358" i="2"/>
  <c r="E280" i="2"/>
  <c r="E291" i="2"/>
  <c r="E246" i="2"/>
  <c r="E521" i="2"/>
  <c r="E565" i="2"/>
  <c r="E322" i="2"/>
  <c r="E384" i="2"/>
  <c r="E435" i="2"/>
  <c r="E235" i="2"/>
  <c r="E49" i="2"/>
  <c r="E464" i="2"/>
  <c r="E54" i="2"/>
  <c r="E126" i="2"/>
  <c r="E353" i="2"/>
  <c r="E108" i="2"/>
  <c r="E347" i="2"/>
  <c r="E436" i="2"/>
  <c r="E247" i="2"/>
  <c r="E406" i="2"/>
  <c r="E598" i="2"/>
  <c r="E517" i="2"/>
  <c r="E82" i="2"/>
  <c r="E240" i="2"/>
  <c r="E410" i="2"/>
  <c r="E21" i="2"/>
  <c r="E300" i="2"/>
  <c r="E392" i="2"/>
  <c r="E172" i="2"/>
  <c r="E564" i="2"/>
  <c r="E522" i="2"/>
  <c r="E145" i="2"/>
  <c r="E73" i="2"/>
  <c r="E475" i="2"/>
  <c r="E590" i="2"/>
  <c r="E293" i="2"/>
  <c r="E337" i="2"/>
  <c r="E119" i="2"/>
  <c r="E94" i="2"/>
  <c r="E104" i="2"/>
  <c r="E69" i="2"/>
  <c r="E22" i="2"/>
  <c r="E51" i="2"/>
  <c r="E324" i="2"/>
  <c r="E165" i="2"/>
  <c r="E506" i="2"/>
  <c r="E278" i="2"/>
  <c r="E466" i="2"/>
  <c r="E417" i="2"/>
  <c r="E186" i="2"/>
  <c r="E207" i="2"/>
  <c r="E335" i="2"/>
  <c r="E283" i="2"/>
  <c r="E282" i="2"/>
  <c r="E30" i="2"/>
  <c r="E220" i="2"/>
  <c r="E124" i="2"/>
  <c r="E555" i="2"/>
  <c r="E149" i="2"/>
  <c r="E318" i="2"/>
  <c r="E38" i="2"/>
  <c r="E233" i="2"/>
  <c r="E262" i="2"/>
  <c r="E380" i="2"/>
  <c r="E86" i="2"/>
  <c r="E548" i="2"/>
  <c r="E334" i="2"/>
  <c r="E354" i="2"/>
  <c r="E133" i="2"/>
  <c r="E369" i="2"/>
  <c r="E211" i="2"/>
  <c r="E90" i="2"/>
  <c r="E589" i="2"/>
  <c r="E184" i="2"/>
  <c r="E271" i="2"/>
  <c r="E367" i="2"/>
  <c r="E298" i="2"/>
  <c r="E546" i="2"/>
  <c r="E96" i="2"/>
  <c r="E418" i="2"/>
  <c r="E200" i="2"/>
  <c r="E454" i="2"/>
  <c r="E36" i="2"/>
  <c r="E432" i="2"/>
  <c r="E198" i="2"/>
  <c r="E319" i="2"/>
  <c r="E223" i="2"/>
  <c r="E83" i="2"/>
  <c r="E264" i="2"/>
  <c r="E24" i="2"/>
  <c r="E441" i="2"/>
  <c r="E584" i="2"/>
  <c r="E449" i="2"/>
  <c r="E43" i="2"/>
  <c r="E244" i="2"/>
  <c r="E224" i="2"/>
  <c r="E313" i="2"/>
  <c r="E465" i="2"/>
  <c r="E427" i="2"/>
  <c r="E455" i="2"/>
  <c r="E167" i="2"/>
  <c r="E292" i="2"/>
  <c r="E310" i="2"/>
  <c r="E193" i="2"/>
  <c r="E241" i="2"/>
  <c r="E393" i="2"/>
  <c r="E595" i="2"/>
  <c r="E59" i="2"/>
  <c r="E558" i="2"/>
  <c r="E158" i="2"/>
  <c r="E566" i="2"/>
  <c r="E528" i="2"/>
  <c r="E453" i="2"/>
  <c r="E297" i="2"/>
  <c r="E161" i="2"/>
  <c r="E561" i="2"/>
  <c r="E368" i="2"/>
  <c r="E40" i="2"/>
  <c r="E345" i="2"/>
  <c r="E376" i="2"/>
  <c r="E239" i="2"/>
  <c r="E370" i="2"/>
  <c r="E101" i="2"/>
  <c r="E557" i="2"/>
  <c r="E572" i="2"/>
  <c r="E236" i="2"/>
  <c r="E444" i="2"/>
  <c r="E511" i="2"/>
  <c r="E390" i="2"/>
  <c r="E467" i="2"/>
  <c r="E363" i="2"/>
  <c r="E35" i="2"/>
  <c r="E84" i="2"/>
  <c r="E168" i="2"/>
  <c r="E77" i="2"/>
  <c r="E540" i="2"/>
  <c r="E596" i="2"/>
  <c r="E479" i="2"/>
  <c r="E552" i="2"/>
  <c r="E355" i="2"/>
  <c r="E594" i="2"/>
  <c r="E159" i="2"/>
  <c r="E98" i="2"/>
  <c r="E352" i="2"/>
  <c r="E28" i="2"/>
  <c r="E505" i="2"/>
  <c r="E433" i="2"/>
  <c r="E508" i="2"/>
  <c r="E234" i="2"/>
  <c r="E237" i="2"/>
  <c r="E321" i="2"/>
  <c r="E226" i="2"/>
  <c r="E325" i="2"/>
  <c r="E18" i="2"/>
  <c r="E217" i="2"/>
  <c r="E125" i="2"/>
  <c r="E3" i="2"/>
  <c r="E553" i="2"/>
  <c r="E575" i="2"/>
  <c r="E326" i="2"/>
  <c r="E251" i="2"/>
  <c r="E573" i="2"/>
  <c r="E581" i="2"/>
  <c r="E361" i="2"/>
  <c r="E203" i="2"/>
  <c r="E487" i="2"/>
  <c r="E366" i="2"/>
  <c r="E357" i="2"/>
  <c r="E255" i="2"/>
  <c r="E232" i="2"/>
  <c r="E121" i="2"/>
  <c r="E400" i="2"/>
  <c r="E146" i="2"/>
  <c r="E197" i="2"/>
  <c r="E440" i="2"/>
  <c r="E497" i="2"/>
  <c r="E329" i="2"/>
  <c r="E58" i="2"/>
  <c r="E110" i="2"/>
  <c r="E259" i="2"/>
  <c r="E360" i="2"/>
  <c r="E99" i="2"/>
  <c r="E52" i="2"/>
  <c r="E499" i="2"/>
  <c r="E287" i="2"/>
  <c r="E76" i="2"/>
  <c r="E148" i="2"/>
  <c r="E205" i="2"/>
  <c r="E526" i="2"/>
  <c r="E279" i="2"/>
  <c r="E33" i="2"/>
  <c r="E23" i="2"/>
  <c r="E394" i="2"/>
  <c r="E332" i="2"/>
  <c r="E92" i="2"/>
  <c r="E143" i="2"/>
  <c r="E562" i="2"/>
  <c r="E600" i="2"/>
  <c r="E515" i="2"/>
  <c r="E194" i="2"/>
  <c r="E372" i="2"/>
  <c r="E120" i="2"/>
  <c r="E419" i="2"/>
  <c r="E585" i="2"/>
  <c r="E533" i="2"/>
  <c r="E216" i="2"/>
  <c r="E154" i="2"/>
  <c r="E212" i="2"/>
  <c r="E26" i="2"/>
  <c r="E316" i="2"/>
  <c r="E474" i="2"/>
  <c r="E349" i="2"/>
  <c r="E153" i="2"/>
  <c r="E131" i="2"/>
  <c r="E343" i="2"/>
  <c r="E484" i="2"/>
  <c r="E527" i="2"/>
  <c r="E138" i="2"/>
  <c r="E100" i="2"/>
  <c r="E295" i="2"/>
  <c r="E111" i="2"/>
  <c r="E371" i="2"/>
  <c r="E446" i="2"/>
  <c r="E14" i="2"/>
  <c r="E403" i="2"/>
  <c r="E344" i="2"/>
  <c r="E160" i="2"/>
  <c r="E531" i="2"/>
  <c r="E443" i="2"/>
  <c r="E459" i="2"/>
  <c r="E559" i="2"/>
  <c r="E32" i="2"/>
  <c r="E87" i="2"/>
  <c r="E85" i="2"/>
  <c r="E314" i="2"/>
  <c r="E385" i="2"/>
  <c r="E265" i="2"/>
  <c r="E210" i="2"/>
  <c r="E204" i="2"/>
  <c r="E402" i="2"/>
  <c r="E93" i="2"/>
  <c r="E309" i="2"/>
  <c r="E501" i="2"/>
  <c r="E227" i="2"/>
  <c r="E166" i="2"/>
  <c r="E306" i="2"/>
  <c r="E155" i="2"/>
  <c r="E70" i="2"/>
  <c r="E5" i="2"/>
  <c r="E504" i="2"/>
  <c r="E53" i="2"/>
  <c r="E328" i="2"/>
  <c r="E284" i="2"/>
  <c r="E266" i="2"/>
  <c r="E62" i="2"/>
  <c r="E112" i="2"/>
  <c r="E46" i="2"/>
  <c r="E429" i="2"/>
  <c r="E500" i="2"/>
  <c r="E47" i="2"/>
  <c r="E317" i="2"/>
  <c r="E593" i="2"/>
  <c r="E289" i="2"/>
  <c r="E20" i="2"/>
  <c r="E481" i="2"/>
  <c r="E388" i="2"/>
  <c r="E222" i="2"/>
  <c r="E359" i="2"/>
  <c r="E520" i="2"/>
  <c r="E512" i="2"/>
  <c r="E428" i="2"/>
  <c r="E541" i="2"/>
  <c r="E180" i="2"/>
  <c r="E67" i="2"/>
  <c r="E493" i="2"/>
  <c r="E518" i="2"/>
  <c r="E377" i="2"/>
  <c r="E405" i="2"/>
  <c r="E274" i="2"/>
  <c r="E395" i="2"/>
  <c r="E9" i="2"/>
  <c r="E263" i="2"/>
  <c r="E249" i="2"/>
  <c r="E563" i="2"/>
  <c r="E416" i="2"/>
  <c r="E452" i="2"/>
  <c r="E296" i="2"/>
  <c r="E437" i="2"/>
  <c r="E513" i="2"/>
  <c r="E424" i="2"/>
  <c r="E483" i="2"/>
  <c r="E556" i="2"/>
  <c r="E201" i="2"/>
  <c r="E445" i="2"/>
  <c r="D303" i="2"/>
  <c r="D191" i="2"/>
  <c r="D288" i="2"/>
  <c r="D44" i="2"/>
  <c r="D560" i="2"/>
  <c r="D199" i="2"/>
  <c r="D415" i="2"/>
  <c r="D72" i="2"/>
  <c r="D17" i="2"/>
  <c r="D56" i="2"/>
  <c r="D231" i="2"/>
  <c r="D312" i="2"/>
  <c r="D496" i="2"/>
  <c r="D348" i="2"/>
  <c r="D509" i="2"/>
  <c r="D243" i="2"/>
  <c r="D469" i="2"/>
  <c r="D597" i="2"/>
  <c r="D8" i="2"/>
  <c r="D269" i="2"/>
  <c r="D142" i="2"/>
  <c r="D374" i="2"/>
  <c r="D430" i="2"/>
  <c r="D591" i="2"/>
  <c r="D554" i="2"/>
  <c r="D208" i="2"/>
  <c r="D539" i="2"/>
  <c r="D182" i="2"/>
  <c r="D64" i="2"/>
  <c r="D248" i="2"/>
  <c r="D365" i="2"/>
  <c r="D137" i="2"/>
  <c r="D498" i="2"/>
  <c r="D209" i="2"/>
  <c r="D576" i="2"/>
  <c r="D351" i="2"/>
  <c r="D281" i="2"/>
  <c r="D535" i="2"/>
  <c r="D4" i="2"/>
  <c r="D409" i="2"/>
  <c r="D272" i="2"/>
  <c r="D65" i="2"/>
  <c r="D408" i="2"/>
  <c r="D116" i="2"/>
  <c r="D485" i="2"/>
  <c r="D315" i="2"/>
  <c r="D587" i="2"/>
  <c r="D105" i="2"/>
  <c r="D253" i="2"/>
  <c r="D156" i="2"/>
  <c r="D267" i="2"/>
  <c r="D439" i="2"/>
  <c r="D397" i="2"/>
  <c r="D74" i="2"/>
  <c r="D57" i="2"/>
  <c r="D447" i="2"/>
  <c r="D55" i="2"/>
  <c r="D534" i="2"/>
  <c r="D19" i="2"/>
  <c r="D34" i="2"/>
  <c r="D181" i="2"/>
  <c r="D260" i="2"/>
  <c r="D308" i="2"/>
  <c r="D141" i="2"/>
  <c r="D129" i="2"/>
  <c r="D190" i="2"/>
  <c r="D468" i="2"/>
  <c r="D15" i="2"/>
  <c r="D127" i="2"/>
  <c r="D404" i="2"/>
  <c r="D460" i="2"/>
  <c r="D285" i="2"/>
  <c r="D450" i="2"/>
  <c r="D307" i="2"/>
  <c r="D183" i="2"/>
  <c r="D472" i="2"/>
  <c r="D2" i="2"/>
  <c r="D11" i="2"/>
  <c r="D413" i="2"/>
  <c r="D304" i="2"/>
  <c r="D157" i="2"/>
  <c r="D414" i="2"/>
  <c r="D577" i="2"/>
  <c r="D60" i="2"/>
  <c r="D238" i="2"/>
  <c r="D89" i="2"/>
  <c r="D571" i="2"/>
  <c r="D423" i="2"/>
  <c r="D95" i="2"/>
  <c r="D448" i="2"/>
  <c r="D229" i="2"/>
  <c r="D192" i="2"/>
  <c r="D331" i="2"/>
  <c r="D109" i="2"/>
  <c r="D524" i="2"/>
  <c r="D195" i="2"/>
  <c r="D336" i="2"/>
  <c r="D25" i="2"/>
  <c r="D128" i="2"/>
  <c r="D494" i="2"/>
  <c r="D401" i="2"/>
  <c r="D150" i="2"/>
  <c r="D431" i="2"/>
  <c r="D162" i="2"/>
  <c r="D139" i="2"/>
  <c r="D529" i="2"/>
  <c r="D339" i="2"/>
  <c r="D383" i="2"/>
  <c r="D163" i="2"/>
  <c r="D16" i="2"/>
  <c r="D542" i="2"/>
  <c r="D412" i="2"/>
  <c r="D482" i="2"/>
  <c r="D599" i="2"/>
  <c r="D391" i="2"/>
  <c r="D134" i="2"/>
  <c r="D117" i="2"/>
  <c r="D13" i="2"/>
  <c r="D122" i="2"/>
  <c r="D256" i="2"/>
  <c r="D586" i="2"/>
  <c r="D425" i="2"/>
  <c r="D305" i="2"/>
  <c r="D399" i="2"/>
  <c r="D63" i="2"/>
  <c r="D78" i="2"/>
  <c r="D39" i="2"/>
  <c r="D386" i="2"/>
  <c r="D140" i="2"/>
  <c r="D523" i="2"/>
  <c r="D187" i="2"/>
  <c r="D102" i="2"/>
  <c r="D580" i="2"/>
  <c r="D273" i="2"/>
  <c r="D219" i="2"/>
  <c r="D151" i="2"/>
  <c r="D477" i="2"/>
  <c r="D268" i="2"/>
  <c r="D489" i="2"/>
  <c r="D80" i="2"/>
  <c r="D257" i="2"/>
  <c r="D66" i="2"/>
  <c r="D486" i="2"/>
  <c r="D286" i="2"/>
  <c r="D373" i="2"/>
  <c r="D12" i="2"/>
  <c r="D341" i="2"/>
  <c r="D457" i="2"/>
  <c r="D567" i="2"/>
  <c r="D311" i="2"/>
  <c r="D213" i="2"/>
  <c r="D346" i="2"/>
  <c r="D323" i="2"/>
  <c r="D516" i="2"/>
  <c r="D252" i="2"/>
  <c r="D132" i="2"/>
  <c r="D173" i="2"/>
  <c r="D382" i="2"/>
  <c r="D88" i="2"/>
  <c r="D536" i="2"/>
  <c r="D503" i="2"/>
  <c r="D538" i="2"/>
  <c r="D152" i="2"/>
  <c r="D463" i="2"/>
  <c r="D480" i="2"/>
  <c r="D456" i="2"/>
  <c r="D75" i="2"/>
  <c r="D97" i="2"/>
  <c r="D206" i="2"/>
  <c r="D537" i="2"/>
  <c r="D221" i="2"/>
  <c r="D136" i="2"/>
  <c r="D106" i="2"/>
  <c r="D568" i="2"/>
  <c r="D214" i="2"/>
  <c r="D488" i="2"/>
  <c r="D81" i="2"/>
  <c r="D41" i="2"/>
  <c r="D543" i="2"/>
  <c r="D276" i="2"/>
  <c r="D570" i="2"/>
  <c r="D215" i="2"/>
  <c r="D451" i="2"/>
  <c r="D547" i="2"/>
  <c r="D250" i="2"/>
  <c r="D290" i="2"/>
  <c r="D502" i="2"/>
  <c r="D225" i="2"/>
  <c r="D364" i="2"/>
  <c r="D550" i="2"/>
  <c r="D478" i="2"/>
  <c r="D42" i="2"/>
  <c r="D530" i="2"/>
  <c r="D169" i="2"/>
  <c r="D379" i="2"/>
  <c r="D411" i="2"/>
  <c r="D476" i="2"/>
  <c r="D103" i="2"/>
  <c r="D421" i="2"/>
  <c r="D45" i="2"/>
  <c r="D420" i="2"/>
  <c r="D79" i="2"/>
  <c r="D261" i="2"/>
  <c r="D569" i="2"/>
  <c r="D407" i="2"/>
  <c r="D61" i="2"/>
  <c r="D532" i="2"/>
  <c r="D458" i="2"/>
  <c r="D113" i="2"/>
  <c r="D10" i="2"/>
  <c r="D202" i="2"/>
  <c r="D510" i="2"/>
  <c r="D327" i="2"/>
  <c r="D91" i="2"/>
  <c r="D50" i="2"/>
  <c r="D396" i="2"/>
  <c r="D185" i="2"/>
  <c r="D490" i="2"/>
  <c r="D507" i="2"/>
  <c r="D461" i="2"/>
  <c r="D29" i="2"/>
  <c r="D387" i="2"/>
  <c r="D177" i="2"/>
  <c r="D473" i="2"/>
  <c r="D470" i="2"/>
  <c r="D71" i="2"/>
  <c r="D320" i="2"/>
  <c r="D277" i="2"/>
  <c r="D333" i="2"/>
  <c r="D426" i="2"/>
  <c r="D519" i="2"/>
  <c r="D31" i="2"/>
  <c r="D579" i="2"/>
  <c r="D356" i="2"/>
  <c r="D378" i="2"/>
  <c r="D218" i="2"/>
  <c r="D381" i="2"/>
  <c r="D130" i="2"/>
  <c r="D230" i="2"/>
  <c r="D114" i="2"/>
  <c r="D242" i="2"/>
  <c r="D37" i="2"/>
  <c r="D582" i="2"/>
  <c r="D495" i="2"/>
  <c r="D228" i="2"/>
  <c r="D340" i="2"/>
  <c r="D342" i="2"/>
  <c r="D375" i="2"/>
  <c r="D254" i="2"/>
  <c r="D178" i="2"/>
  <c r="D115" i="2"/>
  <c r="D7" i="2"/>
  <c r="D147" i="2"/>
  <c r="D68" i="2"/>
  <c r="D135" i="2"/>
  <c r="D545" i="2"/>
  <c r="D574" i="2"/>
  <c r="D583" i="2"/>
  <c r="D302" i="2"/>
  <c r="D471" i="2"/>
  <c r="D179" i="2"/>
  <c r="D492" i="2"/>
  <c r="D592" i="2"/>
  <c r="D170" i="2"/>
  <c r="D171" i="2"/>
  <c r="D174" i="2"/>
  <c r="D27" i="2"/>
  <c r="D175" i="2"/>
  <c r="D588" i="2"/>
  <c r="D462" i="2"/>
  <c r="D107" i="2"/>
  <c r="D144" i="2"/>
  <c r="D196" i="2"/>
  <c r="D338" i="2"/>
  <c r="D330" i="2"/>
  <c r="D164" i="2"/>
  <c r="D294" i="2"/>
  <c r="D245" i="2"/>
  <c r="D398" i="2"/>
  <c r="D549" i="2"/>
  <c r="D350" i="2"/>
  <c r="D301" i="2"/>
  <c r="D275" i="2"/>
  <c r="D442" i="2"/>
  <c r="D491" i="2"/>
  <c r="D270" i="2"/>
  <c r="D48" i="2"/>
  <c r="D578" i="2"/>
  <c r="D299" i="2"/>
  <c r="D525" i="2"/>
  <c r="D188" i="2"/>
  <c r="D123" i="2"/>
  <c r="D6" i="2"/>
  <c r="D362" i="2"/>
  <c r="D258" i="2"/>
  <c r="D118" i="2"/>
  <c r="D544" i="2"/>
  <c r="D438" i="2"/>
  <c r="D389" i="2"/>
  <c r="D434" i="2"/>
  <c r="D189" i="2"/>
  <c r="D514" i="2"/>
  <c r="D176" i="2"/>
  <c r="D422" i="2"/>
  <c r="D358" i="2"/>
  <c r="D280" i="2"/>
  <c r="D291" i="2"/>
  <c r="D246" i="2"/>
  <c r="D521" i="2"/>
  <c r="D565" i="2"/>
  <c r="D322" i="2"/>
  <c r="D384" i="2"/>
  <c r="D435" i="2"/>
  <c r="D235" i="2"/>
  <c r="D49" i="2"/>
  <c r="D464" i="2"/>
  <c r="D54" i="2"/>
  <c r="D126" i="2"/>
  <c r="D353" i="2"/>
  <c r="D108" i="2"/>
  <c r="D347" i="2"/>
  <c r="D436" i="2"/>
  <c r="D247" i="2"/>
  <c r="D406" i="2"/>
  <c r="D598" i="2"/>
  <c r="D517" i="2"/>
  <c r="D82" i="2"/>
  <c r="D240" i="2"/>
  <c r="D410" i="2"/>
  <c r="D21" i="2"/>
  <c r="D300" i="2"/>
  <c r="D392" i="2"/>
  <c r="D172" i="2"/>
  <c r="D564" i="2"/>
  <c r="D522" i="2"/>
  <c r="D145" i="2"/>
  <c r="D73" i="2"/>
  <c r="D475" i="2"/>
  <c r="D590" i="2"/>
  <c r="D293" i="2"/>
  <c r="D337" i="2"/>
  <c r="D119" i="2"/>
  <c r="D94" i="2"/>
  <c r="D104" i="2"/>
  <c r="D69" i="2"/>
  <c r="D22" i="2"/>
  <c r="D51" i="2"/>
  <c r="D324" i="2"/>
  <c r="D165" i="2"/>
  <c r="D506" i="2"/>
  <c r="D278" i="2"/>
  <c r="D466" i="2"/>
  <c r="D417" i="2"/>
  <c r="D186" i="2"/>
  <c r="D207" i="2"/>
  <c r="D335" i="2"/>
  <c r="D283" i="2"/>
  <c r="D282" i="2"/>
  <c r="D30" i="2"/>
  <c r="D220" i="2"/>
  <c r="D124" i="2"/>
  <c r="D555" i="2"/>
  <c r="D149" i="2"/>
  <c r="D318" i="2"/>
  <c r="D38" i="2"/>
  <c r="D233" i="2"/>
  <c r="D262" i="2"/>
  <c r="D380" i="2"/>
  <c r="D86" i="2"/>
  <c r="D548" i="2"/>
  <c r="D334" i="2"/>
  <c r="D354" i="2"/>
  <c r="D133" i="2"/>
  <c r="D369" i="2"/>
  <c r="D211" i="2"/>
  <c r="D90" i="2"/>
  <c r="D589" i="2"/>
  <c r="D184" i="2"/>
  <c r="D271" i="2"/>
  <c r="D367" i="2"/>
  <c r="D298" i="2"/>
  <c r="D546" i="2"/>
  <c r="D96" i="2"/>
  <c r="D418" i="2"/>
  <c r="D200" i="2"/>
  <c r="D454" i="2"/>
  <c r="D36" i="2"/>
  <c r="D432" i="2"/>
  <c r="D198" i="2"/>
  <c r="D319" i="2"/>
  <c r="D223" i="2"/>
  <c r="D83" i="2"/>
  <c r="D264" i="2"/>
  <c r="D24" i="2"/>
  <c r="D441" i="2"/>
  <c r="D584" i="2"/>
  <c r="D449" i="2"/>
  <c r="D43" i="2"/>
  <c r="D244" i="2"/>
  <c r="D224" i="2"/>
  <c r="D313" i="2"/>
  <c r="D465" i="2"/>
  <c r="D427" i="2"/>
  <c r="D455" i="2"/>
  <c r="D167" i="2"/>
  <c r="D292" i="2"/>
  <c r="D310" i="2"/>
  <c r="D193" i="2"/>
  <c r="D241" i="2"/>
  <c r="D393" i="2"/>
  <c r="D595" i="2"/>
  <c r="D59" i="2"/>
  <c r="D558" i="2"/>
  <c r="D158" i="2"/>
  <c r="D566" i="2"/>
  <c r="D528" i="2"/>
  <c r="D453" i="2"/>
  <c r="D297" i="2"/>
  <c r="D161" i="2"/>
  <c r="D561" i="2"/>
  <c r="D368" i="2"/>
  <c r="D40" i="2"/>
  <c r="D345" i="2"/>
  <c r="D376" i="2"/>
  <c r="D239" i="2"/>
  <c r="D370" i="2"/>
  <c r="D101" i="2"/>
  <c r="D557" i="2"/>
  <c r="D572" i="2"/>
  <c r="D236" i="2"/>
  <c r="D444" i="2"/>
  <c r="D511" i="2"/>
  <c r="D390" i="2"/>
  <c r="D467" i="2"/>
  <c r="D363" i="2"/>
  <c r="D35" i="2"/>
  <c r="D84" i="2"/>
  <c r="D168" i="2"/>
  <c r="D77" i="2"/>
  <c r="D540" i="2"/>
  <c r="D596" i="2"/>
  <c r="D479" i="2"/>
  <c r="D552" i="2"/>
  <c r="D355" i="2"/>
  <c r="D594" i="2"/>
  <c r="D159" i="2"/>
  <c r="D98" i="2"/>
  <c r="D352" i="2"/>
  <c r="D28" i="2"/>
  <c r="D505" i="2"/>
  <c r="D433" i="2"/>
  <c r="D508" i="2"/>
  <c r="D234" i="2"/>
  <c r="D237" i="2"/>
  <c r="D321" i="2"/>
  <c r="D226" i="2"/>
  <c r="D325" i="2"/>
  <c r="D18" i="2"/>
  <c r="D217" i="2"/>
  <c r="D125" i="2"/>
  <c r="D3" i="2"/>
  <c r="D553" i="2"/>
  <c r="D575" i="2"/>
  <c r="D326" i="2"/>
  <c r="D251" i="2"/>
  <c r="D573" i="2"/>
  <c r="D581" i="2"/>
  <c r="D361" i="2"/>
  <c r="D203" i="2"/>
  <c r="D487" i="2"/>
  <c r="D366" i="2"/>
  <c r="D357" i="2"/>
  <c r="D255" i="2"/>
  <c r="D232" i="2"/>
  <c r="D121" i="2"/>
  <c r="D400" i="2"/>
  <c r="D146" i="2"/>
  <c r="D197" i="2"/>
  <c r="D440" i="2"/>
  <c r="D497" i="2"/>
  <c r="D329" i="2"/>
  <c r="D58" i="2"/>
  <c r="D110" i="2"/>
  <c r="D259" i="2"/>
  <c r="D360" i="2"/>
  <c r="D99" i="2"/>
  <c r="D52" i="2"/>
  <c r="D499" i="2"/>
  <c r="D287" i="2"/>
  <c r="D76" i="2"/>
  <c r="D148" i="2"/>
  <c r="D205" i="2"/>
  <c r="D526" i="2"/>
  <c r="D279" i="2"/>
  <c r="D33" i="2"/>
  <c r="D23" i="2"/>
  <c r="D394" i="2"/>
  <c r="D332" i="2"/>
  <c r="D92" i="2"/>
  <c r="D143" i="2"/>
  <c r="D562" i="2"/>
  <c r="D600" i="2"/>
  <c r="D515" i="2"/>
  <c r="D194" i="2"/>
  <c r="D372" i="2"/>
  <c r="D120" i="2"/>
  <c r="D419" i="2"/>
  <c r="D585" i="2"/>
  <c r="D533" i="2"/>
  <c r="D216" i="2"/>
  <c r="D154" i="2"/>
  <c r="D212" i="2"/>
  <c r="D26" i="2"/>
  <c r="D316" i="2"/>
  <c r="D474" i="2"/>
  <c r="D349" i="2"/>
  <c r="D153" i="2"/>
  <c r="D131" i="2"/>
  <c r="D343" i="2"/>
  <c r="D484" i="2"/>
  <c r="D527" i="2"/>
  <c r="D138" i="2"/>
  <c r="D100" i="2"/>
  <c r="D295" i="2"/>
  <c r="D111" i="2"/>
  <c r="D371" i="2"/>
  <c r="D446" i="2"/>
  <c r="D14" i="2"/>
  <c r="D403" i="2"/>
  <c r="D344" i="2"/>
  <c r="D160" i="2"/>
  <c r="D531" i="2"/>
  <c r="D443" i="2"/>
  <c r="D459" i="2"/>
  <c r="D559" i="2"/>
  <c r="D32" i="2"/>
  <c r="D87" i="2"/>
  <c r="D85" i="2"/>
  <c r="D314" i="2"/>
  <c r="D385" i="2"/>
  <c r="D265" i="2"/>
  <c r="D210" i="2"/>
  <c r="D204" i="2"/>
  <c r="D402" i="2"/>
  <c r="D93" i="2"/>
  <c r="D309" i="2"/>
  <c r="D501" i="2"/>
  <c r="D227" i="2"/>
  <c r="D166" i="2"/>
  <c r="D306" i="2"/>
  <c r="D155" i="2"/>
  <c r="D70" i="2"/>
  <c r="D5" i="2"/>
  <c r="D504" i="2"/>
  <c r="D53" i="2"/>
  <c r="D328" i="2"/>
  <c r="D284" i="2"/>
  <c r="D266" i="2"/>
  <c r="D62" i="2"/>
  <c r="D112" i="2"/>
  <c r="D46" i="2"/>
  <c r="D429" i="2"/>
  <c r="D500" i="2"/>
  <c r="D47" i="2"/>
  <c r="D317" i="2"/>
  <c r="D593" i="2"/>
  <c r="D289" i="2"/>
  <c r="D20" i="2"/>
  <c r="D481" i="2"/>
  <c r="D388" i="2"/>
  <c r="D222" i="2"/>
  <c r="D359" i="2"/>
  <c r="D520" i="2"/>
  <c r="D512" i="2"/>
  <c r="D428" i="2"/>
  <c r="D541" i="2"/>
  <c r="D180" i="2"/>
  <c r="D67" i="2"/>
  <c r="D493" i="2"/>
  <c r="D518" i="2"/>
  <c r="D377" i="2"/>
  <c r="D405" i="2"/>
  <c r="D274" i="2"/>
  <c r="D395" i="2"/>
  <c r="D9" i="2"/>
  <c r="D263" i="2"/>
  <c r="D249" i="2"/>
  <c r="D563" i="2"/>
  <c r="D416" i="2"/>
  <c r="D452" i="2"/>
  <c r="D296" i="2"/>
  <c r="D437" i="2"/>
  <c r="D513" i="2"/>
  <c r="D424" i="2"/>
  <c r="D483" i="2"/>
  <c r="D556" i="2"/>
  <c r="D201" i="2"/>
  <c r="D445" i="2"/>
  <c r="C303" i="2"/>
  <c r="C191" i="2"/>
  <c r="C288" i="2"/>
  <c r="C44" i="2"/>
  <c r="C560" i="2"/>
  <c r="C199" i="2"/>
  <c r="C415" i="2"/>
  <c r="C72" i="2"/>
  <c r="C17" i="2"/>
  <c r="C56" i="2"/>
  <c r="C231" i="2"/>
  <c r="C312" i="2"/>
  <c r="C496" i="2"/>
  <c r="C348" i="2"/>
  <c r="C509" i="2"/>
  <c r="C243" i="2"/>
  <c r="C469" i="2"/>
  <c r="C597" i="2"/>
  <c r="C8" i="2"/>
  <c r="C269" i="2"/>
  <c r="C142" i="2"/>
  <c r="C374" i="2"/>
  <c r="C430" i="2"/>
  <c r="C591" i="2"/>
  <c r="C554" i="2"/>
  <c r="C208" i="2"/>
  <c r="C539" i="2"/>
  <c r="C182" i="2"/>
  <c r="C64" i="2"/>
  <c r="C248" i="2"/>
  <c r="C365" i="2"/>
  <c r="C137" i="2"/>
  <c r="C498" i="2"/>
  <c r="C209" i="2"/>
  <c r="C576" i="2"/>
  <c r="C351" i="2"/>
  <c r="C281" i="2"/>
  <c r="C535" i="2"/>
  <c r="C4" i="2"/>
  <c r="C409" i="2"/>
  <c r="C272" i="2"/>
  <c r="C65" i="2"/>
  <c r="C408" i="2"/>
  <c r="C116" i="2"/>
  <c r="C485" i="2"/>
  <c r="C315" i="2"/>
  <c r="C587" i="2"/>
  <c r="C105" i="2"/>
  <c r="C253" i="2"/>
  <c r="C156" i="2"/>
  <c r="C267" i="2"/>
  <c r="C439" i="2"/>
  <c r="C397" i="2"/>
  <c r="C74" i="2"/>
  <c r="C57" i="2"/>
  <c r="C447" i="2"/>
  <c r="C55" i="2"/>
  <c r="C534" i="2"/>
  <c r="C19" i="2"/>
  <c r="C34" i="2"/>
  <c r="C181" i="2"/>
  <c r="C260" i="2"/>
  <c r="C308" i="2"/>
  <c r="C141" i="2"/>
  <c r="C129" i="2"/>
  <c r="C190" i="2"/>
  <c r="C468" i="2"/>
  <c r="C15" i="2"/>
  <c r="C127" i="2"/>
  <c r="C404" i="2"/>
  <c r="C460" i="2"/>
  <c r="C285" i="2"/>
  <c r="C450" i="2"/>
  <c r="C307" i="2"/>
  <c r="C183" i="2"/>
  <c r="C472" i="2"/>
  <c r="C2" i="2"/>
  <c r="C11" i="2"/>
  <c r="C413" i="2"/>
  <c r="C304" i="2"/>
  <c r="C157" i="2"/>
  <c r="C414" i="2"/>
  <c r="C577" i="2"/>
  <c r="C60" i="2"/>
  <c r="C238" i="2"/>
  <c r="C89" i="2"/>
  <c r="C571" i="2"/>
  <c r="C423" i="2"/>
  <c r="C95" i="2"/>
  <c r="C448" i="2"/>
  <c r="C229" i="2"/>
  <c r="C192" i="2"/>
  <c r="C331" i="2"/>
  <c r="C109" i="2"/>
  <c r="C524" i="2"/>
  <c r="C195" i="2"/>
  <c r="C336" i="2"/>
  <c r="C25" i="2"/>
  <c r="C128" i="2"/>
  <c r="C494" i="2"/>
  <c r="C401" i="2"/>
  <c r="C150" i="2"/>
  <c r="C431" i="2"/>
  <c r="C162" i="2"/>
  <c r="C139" i="2"/>
  <c r="C529" i="2"/>
  <c r="C339" i="2"/>
  <c r="C383" i="2"/>
  <c r="C163" i="2"/>
  <c r="C16" i="2"/>
  <c r="C542" i="2"/>
  <c r="C412" i="2"/>
  <c r="C482" i="2"/>
  <c r="C599" i="2"/>
  <c r="C391" i="2"/>
  <c r="C134" i="2"/>
  <c r="C117" i="2"/>
  <c r="C13" i="2"/>
  <c r="C122" i="2"/>
  <c r="C256" i="2"/>
  <c r="C586" i="2"/>
  <c r="C425" i="2"/>
  <c r="C305" i="2"/>
  <c r="C399" i="2"/>
  <c r="C63" i="2"/>
  <c r="C78" i="2"/>
  <c r="C39" i="2"/>
  <c r="C386" i="2"/>
  <c r="C140" i="2"/>
  <c r="C523" i="2"/>
  <c r="C187" i="2"/>
  <c r="C102" i="2"/>
  <c r="C580" i="2"/>
  <c r="C273" i="2"/>
  <c r="C219" i="2"/>
  <c r="C151" i="2"/>
  <c r="C477" i="2"/>
  <c r="C268" i="2"/>
  <c r="C489" i="2"/>
  <c r="C80" i="2"/>
  <c r="C257" i="2"/>
  <c r="C66" i="2"/>
  <c r="C486" i="2"/>
  <c r="C286" i="2"/>
  <c r="C373" i="2"/>
  <c r="C12" i="2"/>
  <c r="C341" i="2"/>
  <c r="C457" i="2"/>
  <c r="C567" i="2"/>
  <c r="C311" i="2"/>
  <c r="C213" i="2"/>
  <c r="C346" i="2"/>
  <c r="C323" i="2"/>
  <c r="C516" i="2"/>
  <c r="C252" i="2"/>
  <c r="C132" i="2"/>
  <c r="C173" i="2"/>
  <c r="C382" i="2"/>
  <c r="C88" i="2"/>
  <c r="C536" i="2"/>
  <c r="C503" i="2"/>
  <c r="C538" i="2"/>
  <c r="C152" i="2"/>
  <c r="C463" i="2"/>
  <c r="C480" i="2"/>
  <c r="C456" i="2"/>
  <c r="C75" i="2"/>
  <c r="C97" i="2"/>
  <c r="C206" i="2"/>
  <c r="C537" i="2"/>
  <c r="C221" i="2"/>
  <c r="C136" i="2"/>
  <c r="C106" i="2"/>
  <c r="C568" i="2"/>
  <c r="C214" i="2"/>
  <c r="C488" i="2"/>
  <c r="C81" i="2"/>
  <c r="C41" i="2"/>
  <c r="C543" i="2"/>
  <c r="C276" i="2"/>
  <c r="C570" i="2"/>
  <c r="C215" i="2"/>
  <c r="C451" i="2"/>
  <c r="C547" i="2"/>
  <c r="C250" i="2"/>
  <c r="C290" i="2"/>
  <c r="C502" i="2"/>
  <c r="C225" i="2"/>
  <c r="C364" i="2"/>
  <c r="C550" i="2"/>
  <c r="C478" i="2"/>
  <c r="C42" i="2"/>
  <c r="C530" i="2"/>
  <c r="C169" i="2"/>
  <c r="C379" i="2"/>
  <c r="C411" i="2"/>
  <c r="C476" i="2"/>
  <c r="C103" i="2"/>
  <c r="C421" i="2"/>
  <c r="C45" i="2"/>
  <c r="C420" i="2"/>
  <c r="C79" i="2"/>
  <c r="C261" i="2"/>
  <c r="C569" i="2"/>
  <c r="C407" i="2"/>
  <c r="C61" i="2"/>
  <c r="C532" i="2"/>
  <c r="C458" i="2"/>
  <c r="C113" i="2"/>
  <c r="C10" i="2"/>
  <c r="C202" i="2"/>
  <c r="C510" i="2"/>
  <c r="C327" i="2"/>
  <c r="C91" i="2"/>
  <c r="C50" i="2"/>
  <c r="C396" i="2"/>
  <c r="C185" i="2"/>
  <c r="C490" i="2"/>
  <c r="C507" i="2"/>
  <c r="C461" i="2"/>
  <c r="C29" i="2"/>
  <c r="C387" i="2"/>
  <c r="C177" i="2"/>
  <c r="C473" i="2"/>
  <c r="C470" i="2"/>
  <c r="C71" i="2"/>
  <c r="C320" i="2"/>
  <c r="C277" i="2"/>
  <c r="C333" i="2"/>
  <c r="C426" i="2"/>
  <c r="C519" i="2"/>
  <c r="C31" i="2"/>
  <c r="C579" i="2"/>
  <c r="C356" i="2"/>
  <c r="C378" i="2"/>
  <c r="C218" i="2"/>
  <c r="C381" i="2"/>
  <c r="C130" i="2"/>
  <c r="C230" i="2"/>
  <c r="C114" i="2"/>
  <c r="C242" i="2"/>
  <c r="C37" i="2"/>
  <c r="C582" i="2"/>
  <c r="C495" i="2"/>
  <c r="C228" i="2"/>
  <c r="C340" i="2"/>
  <c r="C342" i="2"/>
  <c r="C375" i="2"/>
  <c r="C254" i="2"/>
  <c r="C178" i="2"/>
  <c r="C115" i="2"/>
  <c r="C7" i="2"/>
  <c r="C147" i="2"/>
  <c r="C68" i="2"/>
  <c r="C135" i="2"/>
  <c r="C545" i="2"/>
  <c r="C574" i="2"/>
  <c r="C583" i="2"/>
  <c r="C302" i="2"/>
  <c r="C471" i="2"/>
  <c r="C179" i="2"/>
  <c r="C492" i="2"/>
  <c r="C592" i="2"/>
  <c r="C170" i="2"/>
  <c r="C171" i="2"/>
  <c r="C174" i="2"/>
  <c r="C27" i="2"/>
  <c r="C175" i="2"/>
  <c r="C588" i="2"/>
  <c r="C462" i="2"/>
  <c r="C107" i="2"/>
  <c r="C144" i="2"/>
  <c r="C196" i="2"/>
  <c r="C338" i="2"/>
  <c r="C330" i="2"/>
  <c r="C164" i="2"/>
  <c r="C294" i="2"/>
  <c r="C245" i="2"/>
  <c r="C398" i="2"/>
  <c r="C549" i="2"/>
  <c r="C350" i="2"/>
  <c r="C301" i="2"/>
  <c r="C275" i="2"/>
  <c r="C442" i="2"/>
  <c r="C491" i="2"/>
  <c r="C270" i="2"/>
  <c r="C48" i="2"/>
  <c r="C578" i="2"/>
  <c r="C299" i="2"/>
  <c r="C525" i="2"/>
  <c r="C188" i="2"/>
  <c r="C123" i="2"/>
  <c r="C6" i="2"/>
  <c r="C362" i="2"/>
  <c r="C258" i="2"/>
  <c r="C118" i="2"/>
  <c r="C544" i="2"/>
  <c r="C438" i="2"/>
  <c r="C389" i="2"/>
  <c r="C434" i="2"/>
  <c r="C189" i="2"/>
  <c r="C514" i="2"/>
  <c r="C176" i="2"/>
  <c r="C422" i="2"/>
  <c r="C358" i="2"/>
  <c r="C280" i="2"/>
  <c r="C291" i="2"/>
  <c r="C246" i="2"/>
  <c r="C521" i="2"/>
  <c r="C565" i="2"/>
  <c r="C322" i="2"/>
  <c r="C384" i="2"/>
  <c r="C435" i="2"/>
  <c r="C235" i="2"/>
  <c r="C49" i="2"/>
  <c r="C464" i="2"/>
  <c r="C54" i="2"/>
  <c r="C126" i="2"/>
  <c r="C353" i="2"/>
  <c r="C108" i="2"/>
  <c r="C347" i="2"/>
  <c r="C436" i="2"/>
  <c r="C247" i="2"/>
  <c r="C406" i="2"/>
  <c r="C598" i="2"/>
  <c r="C517" i="2"/>
  <c r="C82" i="2"/>
  <c r="C240" i="2"/>
  <c r="C410" i="2"/>
  <c r="C21" i="2"/>
  <c r="C300" i="2"/>
  <c r="C392" i="2"/>
  <c r="C172" i="2"/>
  <c r="C564" i="2"/>
  <c r="C522" i="2"/>
  <c r="C145" i="2"/>
  <c r="C73" i="2"/>
  <c r="C475" i="2"/>
  <c r="C590" i="2"/>
  <c r="C293" i="2"/>
  <c r="C337" i="2"/>
  <c r="C119" i="2"/>
  <c r="C94" i="2"/>
  <c r="C104" i="2"/>
  <c r="C69" i="2"/>
  <c r="C22" i="2"/>
  <c r="C51" i="2"/>
  <c r="C324" i="2"/>
  <c r="C165" i="2"/>
  <c r="C506" i="2"/>
  <c r="C278" i="2"/>
  <c r="C466" i="2"/>
  <c r="C417" i="2"/>
  <c r="C186" i="2"/>
  <c r="C207" i="2"/>
  <c r="C335" i="2"/>
  <c r="C283" i="2"/>
  <c r="C282" i="2"/>
  <c r="C30" i="2"/>
  <c r="C220" i="2"/>
  <c r="C124" i="2"/>
  <c r="C555" i="2"/>
  <c r="C149" i="2"/>
  <c r="C318" i="2"/>
  <c r="C38" i="2"/>
  <c r="C233" i="2"/>
  <c r="C262" i="2"/>
  <c r="C380" i="2"/>
  <c r="C86" i="2"/>
  <c r="C548" i="2"/>
  <c r="C334" i="2"/>
  <c r="C354" i="2"/>
  <c r="C133" i="2"/>
  <c r="C369" i="2"/>
  <c r="C211" i="2"/>
  <c r="C90" i="2"/>
  <c r="C589" i="2"/>
  <c r="C184" i="2"/>
  <c r="C271" i="2"/>
  <c r="C367" i="2"/>
  <c r="C298" i="2"/>
  <c r="C546" i="2"/>
  <c r="C96" i="2"/>
  <c r="C418" i="2"/>
  <c r="C200" i="2"/>
  <c r="C454" i="2"/>
  <c r="C36" i="2"/>
  <c r="C432" i="2"/>
  <c r="C198" i="2"/>
  <c r="C319" i="2"/>
  <c r="C223" i="2"/>
  <c r="C83" i="2"/>
  <c r="C264" i="2"/>
  <c r="C24" i="2"/>
  <c r="C441" i="2"/>
  <c r="C584" i="2"/>
  <c r="C449" i="2"/>
  <c r="C43" i="2"/>
  <c r="C244" i="2"/>
  <c r="C224" i="2"/>
  <c r="C313" i="2"/>
  <c r="C465" i="2"/>
  <c r="C427" i="2"/>
  <c r="C455" i="2"/>
  <c r="C167" i="2"/>
  <c r="C292" i="2"/>
  <c r="C310" i="2"/>
  <c r="C193" i="2"/>
  <c r="C241" i="2"/>
  <c r="C393" i="2"/>
  <c r="C595" i="2"/>
  <c r="C59" i="2"/>
  <c r="C558" i="2"/>
  <c r="C158" i="2"/>
  <c r="C566" i="2"/>
  <c r="C528" i="2"/>
  <c r="C453" i="2"/>
  <c r="C297" i="2"/>
  <c r="C161" i="2"/>
  <c r="C561" i="2"/>
  <c r="C368" i="2"/>
  <c r="C40" i="2"/>
  <c r="C345" i="2"/>
  <c r="C376" i="2"/>
  <c r="C239" i="2"/>
  <c r="C370" i="2"/>
  <c r="C101" i="2"/>
  <c r="C557" i="2"/>
  <c r="C572" i="2"/>
  <c r="C236" i="2"/>
  <c r="C444" i="2"/>
  <c r="C511" i="2"/>
  <c r="C390" i="2"/>
  <c r="C467" i="2"/>
  <c r="C363" i="2"/>
  <c r="C35" i="2"/>
  <c r="C84" i="2"/>
  <c r="C168" i="2"/>
  <c r="C77" i="2"/>
  <c r="C540" i="2"/>
  <c r="C596" i="2"/>
  <c r="C479" i="2"/>
  <c r="C552" i="2"/>
  <c r="C355" i="2"/>
  <c r="C594" i="2"/>
  <c r="C159" i="2"/>
  <c r="C98" i="2"/>
  <c r="C352" i="2"/>
  <c r="C28" i="2"/>
  <c r="C505" i="2"/>
  <c r="C433" i="2"/>
  <c r="C508" i="2"/>
  <c r="C234" i="2"/>
  <c r="C237" i="2"/>
  <c r="C321" i="2"/>
  <c r="C226" i="2"/>
  <c r="C325" i="2"/>
  <c r="C18" i="2"/>
  <c r="C217" i="2"/>
  <c r="C125" i="2"/>
  <c r="C3" i="2"/>
  <c r="C553" i="2"/>
  <c r="C575" i="2"/>
  <c r="C326" i="2"/>
  <c r="C251" i="2"/>
  <c r="C573" i="2"/>
  <c r="C581" i="2"/>
  <c r="C361" i="2"/>
  <c r="C203" i="2"/>
  <c r="C487" i="2"/>
  <c r="C366" i="2"/>
  <c r="C357" i="2"/>
  <c r="C255" i="2"/>
  <c r="C232" i="2"/>
  <c r="C121" i="2"/>
  <c r="C400" i="2"/>
  <c r="C146" i="2"/>
  <c r="C197" i="2"/>
  <c r="C440" i="2"/>
  <c r="C497" i="2"/>
  <c r="C329" i="2"/>
  <c r="C58" i="2"/>
  <c r="C110" i="2"/>
  <c r="C259" i="2"/>
  <c r="C360" i="2"/>
  <c r="C99" i="2"/>
  <c r="C52" i="2"/>
  <c r="C499" i="2"/>
  <c r="C287" i="2"/>
  <c r="C76" i="2"/>
  <c r="C148" i="2"/>
  <c r="C205" i="2"/>
  <c r="C526" i="2"/>
  <c r="C279" i="2"/>
  <c r="C33" i="2"/>
  <c r="C23" i="2"/>
  <c r="C394" i="2"/>
  <c r="C332" i="2"/>
  <c r="C92" i="2"/>
  <c r="C143" i="2"/>
  <c r="C562" i="2"/>
  <c r="C600" i="2"/>
  <c r="C515" i="2"/>
  <c r="C194" i="2"/>
  <c r="C372" i="2"/>
  <c r="C120" i="2"/>
  <c r="C419" i="2"/>
  <c r="C585" i="2"/>
  <c r="C533" i="2"/>
  <c r="C216" i="2"/>
  <c r="C154" i="2"/>
  <c r="C212" i="2"/>
  <c r="C26" i="2"/>
  <c r="C316" i="2"/>
  <c r="C474" i="2"/>
  <c r="C349" i="2"/>
  <c r="C153" i="2"/>
  <c r="C131" i="2"/>
  <c r="C343" i="2"/>
  <c r="C484" i="2"/>
  <c r="C527" i="2"/>
  <c r="C138" i="2"/>
  <c r="C100" i="2"/>
  <c r="C295" i="2"/>
  <c r="C111" i="2"/>
  <c r="C371" i="2"/>
  <c r="C446" i="2"/>
  <c r="C14" i="2"/>
  <c r="C403" i="2"/>
  <c r="C344" i="2"/>
  <c r="C160" i="2"/>
  <c r="C531" i="2"/>
  <c r="C443" i="2"/>
  <c r="C459" i="2"/>
  <c r="C559" i="2"/>
  <c r="C32" i="2"/>
  <c r="C87" i="2"/>
  <c r="C85" i="2"/>
  <c r="C314" i="2"/>
  <c r="C385" i="2"/>
  <c r="C265" i="2"/>
  <c r="C210" i="2"/>
  <c r="C204" i="2"/>
  <c r="C402" i="2"/>
  <c r="C93" i="2"/>
  <c r="C309" i="2"/>
  <c r="C501" i="2"/>
  <c r="C227" i="2"/>
  <c r="C166" i="2"/>
  <c r="C306" i="2"/>
  <c r="C155" i="2"/>
  <c r="C70" i="2"/>
  <c r="C5" i="2"/>
  <c r="C504" i="2"/>
  <c r="C53" i="2"/>
  <c r="C328" i="2"/>
  <c r="C284" i="2"/>
  <c r="C266" i="2"/>
  <c r="C62" i="2"/>
  <c r="C112" i="2"/>
  <c r="C46" i="2"/>
  <c r="C429" i="2"/>
  <c r="C500" i="2"/>
  <c r="C47" i="2"/>
  <c r="C317" i="2"/>
  <c r="C593" i="2"/>
  <c r="C289" i="2"/>
  <c r="C20" i="2"/>
  <c r="C481" i="2"/>
  <c r="C388" i="2"/>
  <c r="C222" i="2"/>
  <c r="C359" i="2"/>
  <c r="C520" i="2"/>
  <c r="C512" i="2"/>
  <c r="C428" i="2"/>
  <c r="C541" i="2"/>
  <c r="C180" i="2"/>
  <c r="C67" i="2"/>
  <c r="C493" i="2"/>
  <c r="C518" i="2"/>
  <c r="C377" i="2"/>
  <c r="C405" i="2"/>
  <c r="C274" i="2"/>
  <c r="C395" i="2"/>
  <c r="C9" i="2"/>
  <c r="C263" i="2"/>
  <c r="C249" i="2"/>
  <c r="C563" i="2"/>
  <c r="C416" i="2"/>
  <c r="C452" i="2"/>
  <c r="C296" i="2"/>
  <c r="C437" i="2"/>
  <c r="C513" i="2"/>
  <c r="C424" i="2"/>
  <c r="C483" i="2"/>
  <c r="C556" i="2"/>
  <c r="C201" i="2"/>
  <c r="C445" i="2"/>
  <c r="B303" i="2"/>
  <c r="B191" i="2"/>
  <c r="B288" i="2"/>
  <c r="B44" i="2"/>
  <c r="B560" i="2"/>
  <c r="B199" i="2"/>
  <c r="B415" i="2"/>
  <c r="B72" i="2"/>
  <c r="B17" i="2"/>
  <c r="B56" i="2"/>
  <c r="B231" i="2"/>
  <c r="B312" i="2"/>
  <c r="B496" i="2"/>
  <c r="B348" i="2"/>
  <c r="B509" i="2"/>
  <c r="B243" i="2"/>
  <c r="B469" i="2"/>
  <c r="B597" i="2"/>
  <c r="B8" i="2"/>
  <c r="B269" i="2"/>
  <c r="B142" i="2"/>
  <c r="B374" i="2"/>
  <c r="B430" i="2"/>
  <c r="B591" i="2"/>
  <c r="B554" i="2"/>
  <c r="B208" i="2"/>
  <c r="B539" i="2"/>
  <c r="B182" i="2"/>
  <c r="B64" i="2"/>
  <c r="B248" i="2"/>
  <c r="B365" i="2"/>
  <c r="B137" i="2"/>
  <c r="B498" i="2"/>
  <c r="B209" i="2"/>
  <c r="B576" i="2"/>
  <c r="B351" i="2"/>
  <c r="B281" i="2"/>
  <c r="B535" i="2"/>
  <c r="B4" i="2"/>
  <c r="B409" i="2"/>
  <c r="B272" i="2"/>
  <c r="B65" i="2"/>
  <c r="B408" i="2"/>
  <c r="B116" i="2"/>
  <c r="B485" i="2"/>
  <c r="B315" i="2"/>
  <c r="B587" i="2"/>
  <c r="B105" i="2"/>
  <c r="B253" i="2"/>
  <c r="B156" i="2"/>
  <c r="B267" i="2"/>
  <c r="B439" i="2"/>
  <c r="B397" i="2"/>
  <c r="B74" i="2"/>
  <c r="B57" i="2"/>
  <c r="B447" i="2"/>
  <c r="B55" i="2"/>
  <c r="B534" i="2"/>
  <c r="B19" i="2"/>
  <c r="B34" i="2"/>
  <c r="B181" i="2"/>
  <c r="B260" i="2"/>
  <c r="B308" i="2"/>
  <c r="B141" i="2"/>
  <c r="B129" i="2"/>
  <c r="B190" i="2"/>
  <c r="B468" i="2"/>
  <c r="B15" i="2"/>
  <c r="B127" i="2"/>
  <c r="B404" i="2"/>
  <c r="B460" i="2"/>
  <c r="B285" i="2"/>
  <c r="B450" i="2"/>
  <c r="B307" i="2"/>
  <c r="B183" i="2"/>
  <c r="B472" i="2"/>
  <c r="B2" i="2"/>
  <c r="B11" i="2"/>
  <c r="B413" i="2"/>
  <c r="B304" i="2"/>
  <c r="B157" i="2"/>
  <c r="B414" i="2"/>
  <c r="B577" i="2"/>
  <c r="B60" i="2"/>
  <c r="B238" i="2"/>
  <c r="B89" i="2"/>
  <c r="B571" i="2"/>
  <c r="B423" i="2"/>
  <c r="B95" i="2"/>
  <c r="B448" i="2"/>
  <c r="B229" i="2"/>
  <c r="B192" i="2"/>
  <c r="B331" i="2"/>
  <c r="B109" i="2"/>
  <c r="B524" i="2"/>
  <c r="B195" i="2"/>
  <c r="B336" i="2"/>
  <c r="B25" i="2"/>
  <c r="B128" i="2"/>
  <c r="B494" i="2"/>
  <c r="B401" i="2"/>
  <c r="B150" i="2"/>
  <c r="B431" i="2"/>
  <c r="B162" i="2"/>
  <c r="B139" i="2"/>
  <c r="B529" i="2"/>
  <c r="B339" i="2"/>
  <c r="B383" i="2"/>
  <c r="B163" i="2"/>
  <c r="B16" i="2"/>
  <c r="B542" i="2"/>
  <c r="B412" i="2"/>
  <c r="B482" i="2"/>
  <c r="B599" i="2"/>
  <c r="B391" i="2"/>
  <c r="B134" i="2"/>
  <c r="B117" i="2"/>
  <c r="B13" i="2"/>
  <c r="B122" i="2"/>
  <c r="B256" i="2"/>
  <c r="B586" i="2"/>
  <c r="B425" i="2"/>
  <c r="B305" i="2"/>
  <c r="B399" i="2"/>
  <c r="B63" i="2"/>
  <c r="B78" i="2"/>
  <c r="B39" i="2"/>
  <c r="B386" i="2"/>
  <c r="B140" i="2"/>
  <c r="B523" i="2"/>
  <c r="B187" i="2"/>
  <c r="B102" i="2"/>
  <c r="B580" i="2"/>
  <c r="B273" i="2"/>
  <c r="B219" i="2"/>
  <c r="B151" i="2"/>
  <c r="B477" i="2"/>
  <c r="B268" i="2"/>
  <c r="B489" i="2"/>
  <c r="B80" i="2"/>
  <c r="B257" i="2"/>
  <c r="B66" i="2"/>
  <c r="B486" i="2"/>
  <c r="B286" i="2"/>
  <c r="B373" i="2"/>
  <c r="B12" i="2"/>
  <c r="B341" i="2"/>
  <c r="B457" i="2"/>
  <c r="B567" i="2"/>
  <c r="B311" i="2"/>
  <c r="B213" i="2"/>
  <c r="B346" i="2"/>
  <c r="B323" i="2"/>
  <c r="B516" i="2"/>
  <c r="B252" i="2"/>
  <c r="B132" i="2"/>
  <c r="B173" i="2"/>
  <c r="B382" i="2"/>
  <c r="B88" i="2"/>
  <c r="B536" i="2"/>
  <c r="B503" i="2"/>
  <c r="B538" i="2"/>
  <c r="B152" i="2"/>
  <c r="B463" i="2"/>
  <c r="B480" i="2"/>
  <c r="B456" i="2"/>
  <c r="B75" i="2"/>
  <c r="B97" i="2"/>
  <c r="B206" i="2"/>
  <c r="B537" i="2"/>
  <c r="B221" i="2"/>
  <c r="B136" i="2"/>
  <c r="B106" i="2"/>
  <c r="B568" i="2"/>
  <c r="B214" i="2"/>
  <c r="B488" i="2"/>
  <c r="B81" i="2"/>
  <c r="B41" i="2"/>
  <c r="B543" i="2"/>
  <c r="B276" i="2"/>
  <c r="B570" i="2"/>
  <c r="B215" i="2"/>
  <c r="B451" i="2"/>
  <c r="B547" i="2"/>
  <c r="B250" i="2"/>
  <c r="B290" i="2"/>
  <c r="B502" i="2"/>
  <c r="B225" i="2"/>
  <c r="B364" i="2"/>
  <c r="B550" i="2"/>
  <c r="B478" i="2"/>
  <c r="B42" i="2"/>
  <c r="B530" i="2"/>
  <c r="B169" i="2"/>
  <c r="B379" i="2"/>
  <c r="B411" i="2"/>
  <c r="B476" i="2"/>
  <c r="B103" i="2"/>
  <c r="B421" i="2"/>
  <c r="B45" i="2"/>
  <c r="B420" i="2"/>
  <c r="B79" i="2"/>
  <c r="B261" i="2"/>
  <c r="B569" i="2"/>
  <c r="B407" i="2"/>
  <c r="B61" i="2"/>
  <c r="B532" i="2"/>
  <c r="B458" i="2"/>
  <c r="B113" i="2"/>
  <c r="B10" i="2"/>
  <c r="B202" i="2"/>
  <c r="B510" i="2"/>
  <c r="B327" i="2"/>
  <c r="B91" i="2"/>
  <c r="B50" i="2"/>
  <c r="B396" i="2"/>
  <c r="B185" i="2"/>
  <c r="B490" i="2"/>
  <c r="B507" i="2"/>
  <c r="B461" i="2"/>
  <c r="B29" i="2"/>
  <c r="B387" i="2"/>
  <c r="B177" i="2"/>
  <c r="B473" i="2"/>
  <c r="B470" i="2"/>
  <c r="B71" i="2"/>
  <c r="B320" i="2"/>
  <c r="B277" i="2"/>
  <c r="B333" i="2"/>
  <c r="B426" i="2"/>
  <c r="B519" i="2"/>
  <c r="B31" i="2"/>
  <c r="B579" i="2"/>
  <c r="B356" i="2"/>
  <c r="B378" i="2"/>
  <c r="B218" i="2"/>
  <c r="B381" i="2"/>
  <c r="B130" i="2"/>
  <c r="B230" i="2"/>
  <c r="B114" i="2"/>
  <c r="B242" i="2"/>
  <c r="B37" i="2"/>
  <c r="B582" i="2"/>
  <c r="B495" i="2"/>
  <c r="B228" i="2"/>
  <c r="B340" i="2"/>
  <c r="B342" i="2"/>
  <c r="B375" i="2"/>
  <c r="B254" i="2"/>
  <c r="B178" i="2"/>
  <c r="B115" i="2"/>
  <c r="B7" i="2"/>
  <c r="B147" i="2"/>
  <c r="B68" i="2"/>
  <c r="B135" i="2"/>
  <c r="B545" i="2"/>
  <c r="B574" i="2"/>
  <c r="B583" i="2"/>
  <c r="B302" i="2"/>
  <c r="B471" i="2"/>
  <c r="B179" i="2"/>
  <c r="B492" i="2"/>
  <c r="B592" i="2"/>
  <c r="B170" i="2"/>
  <c r="B171" i="2"/>
  <c r="B174" i="2"/>
  <c r="B27" i="2"/>
  <c r="B175" i="2"/>
  <c r="B588" i="2"/>
  <c r="B462" i="2"/>
  <c r="B107" i="2"/>
  <c r="B144" i="2"/>
  <c r="B196" i="2"/>
  <c r="B338" i="2"/>
  <c r="B330" i="2"/>
  <c r="B164" i="2"/>
  <c r="B294" i="2"/>
  <c r="B245" i="2"/>
  <c r="B398" i="2"/>
  <c r="B549" i="2"/>
  <c r="B350" i="2"/>
  <c r="B301" i="2"/>
  <c r="B275" i="2"/>
  <c r="B442" i="2"/>
  <c r="B491" i="2"/>
  <c r="B270" i="2"/>
  <c r="B48" i="2"/>
  <c r="B578" i="2"/>
  <c r="B299" i="2"/>
  <c r="B525" i="2"/>
  <c r="B188" i="2"/>
  <c r="B123" i="2"/>
  <c r="B6" i="2"/>
  <c r="B362" i="2"/>
  <c r="B258" i="2"/>
  <c r="B118" i="2"/>
  <c r="B544" i="2"/>
  <c r="B438" i="2"/>
  <c r="B389" i="2"/>
  <c r="B434" i="2"/>
  <c r="B189" i="2"/>
  <c r="B514" i="2"/>
  <c r="B176" i="2"/>
  <c r="B422" i="2"/>
  <c r="B358" i="2"/>
  <c r="B280" i="2"/>
  <c r="B291" i="2"/>
  <c r="B246" i="2"/>
  <c r="B521" i="2"/>
  <c r="B565" i="2"/>
  <c r="B322" i="2"/>
  <c r="B384" i="2"/>
  <c r="B435" i="2"/>
  <c r="B235" i="2"/>
  <c r="B49" i="2"/>
  <c r="B464" i="2"/>
  <c r="B54" i="2"/>
  <c r="B126" i="2"/>
  <c r="B353" i="2"/>
  <c r="B108" i="2"/>
  <c r="B347" i="2"/>
  <c r="B436" i="2"/>
  <c r="B247" i="2"/>
  <c r="B406" i="2"/>
  <c r="B598" i="2"/>
  <c r="B517" i="2"/>
  <c r="B82" i="2"/>
  <c r="B240" i="2"/>
  <c r="B410" i="2"/>
  <c r="B21" i="2"/>
  <c r="B300" i="2"/>
  <c r="B392" i="2"/>
  <c r="B172" i="2"/>
  <c r="B564" i="2"/>
  <c r="B522" i="2"/>
  <c r="B145" i="2"/>
  <c r="B73" i="2"/>
  <c r="B475" i="2"/>
  <c r="B590" i="2"/>
  <c r="B293" i="2"/>
  <c r="B337" i="2"/>
  <c r="B119" i="2"/>
  <c r="B94" i="2"/>
  <c r="B104" i="2"/>
  <c r="B69" i="2"/>
  <c r="B22" i="2"/>
  <c r="B51" i="2"/>
  <c r="B324" i="2"/>
  <c r="B165" i="2"/>
  <c r="B506" i="2"/>
  <c r="B278" i="2"/>
  <c r="B466" i="2"/>
  <c r="B417" i="2"/>
  <c r="B186" i="2"/>
  <c r="B207" i="2"/>
  <c r="B335" i="2"/>
  <c r="B283" i="2"/>
  <c r="B282" i="2"/>
  <c r="B30" i="2"/>
  <c r="B220" i="2"/>
  <c r="B124" i="2"/>
  <c r="B555" i="2"/>
  <c r="B149" i="2"/>
  <c r="B318" i="2"/>
  <c r="B38" i="2"/>
  <c r="B233" i="2"/>
  <c r="B262" i="2"/>
  <c r="B380" i="2"/>
  <c r="B86" i="2"/>
  <c r="B548" i="2"/>
  <c r="B334" i="2"/>
  <c r="B354" i="2"/>
  <c r="B133" i="2"/>
  <c r="B369" i="2"/>
  <c r="B211" i="2"/>
  <c r="B90" i="2"/>
  <c r="B589" i="2"/>
  <c r="B184" i="2"/>
  <c r="B271" i="2"/>
  <c r="B367" i="2"/>
  <c r="B298" i="2"/>
  <c r="B546" i="2"/>
  <c r="B96" i="2"/>
  <c r="B418" i="2"/>
  <c r="B200" i="2"/>
  <c r="B454" i="2"/>
  <c r="B36" i="2"/>
  <c r="B432" i="2"/>
  <c r="B198" i="2"/>
  <c r="B319" i="2"/>
  <c r="B223" i="2"/>
  <c r="B83" i="2"/>
  <c r="B264" i="2"/>
  <c r="B24" i="2"/>
  <c r="B441" i="2"/>
  <c r="B584" i="2"/>
  <c r="B449" i="2"/>
  <c r="B43" i="2"/>
  <c r="B244" i="2"/>
  <c r="B224" i="2"/>
  <c r="B313" i="2"/>
  <c r="B465" i="2"/>
  <c r="B427" i="2"/>
  <c r="B455" i="2"/>
  <c r="B167" i="2"/>
  <c r="B292" i="2"/>
  <c r="B310" i="2"/>
  <c r="B193" i="2"/>
  <c r="B241" i="2"/>
  <c r="B393" i="2"/>
  <c r="B595" i="2"/>
  <c r="B59" i="2"/>
  <c r="B558" i="2"/>
  <c r="B158" i="2"/>
  <c r="B566" i="2"/>
  <c r="B528" i="2"/>
  <c r="B453" i="2"/>
  <c r="B297" i="2"/>
  <c r="B161" i="2"/>
  <c r="B561" i="2"/>
  <c r="B368" i="2"/>
  <c r="B40" i="2"/>
  <c r="B345" i="2"/>
  <c r="B376" i="2"/>
  <c r="B239" i="2"/>
  <c r="B370" i="2"/>
  <c r="B101" i="2"/>
  <c r="B557" i="2"/>
  <c r="B572" i="2"/>
  <c r="B236" i="2"/>
  <c r="B444" i="2"/>
  <c r="B511" i="2"/>
  <c r="B390" i="2"/>
  <c r="B467" i="2"/>
  <c r="B363" i="2"/>
  <c r="B35" i="2"/>
  <c r="B84" i="2"/>
  <c r="B168" i="2"/>
  <c r="B77" i="2"/>
  <c r="B540" i="2"/>
  <c r="B596" i="2"/>
  <c r="B479" i="2"/>
  <c r="B552" i="2"/>
  <c r="B355" i="2"/>
  <c r="B594" i="2"/>
  <c r="B159" i="2"/>
  <c r="B98" i="2"/>
  <c r="B352" i="2"/>
  <c r="B28" i="2"/>
  <c r="B505" i="2"/>
  <c r="B433" i="2"/>
  <c r="B508" i="2"/>
  <c r="B234" i="2"/>
  <c r="B237" i="2"/>
  <c r="B321" i="2"/>
  <c r="B226" i="2"/>
  <c r="B325" i="2"/>
  <c r="B18" i="2"/>
  <c r="B217" i="2"/>
  <c r="B125" i="2"/>
  <c r="B3" i="2"/>
  <c r="B553" i="2"/>
  <c r="B575" i="2"/>
  <c r="B326" i="2"/>
  <c r="B251" i="2"/>
  <c r="B573" i="2"/>
  <c r="B581" i="2"/>
  <c r="B361" i="2"/>
  <c r="B203" i="2"/>
  <c r="B487" i="2"/>
  <c r="B366" i="2"/>
  <c r="B357" i="2"/>
  <c r="B255" i="2"/>
  <c r="B232" i="2"/>
  <c r="B121" i="2"/>
  <c r="B400" i="2"/>
  <c r="B146" i="2"/>
  <c r="B197" i="2"/>
  <c r="B440" i="2"/>
  <c r="B497" i="2"/>
  <c r="B329" i="2"/>
  <c r="B58" i="2"/>
  <c r="B110" i="2"/>
  <c r="B259" i="2"/>
  <c r="B360" i="2"/>
  <c r="B99" i="2"/>
  <c r="B52" i="2"/>
  <c r="B499" i="2"/>
  <c r="B287" i="2"/>
  <c r="B76" i="2"/>
  <c r="B148" i="2"/>
  <c r="B205" i="2"/>
  <c r="B526" i="2"/>
  <c r="B279" i="2"/>
  <c r="B33" i="2"/>
  <c r="B23" i="2"/>
  <c r="B394" i="2"/>
  <c r="B332" i="2"/>
  <c r="B92" i="2"/>
  <c r="B143" i="2"/>
  <c r="B562" i="2"/>
  <c r="B600" i="2"/>
  <c r="B515" i="2"/>
  <c r="B194" i="2"/>
  <c r="B372" i="2"/>
  <c r="B120" i="2"/>
  <c r="B419" i="2"/>
  <c r="B585" i="2"/>
  <c r="B533" i="2"/>
  <c r="B216" i="2"/>
  <c r="B154" i="2"/>
  <c r="B212" i="2"/>
  <c r="B26" i="2"/>
  <c r="B316" i="2"/>
  <c r="B474" i="2"/>
  <c r="B349" i="2"/>
  <c r="B153" i="2"/>
  <c r="B131" i="2"/>
  <c r="B343" i="2"/>
  <c r="B484" i="2"/>
  <c r="B527" i="2"/>
  <c r="B138" i="2"/>
  <c r="B100" i="2"/>
  <c r="B295" i="2"/>
  <c r="B111" i="2"/>
  <c r="B371" i="2"/>
  <c r="B446" i="2"/>
  <c r="B14" i="2"/>
  <c r="B403" i="2"/>
  <c r="B344" i="2"/>
  <c r="B160" i="2"/>
  <c r="B531" i="2"/>
  <c r="B443" i="2"/>
  <c r="B459" i="2"/>
  <c r="B559" i="2"/>
  <c r="B32" i="2"/>
  <c r="B87" i="2"/>
  <c r="B85" i="2"/>
  <c r="B314" i="2"/>
  <c r="B385" i="2"/>
  <c r="B265" i="2"/>
  <c r="B210" i="2"/>
  <c r="B204" i="2"/>
  <c r="B402" i="2"/>
  <c r="B93" i="2"/>
  <c r="B309" i="2"/>
  <c r="B501" i="2"/>
  <c r="B227" i="2"/>
  <c r="B166" i="2"/>
  <c r="B306" i="2"/>
  <c r="B155" i="2"/>
  <c r="B70" i="2"/>
  <c r="B5" i="2"/>
  <c r="B504" i="2"/>
  <c r="B53" i="2"/>
  <c r="B328" i="2"/>
  <c r="B284" i="2"/>
  <c r="B266" i="2"/>
  <c r="B62" i="2"/>
  <c r="B112" i="2"/>
  <c r="B46" i="2"/>
  <c r="B429" i="2"/>
  <c r="B500" i="2"/>
  <c r="B47" i="2"/>
  <c r="B317" i="2"/>
  <c r="B593" i="2"/>
  <c r="B289" i="2"/>
  <c r="B20" i="2"/>
  <c r="B481" i="2"/>
  <c r="B388" i="2"/>
  <c r="B222" i="2"/>
  <c r="B359" i="2"/>
  <c r="B520" i="2"/>
  <c r="B512" i="2"/>
  <c r="B428" i="2"/>
  <c r="B541" i="2"/>
  <c r="B180" i="2"/>
  <c r="B67" i="2"/>
  <c r="B493" i="2"/>
  <c r="B518" i="2"/>
  <c r="B377" i="2"/>
  <c r="B405" i="2"/>
  <c r="B274" i="2"/>
  <c r="B395" i="2"/>
  <c r="B9" i="2"/>
  <c r="B263" i="2"/>
  <c r="B249" i="2"/>
  <c r="B563" i="2"/>
  <c r="B416" i="2"/>
  <c r="B452" i="2"/>
  <c r="B296" i="2"/>
  <c r="B437" i="2"/>
  <c r="B513" i="2"/>
  <c r="B424" i="2"/>
  <c r="B483" i="2"/>
  <c r="B556" i="2"/>
  <c r="B201" i="2"/>
  <c r="B445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V551" i="2"/>
  <c r="W551" i="2"/>
</calcChain>
</file>

<file path=xl/sharedStrings.xml><?xml version="1.0" encoding="utf-8"?>
<sst xmlns="http://schemas.openxmlformats.org/spreadsheetml/2006/main" count="622" uniqueCount="622">
  <si>
    <t>ORD-03066</t>
  </si>
  <si>
    <t>ORD-01417</t>
  </si>
  <si>
    <t>ORD-03923</t>
  </si>
  <si>
    <t>ORD-03349</t>
  </si>
  <si>
    <t>ORD-02959</t>
  </si>
  <si>
    <t>ORD-03598</t>
  </si>
  <si>
    <t>ORD-03027</t>
  </si>
  <si>
    <t>ORD-02175</t>
  </si>
  <si>
    <t>ORD-03096</t>
  </si>
  <si>
    <t>ORD-02914</t>
  </si>
  <si>
    <t>ORD-03966</t>
  </si>
  <si>
    <t>ORD-01851</t>
  </si>
  <si>
    <t>ORD-01937</t>
  </si>
  <si>
    <t>ORD-00051</t>
  </si>
  <si>
    <t>ORD-02823</t>
  </si>
  <si>
    <t>ORD-01999</t>
  </si>
  <si>
    <t>ORD-02856</t>
  </si>
  <si>
    <t>ORD-02736</t>
  </si>
  <si>
    <t>ORD-03621</t>
  </si>
  <si>
    <t>ORD-03405</t>
  </si>
  <si>
    <t>ORD-00428</t>
  </si>
  <si>
    <t>ORD-01247</t>
  </si>
  <si>
    <t>ORD-03801</t>
  </si>
  <si>
    <t>ORD-02974</t>
  </si>
  <si>
    <t>ORD-03586</t>
  </si>
  <si>
    <t>ORD-03637</t>
  </si>
  <si>
    <t>ORD-02643</t>
  </si>
  <si>
    <t>ORD-01597</t>
  </si>
  <si>
    <t>ORD-02780</t>
  </si>
  <si>
    <t>ORD-03339</t>
  </si>
  <si>
    <t>ORD-00129</t>
  </si>
  <si>
    <t>ORD-02099</t>
  </si>
  <si>
    <t>ORD-04161</t>
  </si>
  <si>
    <t>ORD-02292</t>
  </si>
  <si>
    <t>ORD-00318</t>
  </si>
  <si>
    <t>ORD-03440</t>
  </si>
  <si>
    <t>ORD-02982</t>
  </si>
  <si>
    <t>ORD-00317</t>
  </si>
  <si>
    <t>ORD-00742</t>
  </si>
  <si>
    <t>ORD-00404</t>
  </si>
  <si>
    <t>ORD-01961</t>
  </si>
  <si>
    <t>ORD-02052</t>
  </si>
  <si>
    <t>ORD-02384</t>
  </si>
  <si>
    <t>ORD-00350</t>
  </si>
  <si>
    <t>ORD-03478</t>
  </si>
  <si>
    <t>ORD-00028</t>
  </si>
  <si>
    <t>ORD-00452</t>
  </si>
  <si>
    <t>ORD-01042</t>
  </si>
  <si>
    <t>ORD-02223</t>
  </si>
  <si>
    <t>ORD-01139</t>
  </si>
  <si>
    <t>ORD-01690</t>
  </si>
  <si>
    <t>ORD-03441</t>
  </si>
  <si>
    <t>ORD-02258</t>
  </si>
  <si>
    <t>ORD-00619</t>
  </si>
  <si>
    <t>ORD-02846</t>
  </si>
  <si>
    <t>ORD-01425</t>
  </si>
  <si>
    <t>ORD-01516</t>
  </si>
  <si>
    <t>ORD-01949</t>
  </si>
  <si>
    <t>ORD-02777</t>
  </si>
  <si>
    <t>ORD-02281</t>
  </si>
  <si>
    <t>ORD-00571</t>
  </si>
  <si>
    <t>ORD-00582</t>
  </si>
  <si>
    <t>ORD-00201</t>
  </si>
  <si>
    <t>ORD-03942</t>
  </si>
  <si>
    <t>ORD-03174</t>
  </si>
  <si>
    <t>ORD-03053</t>
  </si>
  <si>
    <t>ORD-03740</t>
  </si>
  <si>
    <t>ORD-01066</t>
  </si>
  <si>
    <t>ORD-02511</t>
  </si>
  <si>
    <t>ORD-02847</t>
  </si>
  <si>
    <t>ORD-00093</t>
  </si>
  <si>
    <t>ORD-03079</t>
  </si>
  <si>
    <t>ORD-02712</t>
  </si>
  <si>
    <t>ORD-00737</t>
  </si>
  <si>
    <t>ORD-02173</t>
  </si>
  <si>
    <t>ORD-00669</t>
  </si>
  <si>
    <t>ORD-00941</t>
  </si>
  <si>
    <t>ORD-03714</t>
  </si>
  <si>
    <t>ORD-03352</t>
  </si>
  <si>
    <t>ORD-02510</t>
  </si>
  <si>
    <t>ORD-00886</t>
  </si>
  <si>
    <t>ORD-01038</t>
  </si>
  <si>
    <t>ORD-02542</t>
  </si>
  <si>
    <t>ORD-03296</t>
  </si>
  <si>
    <t>ORD-02287</t>
  </si>
  <si>
    <t>ORD-00164</t>
  </si>
  <si>
    <t>ORD-01527</t>
  </si>
  <si>
    <t>ORD-01040</t>
  </si>
  <si>
    <t>ORD-01544</t>
  </si>
  <si>
    <t>ORD-03749</t>
  </si>
  <si>
    <t>ORD-04101</t>
  </si>
  <si>
    <t>ORD-02925</t>
  </si>
  <si>
    <t>ORD-00779</t>
  </si>
  <si>
    <t>ORD-02719</t>
  </si>
  <si>
    <t>ORD-01381</t>
  </si>
  <si>
    <t>ORD-03605</t>
  </si>
  <si>
    <t>ORD-04195</t>
  </si>
  <si>
    <t>ORD-03961</t>
  </si>
  <si>
    <t>ORD-00973</t>
  </si>
  <si>
    <t>ORD-00617</t>
  </si>
  <si>
    <t>ORD-02397</t>
  </si>
  <si>
    <t>ORD-02813</t>
  </si>
  <si>
    <t>ORD-00138</t>
  </si>
  <si>
    <t>ORD-00219</t>
  </si>
  <si>
    <t>ORD-02022</t>
  </si>
  <si>
    <t>ORD-03713</t>
  </si>
  <si>
    <t>ORD-01435</t>
  </si>
  <si>
    <t>ORD-01008</t>
  </si>
  <si>
    <t>ORD-00495</t>
  </si>
  <si>
    <t>ORD-02070</t>
  </si>
  <si>
    <t>ORD-03434</t>
  </si>
  <si>
    <t>ORD-00346</t>
  </si>
  <si>
    <t>ORD-00664</t>
  </si>
  <si>
    <t>ORD-02647</t>
  </si>
  <si>
    <t>ORD-01911</t>
  </si>
  <si>
    <t>ORD-00734</t>
  </si>
  <si>
    <t>ORD-00379</t>
  </si>
  <si>
    <t>ORD-02386</t>
  </si>
  <si>
    <t>ORD-03420</t>
  </si>
  <si>
    <t>ORD-03034</t>
  </si>
  <si>
    <t>ORD-01403</t>
  </si>
  <si>
    <t>ORD-00983</t>
  </si>
  <si>
    <t>ORD-02838</t>
  </si>
  <si>
    <t>ORD-00781</t>
  </si>
  <si>
    <t>ORD-01702</t>
  </si>
  <si>
    <t>ORD-01893</t>
  </si>
  <si>
    <t>ORD-02630</t>
  </si>
  <si>
    <t>ORD-02686</t>
  </si>
  <si>
    <t>ORD-03373</t>
  </si>
  <si>
    <t>ORD-01421</t>
  </si>
  <si>
    <t>ORD-02662</t>
  </si>
  <si>
    <t>ORD-04061</t>
  </si>
  <si>
    <t>ORD-04033</t>
  </si>
  <si>
    <t>ORD-01862</t>
  </si>
  <si>
    <t>ORD-02381</t>
  </si>
  <si>
    <t>ORD-04036</t>
  </si>
  <si>
    <t>ORD-03912</t>
  </si>
  <si>
    <t>ORD-00020</t>
  </si>
  <si>
    <t>ORD-00800</t>
  </si>
  <si>
    <t>ORD-01557</t>
  </si>
  <si>
    <t>ORD-00115</t>
  </si>
  <si>
    <t>ORD-02365</t>
  </si>
  <si>
    <t>ORD-01659</t>
  </si>
  <si>
    <t>ORD-02322</t>
  </si>
  <si>
    <t>ORD-01731</t>
  </si>
  <si>
    <t>ORD-01711</t>
  </si>
  <si>
    <t>ORD-03519</t>
  </si>
  <si>
    <t>ORD-03008</t>
  </si>
  <si>
    <t>ORD-03479</t>
  </si>
  <si>
    <t>ORD-00172</t>
  </si>
  <si>
    <t>ORD-02588</t>
  </si>
  <si>
    <t>ORD-00656</t>
  </si>
  <si>
    <t>ORD-01065</t>
  </si>
  <si>
    <t>ORD-04164</t>
  </si>
  <si>
    <t>ORD-02613</t>
  </si>
  <si>
    <t>ORD-03907</t>
  </si>
  <si>
    <t>ORD-03327</t>
  </si>
  <si>
    <t>ORD-04170</t>
  </si>
  <si>
    <t>ORD-03797</t>
  </si>
  <si>
    <t>ORD-00522</t>
  </si>
  <si>
    <t>ORD-01174</t>
  </si>
  <si>
    <t>ORD-00566</t>
  </si>
  <si>
    <t>ORD-00232</t>
  </si>
  <si>
    <t>ORD-02672</t>
  </si>
  <si>
    <t>ORD-03231</t>
  </si>
  <si>
    <t>ORD-02803</t>
  </si>
  <si>
    <t>ORD-03543</t>
  </si>
  <si>
    <t>ORD-03054</t>
  </si>
  <si>
    <t>ORD-01721</t>
  </si>
  <si>
    <t>ORD-04022</t>
  </si>
  <si>
    <t>ORD-03931</t>
  </si>
  <si>
    <t>ORD-00671</t>
  </si>
  <si>
    <t>ORD-02707</t>
  </si>
  <si>
    <t>ORD-01766</t>
  </si>
  <si>
    <t>ORD-02735</t>
  </si>
  <si>
    <t>ORD-02515</t>
  </si>
  <si>
    <t>ORD-00270</t>
  </si>
  <si>
    <t>ORD-02697</t>
  </si>
  <si>
    <t>ORD-03959</t>
  </si>
  <si>
    <t>ORD-01078</t>
  </si>
  <si>
    <t>ORD-02176</t>
  </si>
  <si>
    <t>ORD-03122</t>
  </si>
  <si>
    <t>ORD-03729</t>
  </si>
  <si>
    <t>ORD-03995</t>
  </si>
  <si>
    <t>ORD-01059</t>
  </si>
  <si>
    <t>ORD-03940</t>
  </si>
  <si>
    <t>ORD-00384</t>
  </si>
  <si>
    <t>ORD-04169</t>
  </si>
  <si>
    <t>ORD-02812</t>
  </si>
  <si>
    <t>ORD-01781</t>
  </si>
  <si>
    <t>ORD-01363</t>
  </si>
  <si>
    <t>ORD-02260</t>
  </si>
  <si>
    <t>ORD-02153</t>
  </si>
  <si>
    <t>ORD-01170</t>
  </si>
  <si>
    <t>ORD-03131</t>
  </si>
  <si>
    <t>ORD-02973</t>
  </si>
  <si>
    <t>ORD-03211</t>
  </si>
  <si>
    <t>ORD-02274</t>
  </si>
  <si>
    <t>ORD-01627</t>
  </si>
  <si>
    <t>ORD-01821</t>
  </si>
  <si>
    <t>ORD-00283</t>
  </si>
  <si>
    <t>ORD-03088</t>
  </si>
  <si>
    <t>ORD-04095</t>
  </si>
  <si>
    <t>ORD-03035</t>
  </si>
  <si>
    <t>ORD-00142</t>
  </si>
  <si>
    <t>ORD-01940</t>
  </si>
  <si>
    <t>ORD-00563</t>
  </si>
  <si>
    <t>ORD-01620</t>
  </si>
  <si>
    <t>ORD-02313</t>
  </si>
  <si>
    <t>ORD-01407</t>
  </si>
  <si>
    <t>ORD-03006</t>
  </si>
  <si>
    <t>ORD-00251</t>
  </si>
  <si>
    <t>ORD-03126</t>
  </si>
  <si>
    <t>ORD-01414</t>
  </si>
  <si>
    <t>ORD-02923</t>
  </si>
  <si>
    <t>ORD-00644</t>
  </si>
  <si>
    <t>ORD-03851</t>
  </si>
  <si>
    <t>ORD-02181</t>
  </si>
  <si>
    <t>ORD-02690</t>
  </si>
  <si>
    <t>ORD-01992</t>
  </si>
  <si>
    <t>ORD-01289</t>
  </si>
  <si>
    <t>ORD-04126</t>
  </si>
  <si>
    <t>ORD-00597</t>
  </si>
  <si>
    <t>ORD-01524</t>
  </si>
  <si>
    <t>ORD-02705</t>
  </si>
  <si>
    <t>ORD-00915</t>
  </si>
  <si>
    <t>ORD-02610</t>
  </si>
  <si>
    <t>ORD-02409</t>
  </si>
  <si>
    <t>ORD-03873</t>
  </si>
  <si>
    <t>ORD-00575</t>
  </si>
  <si>
    <t>ORD-02748</t>
  </si>
  <si>
    <t>ORD-01925</t>
  </si>
  <si>
    <t>ORD-01704</t>
  </si>
  <si>
    <t>ORD-00267</t>
  </si>
  <si>
    <t>ORD-02295</t>
  </si>
  <si>
    <t>ORD-01013</t>
  </si>
  <si>
    <t>ORD-03920</t>
  </si>
  <si>
    <t>ORD-00799</t>
  </si>
  <si>
    <t>ORD-01595</t>
  </si>
  <si>
    <t>ORD-00197</t>
  </si>
  <si>
    <t>ORD-02047</t>
  </si>
  <si>
    <t>ORD-02048</t>
  </si>
  <si>
    <t>ORD-02411</t>
  </si>
  <si>
    <t>ORD-01463</t>
  </si>
  <si>
    <t>ORD-01303</t>
  </si>
  <si>
    <t>ORD-02921</t>
  </si>
  <si>
    <t>ORD-03217</t>
  </si>
  <si>
    <t>ORD-02011</t>
  </si>
  <si>
    <t>ORD-03480</t>
  </si>
  <si>
    <t>ORD-01138</t>
  </si>
  <si>
    <t>ORD-02362</t>
  </si>
  <si>
    <t>ORD-00343</t>
  </si>
  <si>
    <t>ORD-00132</t>
  </si>
  <si>
    <t>ORD-00439</t>
  </si>
  <si>
    <t>ORD-00701</t>
  </si>
  <si>
    <t>ORD-00629</t>
  </si>
  <si>
    <t>ORD-00767</t>
  </si>
  <si>
    <t>ORD-02445</t>
  </si>
  <si>
    <t>ORD-02163</t>
  </si>
  <si>
    <t>ORD-04137</t>
  </si>
  <si>
    <t>ORD-03297</t>
  </si>
  <si>
    <t>ORD-00485</t>
  </si>
  <si>
    <t>ORD-00982</t>
  </si>
  <si>
    <t>ORD-03674</t>
  </si>
  <si>
    <t>ORD-03976</t>
  </si>
  <si>
    <t>ORD-01201</t>
  </si>
  <si>
    <t>ORD-02807</t>
  </si>
  <si>
    <t>ORD-02188</t>
  </si>
  <si>
    <t>ORD-00130</t>
  </si>
  <si>
    <t>ORD-02870</t>
  </si>
  <si>
    <t>ORD-01775</t>
  </si>
  <si>
    <t>ORD-00559</t>
  </si>
  <si>
    <t>ORD-03609</t>
  </si>
  <si>
    <t>ORD-04176</t>
  </si>
  <si>
    <t>ORD-02858</t>
  </si>
  <si>
    <t>ORD-01841</t>
  </si>
  <si>
    <t>ORD-03018</t>
  </si>
  <si>
    <t>ORD-02529</t>
  </si>
  <si>
    <t>ORD-00727</t>
  </si>
  <si>
    <t>ORD-02607</t>
  </si>
  <si>
    <t>ORD-00837</t>
  </si>
  <si>
    <t>ORD-00354</t>
  </si>
  <si>
    <t>ORD-03207</t>
  </si>
  <si>
    <t>ORD-00337</t>
  </si>
  <si>
    <t>ORD-01712</t>
  </si>
  <si>
    <t>ORD-03017</t>
  </si>
  <si>
    <t>ORD-02774</t>
  </si>
  <si>
    <t>ORD-02332</t>
  </si>
  <si>
    <t>ORD-03993</t>
  </si>
  <si>
    <t>ORD-03667</t>
  </si>
  <si>
    <t>ORD-01826</t>
  </si>
  <si>
    <t>ORD-02150</t>
  </si>
  <si>
    <t>ORD-02030</t>
  </si>
  <si>
    <t>ORD-02635</t>
  </si>
  <si>
    <t>ORD-02947</t>
  </si>
  <si>
    <t>ORD-01221</t>
  </si>
  <si>
    <t>ORD-03603</t>
  </si>
  <si>
    <t>ORD-01318</t>
  </si>
  <si>
    <t>ORD-03014</t>
  </si>
  <si>
    <t>ORD-02801</t>
  </si>
  <si>
    <t>ORD-03029</t>
  </si>
  <si>
    <t>ORD-03824</t>
  </si>
  <si>
    <t>ORD-00766</t>
  </si>
  <si>
    <t>ORD-01907</t>
  </si>
  <si>
    <t>ORD-02663</t>
  </si>
  <si>
    <t>ORD-00034</t>
  </si>
  <si>
    <t>ORD-00797</t>
  </si>
  <si>
    <t>ORD-01312</t>
  </si>
  <si>
    <t>ORD-03703</t>
  </si>
  <si>
    <t>ORD-02187</t>
  </si>
  <si>
    <t>ORD-04049</t>
  </si>
  <si>
    <t>ORD-00322</t>
  </si>
  <si>
    <t>ORD-01991</t>
  </si>
  <si>
    <t>ORD-03399</t>
  </si>
  <si>
    <t>ORD-03042</t>
  </si>
  <si>
    <t>ORD-02000</t>
  </si>
  <si>
    <t>ORD-02192</t>
  </si>
  <si>
    <t>ORD-02550</t>
  </si>
  <si>
    <t>ORD-03900</t>
  </si>
  <si>
    <t>ORD-02834</t>
  </si>
  <si>
    <t>ORD-01824</t>
  </si>
  <si>
    <t>ORD-02171</t>
  </si>
  <si>
    <t>ORD-01111</t>
  </si>
  <si>
    <t>ORD-02390</t>
  </si>
  <si>
    <t>ORD-02467</t>
  </si>
  <si>
    <t>ORD-01391</t>
  </si>
  <si>
    <t>ORD-00975</t>
  </si>
  <si>
    <t>ORD-00713</t>
  </si>
  <si>
    <t>ORD-03200</t>
  </si>
  <si>
    <t>ORD-04115</t>
  </si>
  <si>
    <t>ORD-01213</t>
  </si>
  <si>
    <t>ORD-00170</t>
  </si>
  <si>
    <t>ORD-01212</t>
  </si>
  <si>
    <t>ORD-01195</t>
  </si>
  <si>
    <t>ORD-01192</t>
  </si>
  <si>
    <t>ORD-04160</t>
  </si>
  <si>
    <t>ORD-03401</t>
  </si>
  <si>
    <t>ORD-01237</t>
  </si>
  <si>
    <t>ORD-03275</t>
  </si>
  <si>
    <t>ORD-02193</t>
  </si>
  <si>
    <t>ORD-04090</t>
  </si>
  <si>
    <t>ORD-04035</t>
  </si>
  <si>
    <t>ORD-03838</t>
  </si>
  <si>
    <t>ORD-00923</t>
  </si>
  <si>
    <t>ORD-00436</t>
  </si>
  <si>
    <t>ORD-00994</t>
  </si>
  <si>
    <t>ORD-00038</t>
  </si>
  <si>
    <t>ORD-00752</t>
  </si>
  <si>
    <t>ORD-01233</t>
  </si>
  <si>
    <t>ORD-01872</t>
  </si>
  <si>
    <t>ORD-02734</t>
  </si>
  <si>
    <t>ORD-02508</t>
  </si>
  <si>
    <t>ORD-02495</t>
  </si>
  <si>
    <t>ORD-01693</t>
  </si>
  <si>
    <t>ORD-03415</t>
  </si>
  <si>
    <t>ORD-04086</t>
  </si>
  <si>
    <t>ORD-00262</t>
  </si>
  <si>
    <t>ORD-01788</t>
  </si>
  <si>
    <t>ORD-00751</t>
  </si>
  <si>
    <t>ORD-01700</t>
  </si>
  <si>
    <t>ORD-00881</t>
  </si>
  <si>
    <t>ORD-02757</t>
  </si>
  <si>
    <t>ORD-01568</t>
  </si>
  <si>
    <t>ORD-02742</t>
  </si>
  <si>
    <t>ORD-02618</t>
  </si>
  <si>
    <t>ORD-04057</t>
  </si>
  <si>
    <t>ORD-00200</t>
  </si>
  <si>
    <t>ORD-03622</t>
  </si>
  <si>
    <t>ORD-02972</t>
  </si>
  <si>
    <t>ORD-02400</t>
  </si>
  <si>
    <t>ORD-02007</t>
  </si>
  <si>
    <t>ORD-02316</t>
  </si>
  <si>
    <t>ORD-00458</t>
  </si>
  <si>
    <t>ORD-03259</t>
  </si>
  <si>
    <t>ORD-03282</t>
  </si>
  <si>
    <t>ORD-01224</t>
  </si>
  <si>
    <t>ORD-02779</t>
  </si>
  <si>
    <t>ORD-00183</t>
  </si>
  <si>
    <t>ORD-03191</t>
  </si>
  <si>
    <t>ORD-03486</t>
  </si>
  <si>
    <t>ORD-03394</t>
  </si>
  <si>
    <t>ORD-01292</t>
  </si>
  <si>
    <t>ORD-02825</t>
  </si>
  <si>
    <t>ORD-00339</t>
  </si>
  <si>
    <t>ORD-00601</t>
  </si>
  <si>
    <t>ORD-02382</t>
  </si>
  <si>
    <t>ORD-03527</t>
  </si>
  <si>
    <t>ORD-01418</t>
  </si>
  <si>
    <t>ORD-00053</t>
  </si>
  <si>
    <t>ORD-00749</t>
  </si>
  <si>
    <t>ORD-03172</t>
  </si>
  <si>
    <t>ORD-03741</t>
  </si>
  <si>
    <t>ORD-00403</t>
  </si>
  <si>
    <t>ORD-02861</t>
  </si>
  <si>
    <t>ORD-04004</t>
  </si>
  <si>
    <t>ORD-01920</t>
  </si>
  <si>
    <t>ORD-00530</t>
  </si>
  <si>
    <t>ORD-02931</t>
  </si>
  <si>
    <t>ORD-00291</t>
  </si>
  <si>
    <t>ORD-02945</t>
  </si>
  <si>
    <t>ORD-00693</t>
  </si>
  <si>
    <t>ORD-03298</t>
  </si>
  <si>
    <t>ORD-02871</t>
  </si>
  <si>
    <t>ORD-02746</t>
  </si>
  <si>
    <t>ORD-01188</t>
  </si>
  <si>
    <t>ORD-03732</t>
  </si>
  <si>
    <t>ORD-00280</t>
  </si>
  <si>
    <t>ORD-03310</t>
  </si>
  <si>
    <t>ORD-03902</t>
  </si>
  <si>
    <t>ORD-02680</t>
  </si>
  <si>
    <t>ORD-01640</t>
  </si>
  <si>
    <t>ORD-03452</t>
  </si>
  <si>
    <t>ORD-02147</t>
  </si>
  <si>
    <t>ORD-01861</t>
  </si>
  <si>
    <t>ORD-03859</t>
  </si>
  <si>
    <t>ORD-03094</t>
  </si>
  <si>
    <t>ORD-01540</t>
  </si>
  <si>
    <t>ORD-04015</t>
  </si>
  <si>
    <t>ORD-02004</t>
  </si>
  <si>
    <t>ORD-03823</t>
  </si>
  <si>
    <t>ORD-00273</t>
  </si>
  <si>
    <t>ORD-00542</t>
  </si>
  <si>
    <t>ORD-03376</t>
  </si>
  <si>
    <t>ORD-01536</t>
  </si>
  <si>
    <t>ORD-03999</t>
  </si>
  <si>
    <t>ORD-00710</t>
  </si>
  <si>
    <t>ORD-00928</t>
  </si>
  <si>
    <t>ORD-01596</t>
  </si>
  <si>
    <t>ORD-03779</t>
  </si>
  <si>
    <t>ORD-01457</t>
  </si>
  <si>
    <t>ORD-00653</t>
  </si>
  <si>
    <t>ORD-00490</t>
  </si>
  <si>
    <t>ORD-03149</t>
  </si>
  <si>
    <t>ORD-03330</t>
  </si>
  <si>
    <t>ORD-03205</t>
  </si>
  <si>
    <t>ORD-01031</t>
  </si>
  <si>
    <t>ORD-03788</t>
  </si>
  <si>
    <t>ORD-03456</t>
  </si>
  <si>
    <t>ORD-03777</t>
  </si>
  <si>
    <t>ORD-00591</t>
  </si>
  <si>
    <t>ORD-02771</t>
  </si>
  <si>
    <t>ORD-01208</t>
  </si>
  <si>
    <t>ORD-00888</t>
  </si>
  <si>
    <t>ORD-01868</t>
  </si>
  <si>
    <t>ORD-03607</t>
  </si>
  <si>
    <t>ORD-02356</t>
  </si>
  <si>
    <t>ORD-02522</t>
  </si>
  <si>
    <t>ORD-01535</t>
  </si>
  <si>
    <t>ORD-02268</t>
  </si>
  <si>
    <t>ORD-03997</t>
  </si>
  <si>
    <t>ORD-03163</t>
  </si>
  <si>
    <t>ORD-02497</t>
  </si>
  <si>
    <t>ORD-00073</t>
  </si>
  <si>
    <t>ORD-02723</t>
  </si>
  <si>
    <t>ORD-02069</t>
  </si>
  <si>
    <t>ORD-03365</t>
  </si>
  <si>
    <t>ORD-00422</t>
  </si>
  <si>
    <t>ORD-01905</t>
  </si>
  <si>
    <t>ORD-00540</t>
  </si>
  <si>
    <t>ORD-03390</t>
  </si>
  <si>
    <t>ORD-01973</t>
  </si>
  <si>
    <t>ORD-03309</t>
  </si>
  <si>
    <t>ORD-01026</t>
  </si>
  <si>
    <t>ORD-01584</t>
  </si>
  <si>
    <t>ORD-01996</t>
  </si>
  <si>
    <t>ORD-04060</t>
  </si>
  <si>
    <t>ORD-00672</t>
  </si>
  <si>
    <t>ORD-01310</t>
  </si>
  <si>
    <t>ORD-03678</t>
  </si>
  <si>
    <t>ORD-00948</t>
  </si>
  <si>
    <t>ORD-02778</t>
  </si>
  <si>
    <t>ORD-00268</t>
  </si>
  <si>
    <t>ORD-00528</t>
  </si>
  <si>
    <t>ORD-00409</t>
  </si>
  <si>
    <t>ORD-02836</t>
  </si>
  <si>
    <t>ORD-02212</t>
  </si>
  <si>
    <t>ORD-02963</t>
  </si>
  <si>
    <t>ORD-04109</t>
  </si>
  <si>
    <t>ORD-01894</t>
  </si>
  <si>
    <t>ORD-00793</t>
  </si>
  <si>
    <t>ORD-00086</t>
  </si>
  <si>
    <t>ORD-00759</t>
  </si>
  <si>
    <t>ORD-00918</t>
  </si>
  <si>
    <t>ORD-02805</t>
  </si>
  <si>
    <t>ORD-04177</t>
  </si>
  <si>
    <t>ORD-03342</t>
  </si>
  <si>
    <t>ORD-02873</t>
  </si>
  <si>
    <t>ORD-03804</t>
  </si>
  <si>
    <t>ORD-00101</t>
  </si>
  <si>
    <t>ORD-01093</t>
  </si>
  <si>
    <t>ORD-02773</t>
  </si>
  <si>
    <t>ORD-02485</t>
  </si>
  <si>
    <t>ORD-03731</t>
  </si>
  <si>
    <t>ORD-00943</t>
  </si>
  <si>
    <t>ORD-01087</t>
  </si>
  <si>
    <t>ORD-02991</t>
  </si>
  <si>
    <t>ORD-01014</t>
  </si>
  <si>
    <t>ORD-02843</t>
  </si>
  <si>
    <t>ORD-03406</t>
  </si>
  <si>
    <t>ORD-00857</t>
  </si>
  <si>
    <t>ORD-00158</t>
  </si>
  <si>
    <t>ORD-02434</t>
  </si>
  <si>
    <t>ORD-01385</t>
  </si>
  <si>
    <t>ORD-03692</t>
  </si>
  <si>
    <t>ORD-00729</t>
  </si>
  <si>
    <t>ORD-02391</t>
  </si>
  <si>
    <t>ORD-01353</t>
  </si>
  <si>
    <t>ORD-01699</t>
  </si>
  <si>
    <t>ORD-03084</t>
  </si>
  <si>
    <t>ORD-00634</t>
  </si>
  <si>
    <t>ORD-02956</t>
  </si>
  <si>
    <t>ORD-04017</t>
  </si>
  <si>
    <t>ORD-00593</t>
  </si>
  <si>
    <t>ORD-01747</t>
  </si>
  <si>
    <t>ORD-00402</t>
  </si>
  <si>
    <t>ORD-04048</t>
  </si>
  <si>
    <t>ORD-02900</t>
  </si>
  <si>
    <t>ORD-01057</t>
  </si>
  <si>
    <t>ORD-02210</t>
  </si>
  <si>
    <t>ORD-02876</t>
  </si>
  <si>
    <t>ORD-00058</t>
  </si>
  <si>
    <t>ORD-00011</t>
  </si>
  <si>
    <t>ORD-03281</t>
  </si>
  <si>
    <t>ORD-01278</t>
  </si>
  <si>
    <t>ORD-02241</t>
  </si>
  <si>
    <t>ORD-03092</t>
  </si>
  <si>
    <t>ORD-02058</t>
  </si>
  <si>
    <t>ORD-03177</t>
  </si>
  <si>
    <t>ORD-02850</t>
  </si>
  <si>
    <t>ORD-00849</t>
  </si>
  <si>
    <t>ORD-00099</t>
  </si>
  <si>
    <t>ORD-03248</t>
  </si>
  <si>
    <t>ORD-01339</t>
  </si>
  <si>
    <t>ORD-00879</t>
  </si>
  <si>
    <t>ORD-00966</t>
  </si>
  <si>
    <t>ORD-02247</t>
  </si>
  <si>
    <t>ORD-01912</t>
  </si>
  <si>
    <t>ORD-01273</t>
  </si>
  <si>
    <t>ORD-00225</t>
  </si>
  <si>
    <t>ORD-00117</t>
  </si>
  <si>
    <t>ORD-03752</t>
  </si>
  <si>
    <t>ORD-00357</t>
  </si>
  <si>
    <t>ORD-03081</t>
  </si>
  <si>
    <t>ORD-00364</t>
  </si>
  <si>
    <t>ORD-00489</t>
  </si>
  <si>
    <t>ORD-02831</t>
  </si>
  <si>
    <t>ORD-03033</t>
  </si>
  <si>
    <t>ORD-01968</t>
  </si>
  <si>
    <t>ORD-01047</t>
  </si>
  <si>
    <t>ORD-01870</t>
  </si>
  <si>
    <t>ORD-00707</t>
  </si>
  <si>
    <t>ORD-04111</t>
  </si>
  <si>
    <t>ORD-02282</t>
  </si>
  <si>
    <t>ORD-03357</t>
  </si>
  <si>
    <t>ORD-00757</t>
  </si>
  <si>
    <t>ORD-02867</t>
  </si>
  <si>
    <t>ORD-00415</t>
  </si>
  <si>
    <t>ORD-01993</t>
  </si>
  <si>
    <t>ORD-02868</t>
  </si>
  <si>
    <t>ORD-00025</t>
  </si>
  <si>
    <t>ORD-03773</t>
  </si>
  <si>
    <t>ORD-02031</t>
  </si>
  <si>
    <t>ORD-02565</t>
  </si>
  <si>
    <t>ORD-04045</t>
  </si>
  <si>
    <t>ORD-01505</t>
  </si>
  <si>
    <t>ORD-03422</t>
  </si>
  <si>
    <t>ORD-00936</t>
  </si>
  <si>
    <t>ORD-02684</t>
  </si>
  <si>
    <t>ORD-01848</t>
  </si>
  <si>
    <t>ORD-00412</t>
  </si>
  <si>
    <t>ORD-01275</t>
  </si>
  <si>
    <t>ORD-03795</t>
  </si>
  <si>
    <t>ORD-01473</t>
  </si>
  <si>
    <t>ORD-03913</t>
  </si>
  <si>
    <t>ORD-04158</t>
  </si>
  <si>
    <t>ORD-02986</t>
  </si>
  <si>
    <t>ORD-02727</t>
  </si>
  <si>
    <t>ORD-00968</t>
  </si>
  <si>
    <t>ORD-01978</t>
  </si>
  <si>
    <t>ORD-00049</t>
  </si>
  <si>
    <t>ORD-04171</t>
  </si>
  <si>
    <t>ORD-03257</t>
  </si>
  <si>
    <t>ORD-01814</t>
  </si>
  <si>
    <t>ORD-03524</t>
  </si>
  <si>
    <t>ORD-02532</t>
  </si>
  <si>
    <t>ORD-03417</t>
  </si>
  <si>
    <t>ORD-02270</t>
  </si>
  <si>
    <t>ORD-01701</t>
  </si>
  <si>
    <t>ORD-00362</t>
  </si>
  <si>
    <t>ORD-00105</t>
  </si>
  <si>
    <t>ORD-00465</t>
  </si>
  <si>
    <t>ORD-02911</t>
  </si>
  <si>
    <t>ORD-01412</t>
  </si>
  <si>
    <t>ORD-03954</t>
  </si>
  <si>
    <t>ORD-00287</t>
  </si>
  <si>
    <t>ORD-02076</t>
  </si>
  <si>
    <t>ORD-01348</t>
  </si>
  <si>
    <t>ORD-02198</t>
  </si>
  <si>
    <t>ORD-03903</t>
  </si>
  <si>
    <t>Age Group</t>
  </si>
  <si>
    <t>Order Date</t>
  </si>
  <si>
    <t>Customer ID</t>
  </si>
  <si>
    <t>Customer Name</t>
  </si>
  <si>
    <t>Age</t>
  </si>
  <si>
    <t>Gender</t>
  </si>
  <si>
    <t>Region</t>
  </si>
  <si>
    <t>City</t>
  </si>
  <si>
    <t>Product Category</t>
  </si>
  <si>
    <t>Product Name</t>
  </si>
  <si>
    <t>Quantity</t>
  </si>
  <si>
    <t>Unit Price</t>
  </si>
  <si>
    <t>Discount_Product</t>
  </si>
  <si>
    <t>Profit</t>
  </si>
  <si>
    <t>Sales Amount</t>
  </si>
  <si>
    <t>Profit Margin</t>
  </si>
  <si>
    <t>Shipping Cost</t>
  </si>
  <si>
    <t>Payment Method</t>
  </si>
  <si>
    <t>Customer Satisfaction</t>
  </si>
  <si>
    <t>Return Flag</t>
  </si>
  <si>
    <t>Order Status</t>
  </si>
  <si>
    <t>Days to Ship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</si>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</sst>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₹-4009]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1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9" fontId="0" fillId="2" borderId="0" xfId="0" applyNumberFormat="1" applyFill="1"/>
    <xf numFmtId="9" fontId="0" fillId="0" borderId="0" xfId="0" applyNumberFormat="1"/>
    <xf numFmtId="10" fontId="0" fillId="2" borderId="0" xfId="0" applyNumberForma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t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Sheet2"/>
    </sheetNames>
    <sheetDataSet>
      <sheetData sheetId="0">
        <row r="1">
          <cell r="C1" t="str">
            <v>DD-YY-MMM</v>
          </cell>
          <cell r="D1" t="str">
            <v>customer_id</v>
          </cell>
          <cell r="E1" t="str">
            <v>customer_name</v>
          </cell>
          <cell r="G1" t="str">
            <v>age imputation</v>
          </cell>
          <cell r="H1" t="str">
            <v>age group</v>
          </cell>
          <cell r="J1" t="str">
            <v>gender replace</v>
          </cell>
          <cell r="K1" t="str">
            <v>region</v>
          </cell>
          <cell r="L1" t="str">
            <v>city</v>
          </cell>
          <cell r="M1" t="str">
            <v>product_category</v>
          </cell>
          <cell r="N1" t="str">
            <v>product_name</v>
          </cell>
          <cell r="P1" t="str">
            <v>quantity imputation</v>
          </cell>
          <cell r="Q1" t="str">
            <v>unit_price</v>
          </cell>
          <cell r="S1" t="str">
            <v>discount_pct_ imputation</v>
          </cell>
          <cell r="T1" t="str">
            <v>sales_amount</v>
          </cell>
          <cell r="U1" t="str">
            <v>profit</v>
          </cell>
          <cell r="V1" t="str">
            <v>profit mrgin</v>
          </cell>
          <cell r="W1" t="str">
            <v>shipping_cost</v>
          </cell>
          <cell r="X1" t="str">
            <v>payment_method</v>
          </cell>
          <cell r="Z1" t="str">
            <v>customer_satisfaction_imputation</v>
          </cell>
          <cell r="AA1" t="str">
            <v>return_flag</v>
          </cell>
          <cell r="AC1" t="str">
            <v>order_status_replace</v>
          </cell>
          <cell r="AE1" t="str">
            <v>days_to_ship_imputation</v>
          </cell>
        </row>
        <row r="2">
          <cell r="C2">
            <v>45519</v>
          </cell>
          <cell r="D2" t="str">
            <v>CUST32603</v>
          </cell>
          <cell r="E2" t="str">
            <v>Aarav Mehta</v>
          </cell>
          <cell r="G2">
            <v>39</v>
          </cell>
          <cell r="H2" t="str">
            <v>Adult</v>
          </cell>
          <cell r="J2" t="str">
            <v>Other</v>
          </cell>
          <cell r="K2" t="str">
            <v>Central</v>
          </cell>
          <cell r="L2" t="str">
            <v>Raipur</v>
          </cell>
          <cell r="M2" t="str">
            <v>Groceries</v>
          </cell>
          <cell r="N2" t="str">
            <v>Sugar</v>
          </cell>
          <cell r="P2">
            <v>8</v>
          </cell>
          <cell r="Q2">
            <v>346.32</v>
          </cell>
          <cell r="S2">
            <v>0.19793402777777783</v>
          </cell>
          <cell r="T2">
            <v>4043.14</v>
          </cell>
          <cell r="U2">
            <v>289.18</v>
          </cell>
          <cell r="V2">
            <v>7.1523617782218774E-2</v>
          </cell>
          <cell r="W2">
            <v>56.04</v>
          </cell>
          <cell r="X2" t="str">
            <v>Debit Card</v>
          </cell>
          <cell r="Z2">
            <v>3</v>
          </cell>
          <cell r="AA2" t="b">
            <v>1</v>
          </cell>
          <cell r="AC2" t="str">
            <v>Returned</v>
          </cell>
          <cell r="AE2">
            <v>7</v>
          </cell>
        </row>
        <row r="3">
          <cell r="C3">
            <v>44789</v>
          </cell>
          <cell r="D3" t="str">
            <v>CUST07881</v>
          </cell>
          <cell r="E3" t="str">
            <v>Sanjay Verma</v>
          </cell>
          <cell r="G3">
            <v>28</v>
          </cell>
          <cell r="H3" t="str">
            <v>Young Adult</v>
          </cell>
          <cell r="J3" t="str">
            <v>Male</v>
          </cell>
          <cell r="K3" t="str">
            <v>West</v>
          </cell>
          <cell r="L3" t="str">
            <v>Mumbai</v>
          </cell>
          <cell r="M3" t="str">
            <v>Beauty</v>
          </cell>
          <cell r="N3" t="str">
            <v>Sunscreen</v>
          </cell>
          <cell r="P3">
            <v>8</v>
          </cell>
          <cell r="Q3">
            <v>858.66</v>
          </cell>
          <cell r="S3">
            <v>0.08</v>
          </cell>
          <cell r="T3">
            <v>9147.31</v>
          </cell>
          <cell r="U3">
            <v>5355.56</v>
          </cell>
          <cell r="V3">
            <v>0.58547922831958255</v>
          </cell>
          <cell r="W3">
            <v>64.489999999999995</v>
          </cell>
          <cell r="X3" t="str">
            <v>Debit Card</v>
          </cell>
          <cell r="Z3">
            <v>5</v>
          </cell>
          <cell r="AA3" t="b">
            <v>0</v>
          </cell>
          <cell r="AC3" t="str">
            <v>Delivered</v>
          </cell>
          <cell r="AE3">
            <v>2</v>
          </cell>
        </row>
        <row r="4">
          <cell r="C4">
            <v>44437</v>
          </cell>
          <cell r="D4" t="str">
            <v>CUST49296</v>
          </cell>
          <cell r="E4" t="str">
            <v>Pooja Sharma</v>
          </cell>
          <cell r="G4">
            <v>41</v>
          </cell>
          <cell r="H4" t="str">
            <v>Adult</v>
          </cell>
          <cell r="J4" t="str">
            <v>Other</v>
          </cell>
          <cell r="K4" t="str">
            <v>West</v>
          </cell>
          <cell r="L4" t="str">
            <v>Surat</v>
          </cell>
          <cell r="M4" t="str">
            <v>Furniture</v>
          </cell>
          <cell r="N4" t="str">
            <v>Sofa</v>
          </cell>
          <cell r="P4">
            <v>4</v>
          </cell>
          <cell r="Q4">
            <v>25941.32</v>
          </cell>
          <cell r="S4">
            <v>0.14000000000000001</v>
          </cell>
          <cell r="T4">
            <v>110156.97</v>
          </cell>
          <cell r="U4">
            <v>36956.51</v>
          </cell>
          <cell r="V4">
            <v>0.33548952916914837</v>
          </cell>
          <cell r="W4">
            <v>67.650000000000006</v>
          </cell>
          <cell r="X4" t="str">
            <v>Debit Card</v>
          </cell>
          <cell r="Z4">
            <v>4</v>
          </cell>
          <cell r="AA4" t="b">
            <v>0</v>
          </cell>
          <cell r="AC4" t="str">
            <v>Delivered</v>
          </cell>
          <cell r="AE4">
            <v>5</v>
          </cell>
        </row>
        <row r="5">
          <cell r="C5">
            <v>44747</v>
          </cell>
          <cell r="D5" t="str">
            <v>CUST05587</v>
          </cell>
          <cell r="E5" t="str">
            <v>Priya Reddy</v>
          </cell>
          <cell r="G5">
            <v>29</v>
          </cell>
          <cell r="H5" t="str">
            <v>Young Adult</v>
          </cell>
          <cell r="J5" t="str">
            <v>Other</v>
          </cell>
          <cell r="K5" t="str">
            <v>West</v>
          </cell>
          <cell r="L5" t="str">
            <v>Ahmedabad</v>
          </cell>
          <cell r="M5" t="str">
            <v>Furniture</v>
          </cell>
          <cell r="N5" t="str">
            <v>Bed Frame</v>
          </cell>
          <cell r="P5">
            <v>9</v>
          </cell>
          <cell r="Q5">
            <v>22071.919999999998</v>
          </cell>
          <cell r="S5">
            <v>0.17</v>
          </cell>
          <cell r="T5">
            <v>262066.11</v>
          </cell>
          <cell r="U5">
            <v>66644.990000000005</v>
          </cell>
          <cell r="V5">
            <v>0.25430602224759247</v>
          </cell>
          <cell r="W5">
            <v>54.47</v>
          </cell>
          <cell r="X5" t="str">
            <v>EMI</v>
          </cell>
          <cell r="Z5">
            <v>3</v>
          </cell>
          <cell r="AA5" t="b">
            <v>0</v>
          </cell>
          <cell r="AC5" t="str">
            <v>Delivered</v>
          </cell>
          <cell r="AE5">
            <v>4</v>
          </cell>
        </row>
        <row r="6">
          <cell r="C6">
            <v>43958</v>
          </cell>
          <cell r="D6" t="str">
            <v>CUST58035</v>
          </cell>
          <cell r="E6" t="str">
            <v>Ritu Sharma</v>
          </cell>
          <cell r="G6">
            <v>9</v>
          </cell>
          <cell r="H6" t="str">
            <v>Child</v>
          </cell>
          <cell r="J6" t="str">
            <v>Male</v>
          </cell>
          <cell r="K6" t="str">
            <v>Central</v>
          </cell>
          <cell r="L6" t="str">
            <v>Nagpur</v>
          </cell>
          <cell r="M6" t="str">
            <v>Groceries</v>
          </cell>
          <cell r="N6" t="str">
            <v>Cooking Oil</v>
          </cell>
          <cell r="P6">
            <v>1</v>
          </cell>
          <cell r="Q6">
            <v>320.06</v>
          </cell>
          <cell r="S6">
            <v>0.31</v>
          </cell>
          <cell r="T6">
            <v>323.95</v>
          </cell>
          <cell r="U6">
            <v>31.38</v>
          </cell>
          <cell r="V6">
            <v>9.6866800432165459E-2</v>
          </cell>
          <cell r="W6">
            <v>48.81</v>
          </cell>
          <cell r="X6" t="str">
            <v>Net Banking</v>
          </cell>
          <cell r="Z6">
            <v>4</v>
          </cell>
          <cell r="AA6" t="b">
            <v>0</v>
          </cell>
          <cell r="AC6" t="str">
            <v>Pending</v>
          </cell>
          <cell r="AE6">
            <v>4</v>
          </cell>
        </row>
        <row r="7">
          <cell r="C7">
            <v>45537</v>
          </cell>
          <cell r="D7" t="str">
            <v>CUST17187</v>
          </cell>
          <cell r="E7" t="str">
            <v>Vikram Iyer</v>
          </cell>
          <cell r="G7">
            <v>29</v>
          </cell>
          <cell r="H7" t="str">
            <v>Young Adult</v>
          </cell>
          <cell r="J7" t="str">
            <v>Male</v>
          </cell>
          <cell r="K7" t="str">
            <v>West</v>
          </cell>
          <cell r="L7" t="str">
            <v>Surat</v>
          </cell>
          <cell r="M7" t="str">
            <v>Books</v>
          </cell>
          <cell r="N7" t="str">
            <v>Self-Help Book</v>
          </cell>
          <cell r="P7">
            <v>2</v>
          </cell>
          <cell r="Q7">
            <v>949.5</v>
          </cell>
          <cell r="S7">
            <v>0.22</v>
          </cell>
          <cell r="T7">
            <v>2202.33</v>
          </cell>
          <cell r="U7">
            <v>964.66</v>
          </cell>
          <cell r="V7">
            <v>0.43801791738749413</v>
          </cell>
          <cell r="W7">
            <v>62.42</v>
          </cell>
          <cell r="X7" t="str">
            <v>Cash on Delivery</v>
          </cell>
          <cell r="Z7">
            <v>2</v>
          </cell>
          <cell r="AA7" t="b">
            <v>1</v>
          </cell>
          <cell r="AC7" t="str">
            <v>Returned</v>
          </cell>
          <cell r="AE7">
            <v>8</v>
          </cell>
        </row>
        <row r="8">
          <cell r="C8">
            <v>44467</v>
          </cell>
          <cell r="D8" t="str">
            <v>CUST02453</v>
          </cell>
          <cell r="E8" t="str">
            <v>Arjun Shah</v>
          </cell>
          <cell r="G8">
            <v>31</v>
          </cell>
          <cell r="H8" t="str">
            <v>Young Adult</v>
          </cell>
          <cell r="J8" t="str">
            <v>Female</v>
          </cell>
          <cell r="K8" t="str">
            <v>Central</v>
          </cell>
          <cell r="L8" t="str">
            <v>Bhopal</v>
          </cell>
          <cell r="M8" t="str">
            <v>Books</v>
          </cell>
          <cell r="N8" t="str">
            <v>Self-Help Book</v>
          </cell>
          <cell r="P8">
            <v>3</v>
          </cell>
          <cell r="Q8">
            <v>329.03</v>
          </cell>
          <cell r="S8">
            <v>0.02</v>
          </cell>
          <cell r="T8">
            <v>994.87</v>
          </cell>
          <cell r="U8">
            <v>375.07</v>
          </cell>
          <cell r="V8">
            <v>0.37700403067737492</v>
          </cell>
          <cell r="W8">
            <v>77.34</v>
          </cell>
          <cell r="X8" t="str">
            <v>Credit Card</v>
          </cell>
          <cell r="Z8">
            <v>5</v>
          </cell>
          <cell r="AA8" t="b">
            <v>1</v>
          </cell>
          <cell r="AC8" t="str">
            <v>Returned</v>
          </cell>
          <cell r="AE8">
            <v>10</v>
          </cell>
        </row>
        <row r="9">
          <cell r="C9">
            <v>45087</v>
          </cell>
          <cell r="D9" t="str">
            <v>CUST23285</v>
          </cell>
          <cell r="E9" t="str">
            <v>Aditya Sharma</v>
          </cell>
          <cell r="G9">
            <v>43</v>
          </cell>
          <cell r="H9" t="str">
            <v>Adult</v>
          </cell>
          <cell r="J9" t="str">
            <v>Female</v>
          </cell>
          <cell r="K9" t="str">
            <v>North</v>
          </cell>
          <cell r="L9" t="str">
            <v>Amritsar</v>
          </cell>
          <cell r="M9" t="str">
            <v>Clothing</v>
          </cell>
          <cell r="N9" t="str">
            <v>Saree</v>
          </cell>
          <cell r="P9">
            <v>1</v>
          </cell>
          <cell r="Q9">
            <v>1356.6</v>
          </cell>
          <cell r="S9">
            <v>0.01</v>
          </cell>
          <cell r="T9">
            <v>2140.41</v>
          </cell>
          <cell r="U9">
            <v>717.27</v>
          </cell>
          <cell r="V9">
            <v>0.33510869412869498</v>
          </cell>
          <cell r="W9">
            <v>82.68</v>
          </cell>
          <cell r="X9" t="str">
            <v>UPI</v>
          </cell>
          <cell r="Z9">
            <v>1</v>
          </cell>
          <cell r="AA9" t="b">
            <v>0</v>
          </cell>
          <cell r="AC9" t="str">
            <v>Delivered</v>
          </cell>
          <cell r="AE9">
            <v>4</v>
          </cell>
        </row>
        <row r="10">
          <cell r="C10">
            <v>44036</v>
          </cell>
          <cell r="D10" t="str">
            <v>CUST23609</v>
          </cell>
          <cell r="E10" t="str">
            <v>Aditya Patel</v>
          </cell>
          <cell r="G10">
            <v>44</v>
          </cell>
          <cell r="H10" t="str">
            <v>Adult</v>
          </cell>
          <cell r="J10" t="str">
            <v>Female</v>
          </cell>
          <cell r="K10" t="str">
            <v>East</v>
          </cell>
          <cell r="L10" t="str">
            <v>Patna</v>
          </cell>
          <cell r="M10" t="str">
            <v>Books</v>
          </cell>
          <cell r="N10" t="str">
            <v>Self-Help Book</v>
          </cell>
          <cell r="P10">
            <v>8</v>
          </cell>
          <cell r="Q10">
            <v>495.77</v>
          </cell>
          <cell r="S10">
            <v>0.37</v>
          </cell>
          <cell r="T10">
            <v>2828.82</v>
          </cell>
          <cell r="U10">
            <v>1338.88</v>
          </cell>
          <cell r="V10">
            <v>0.47329982112683028</v>
          </cell>
          <cell r="W10">
            <v>84.5</v>
          </cell>
          <cell r="X10" t="str">
            <v>Debit Card</v>
          </cell>
          <cell r="Z10">
            <v>1</v>
          </cell>
          <cell r="AA10" t="b">
            <v>0</v>
          </cell>
          <cell r="AC10" t="str">
            <v>Cancelled</v>
          </cell>
          <cell r="AE10">
            <v>10</v>
          </cell>
        </row>
        <row r="11">
          <cell r="C11">
            <v>43870</v>
          </cell>
          <cell r="D11" t="str">
            <v>CUST75337</v>
          </cell>
          <cell r="E11" t="str">
            <v>Arjun Das</v>
          </cell>
          <cell r="G11">
            <v>17</v>
          </cell>
          <cell r="H11" t="str">
            <v>Teen</v>
          </cell>
          <cell r="J11" t="str">
            <v>Female</v>
          </cell>
          <cell r="K11" t="str">
            <v>East</v>
          </cell>
          <cell r="L11" t="str">
            <v>Patna</v>
          </cell>
          <cell r="M11" t="str">
            <v>Clothing</v>
          </cell>
          <cell r="N11" t="str">
            <v>Kurta</v>
          </cell>
          <cell r="P11">
            <v>9</v>
          </cell>
          <cell r="Q11">
            <v>2128.77</v>
          </cell>
          <cell r="S11">
            <v>0.1</v>
          </cell>
          <cell r="T11">
            <v>14568.16</v>
          </cell>
          <cell r="U11">
            <v>4173.45</v>
          </cell>
          <cell r="V11">
            <v>0.28647749612854334</v>
          </cell>
          <cell r="W11">
            <v>75.33</v>
          </cell>
          <cell r="X11" t="str">
            <v>UPI</v>
          </cell>
          <cell r="Z11">
            <v>3</v>
          </cell>
          <cell r="AA11" t="b">
            <v>0</v>
          </cell>
          <cell r="AC11" t="str">
            <v>Delivered</v>
          </cell>
          <cell r="AE11">
            <v>8</v>
          </cell>
        </row>
        <row r="12">
          <cell r="C12">
            <v>43986</v>
          </cell>
          <cell r="D12" t="str">
            <v>CUST80340</v>
          </cell>
          <cell r="E12" t="str">
            <v>Meera Mishra</v>
          </cell>
          <cell r="G12">
            <v>51</v>
          </cell>
          <cell r="H12" t="str">
            <v>Senior</v>
          </cell>
          <cell r="J12" t="str">
            <v>Other</v>
          </cell>
          <cell r="K12" t="str">
            <v>Central</v>
          </cell>
          <cell r="L12" t="str">
            <v>Raipur</v>
          </cell>
          <cell r="M12" t="str">
            <v>Furniture</v>
          </cell>
          <cell r="N12" t="str">
            <v>Wardrobe</v>
          </cell>
          <cell r="P12">
            <v>3</v>
          </cell>
          <cell r="Q12">
            <v>24460.799999999999</v>
          </cell>
          <cell r="S12">
            <v>0.15</v>
          </cell>
          <cell r="T12">
            <v>86997.39</v>
          </cell>
          <cell r="U12">
            <v>14762.22</v>
          </cell>
          <cell r="V12">
            <v>0.16968578022857927</v>
          </cell>
          <cell r="W12">
            <v>60.11</v>
          </cell>
          <cell r="X12" t="str">
            <v>UPI</v>
          </cell>
          <cell r="Z12">
            <v>1</v>
          </cell>
          <cell r="AA12" t="b">
            <v>0</v>
          </cell>
          <cell r="AC12" t="str">
            <v>Delivered</v>
          </cell>
          <cell r="AE12">
            <v>8</v>
          </cell>
        </row>
        <row r="13">
          <cell r="C13">
            <v>44589</v>
          </cell>
          <cell r="D13" t="str">
            <v>CUST47772</v>
          </cell>
          <cell r="E13" t="str">
            <v>Shreya Bose</v>
          </cell>
          <cell r="G13">
            <v>14</v>
          </cell>
          <cell r="H13" t="str">
            <v>Teen</v>
          </cell>
          <cell r="J13" t="str">
            <v>Female</v>
          </cell>
          <cell r="K13" t="str">
            <v>West</v>
          </cell>
          <cell r="L13" t="str">
            <v>Ahmedabad</v>
          </cell>
          <cell r="M13" t="str">
            <v>Groceries</v>
          </cell>
          <cell r="N13" t="str">
            <v>Dal (1kg)</v>
          </cell>
          <cell r="P13">
            <v>2</v>
          </cell>
          <cell r="Q13">
            <v>274.81</v>
          </cell>
          <cell r="S13">
            <v>0.15</v>
          </cell>
          <cell r="T13">
            <v>379.5</v>
          </cell>
          <cell r="U13">
            <v>24.26</v>
          </cell>
          <cell r="V13">
            <v>6.3926218708827406E-2</v>
          </cell>
          <cell r="W13">
            <v>46.69</v>
          </cell>
          <cell r="X13" t="str">
            <v>EMI</v>
          </cell>
          <cell r="Z13">
            <v>4</v>
          </cell>
          <cell r="AA13" t="b">
            <v>0</v>
          </cell>
          <cell r="AC13" t="str">
            <v>Delivered</v>
          </cell>
          <cell r="AE13">
            <v>4</v>
          </cell>
        </row>
        <row r="14">
          <cell r="C14">
            <v>44818</v>
          </cell>
          <cell r="D14" t="str">
            <v>CUST31062</v>
          </cell>
          <cell r="E14" t="str">
            <v>Vikram Pillai</v>
          </cell>
          <cell r="G14">
            <v>15</v>
          </cell>
          <cell r="H14" t="str">
            <v>Teen</v>
          </cell>
          <cell r="J14" t="str">
            <v>Other</v>
          </cell>
          <cell r="K14" t="str">
            <v>North</v>
          </cell>
          <cell r="L14" t="str">
            <v>Ludhiana</v>
          </cell>
          <cell r="M14" t="str">
            <v>Beauty</v>
          </cell>
          <cell r="N14" t="str">
            <v>Lipstick</v>
          </cell>
          <cell r="P14">
            <v>7</v>
          </cell>
          <cell r="Q14">
            <v>111.14</v>
          </cell>
          <cell r="S14">
            <v>0.37</v>
          </cell>
          <cell r="T14">
            <v>567.33000000000004</v>
          </cell>
          <cell r="U14">
            <v>305.64999999999998</v>
          </cell>
          <cell r="V14">
            <v>0.53875169654345789</v>
          </cell>
          <cell r="W14">
            <v>44.94</v>
          </cell>
          <cell r="X14" t="str">
            <v>Net Banking</v>
          </cell>
          <cell r="Z14">
            <v>4</v>
          </cell>
          <cell r="AA14" t="b">
            <v>0</v>
          </cell>
          <cell r="AC14" t="str">
            <v>Delivered</v>
          </cell>
          <cell r="AE14">
            <v>9</v>
          </cell>
        </row>
        <row r="15">
          <cell r="C15">
            <v>45312</v>
          </cell>
          <cell r="D15" t="str">
            <v>CUST83946</v>
          </cell>
          <cell r="E15" t="str">
            <v>Karan Bose</v>
          </cell>
          <cell r="G15">
            <v>29</v>
          </cell>
          <cell r="H15" t="str">
            <v>Young Adult</v>
          </cell>
          <cell r="J15" t="str">
            <v>Female</v>
          </cell>
          <cell r="K15" t="str">
            <v>West</v>
          </cell>
          <cell r="L15" t="str">
            <v>Pune</v>
          </cell>
          <cell r="M15" t="str">
            <v>Books</v>
          </cell>
          <cell r="N15" t="str">
            <v>Cook Book</v>
          </cell>
          <cell r="P15">
            <v>10</v>
          </cell>
          <cell r="Q15">
            <v>1492.28</v>
          </cell>
          <cell r="S15">
            <v>0.38</v>
          </cell>
          <cell r="T15">
            <v>9315.19</v>
          </cell>
          <cell r="U15">
            <v>4336.3100000000004</v>
          </cell>
          <cell r="V15">
            <v>0.46550956019147222</v>
          </cell>
          <cell r="W15">
            <v>66.67</v>
          </cell>
          <cell r="X15" t="str">
            <v>Debit Card</v>
          </cell>
          <cell r="Z15">
            <v>3</v>
          </cell>
          <cell r="AA15" t="b">
            <v>1</v>
          </cell>
          <cell r="AC15" t="str">
            <v>Returned</v>
          </cell>
          <cell r="AE15">
            <v>5</v>
          </cell>
        </row>
        <row r="16">
          <cell r="C16">
            <v>44930</v>
          </cell>
          <cell r="D16" t="str">
            <v>CUST73360</v>
          </cell>
          <cell r="E16" t="str">
            <v>Deepa Joshi</v>
          </cell>
          <cell r="G16">
            <v>53</v>
          </cell>
          <cell r="H16" t="str">
            <v>Senior</v>
          </cell>
          <cell r="J16" t="str">
            <v>Male</v>
          </cell>
          <cell r="K16" t="str">
            <v>South</v>
          </cell>
          <cell r="L16" t="str">
            <v>Kochi</v>
          </cell>
          <cell r="M16" t="str">
            <v>Clothing</v>
          </cell>
          <cell r="N16" t="str">
            <v>T-Shirt</v>
          </cell>
          <cell r="P16">
            <v>9</v>
          </cell>
          <cell r="Q16">
            <v>590.14</v>
          </cell>
          <cell r="S16">
            <v>0.19793402777777783</v>
          </cell>
          <cell r="T16">
            <v>4824.04</v>
          </cell>
          <cell r="U16">
            <v>2277.4</v>
          </cell>
          <cell r="V16">
            <v>0.4720939295694066</v>
          </cell>
          <cell r="W16">
            <v>79.19</v>
          </cell>
          <cell r="X16" t="str">
            <v>EMI</v>
          </cell>
          <cell r="Z16">
            <v>1</v>
          </cell>
          <cell r="AA16" t="b">
            <v>0</v>
          </cell>
          <cell r="AC16" t="str">
            <v>Delivered</v>
          </cell>
          <cell r="AE16">
            <v>4</v>
          </cell>
        </row>
        <row r="17">
          <cell r="C17">
            <v>45361</v>
          </cell>
          <cell r="D17" t="str">
            <v>CUST50623</v>
          </cell>
          <cell r="E17" t="str">
            <v>Deepa Mehta</v>
          </cell>
          <cell r="G17">
            <v>30</v>
          </cell>
          <cell r="H17" t="str">
            <v>Young Adult</v>
          </cell>
          <cell r="J17" t="str">
            <v>Female</v>
          </cell>
          <cell r="K17" t="str">
            <v>South</v>
          </cell>
          <cell r="L17" t="str">
            <v>Kochi</v>
          </cell>
          <cell r="M17" t="str">
            <v>Furniture</v>
          </cell>
          <cell r="N17" t="str">
            <v>Chair</v>
          </cell>
          <cell r="P17">
            <v>10</v>
          </cell>
          <cell r="Q17">
            <v>12138.87</v>
          </cell>
          <cell r="S17">
            <v>0.15</v>
          </cell>
          <cell r="T17">
            <v>144295.18</v>
          </cell>
          <cell r="U17">
            <v>50995.28</v>
          </cell>
          <cell r="V17">
            <v>0.35340944860389656</v>
          </cell>
          <cell r="W17">
            <v>49.93</v>
          </cell>
          <cell r="X17" t="str">
            <v>EMI</v>
          </cell>
          <cell r="Z17">
            <v>3</v>
          </cell>
          <cell r="AA17" t="b">
            <v>0</v>
          </cell>
          <cell r="AC17" t="str">
            <v>Delivered</v>
          </cell>
          <cell r="AE17">
            <v>1</v>
          </cell>
        </row>
        <row r="18">
          <cell r="C18">
            <v>44634</v>
          </cell>
          <cell r="D18" t="str">
            <v>CUST08792</v>
          </cell>
          <cell r="E18" t="str">
            <v>Rahul Gupta</v>
          </cell>
          <cell r="G18">
            <v>26</v>
          </cell>
          <cell r="H18" t="str">
            <v>Young Adult</v>
          </cell>
          <cell r="J18" t="str">
            <v>Male</v>
          </cell>
          <cell r="K18" t="str">
            <v>South</v>
          </cell>
          <cell r="L18" t="str">
            <v>Bangalore</v>
          </cell>
          <cell r="M18" t="str">
            <v>Clothing</v>
          </cell>
          <cell r="N18" t="str">
            <v>Dress</v>
          </cell>
          <cell r="P18">
            <v>10</v>
          </cell>
          <cell r="Q18">
            <v>1706.05</v>
          </cell>
          <cell r="S18">
            <v>0.04</v>
          </cell>
          <cell r="T18">
            <v>17995.41</v>
          </cell>
          <cell r="U18">
            <v>6453.4</v>
          </cell>
          <cell r="V18">
            <v>0.35861366870774269</v>
          </cell>
          <cell r="W18">
            <v>89.15</v>
          </cell>
          <cell r="X18" t="str">
            <v>UPI</v>
          </cell>
          <cell r="Z18">
            <v>5</v>
          </cell>
          <cell r="AA18" t="b">
            <v>0</v>
          </cell>
          <cell r="AC18" t="str">
            <v>Delivered</v>
          </cell>
          <cell r="AE18">
            <v>4</v>
          </cell>
        </row>
        <row r="19">
          <cell r="C19">
            <v>45236</v>
          </cell>
          <cell r="D19" t="str">
            <v>CUST88256</v>
          </cell>
          <cell r="E19" t="str">
            <v>Shreya Singh</v>
          </cell>
          <cell r="G19">
            <v>15</v>
          </cell>
          <cell r="H19" t="str">
            <v>Teen</v>
          </cell>
          <cell r="J19" t="str">
            <v>Male</v>
          </cell>
          <cell r="K19" t="str">
            <v>East</v>
          </cell>
          <cell r="L19" t="str">
            <v>Guwahati</v>
          </cell>
          <cell r="M19" t="str">
            <v>Electronics</v>
          </cell>
          <cell r="N19" t="str">
            <v>Tablet</v>
          </cell>
          <cell r="P19">
            <v>8</v>
          </cell>
          <cell r="Q19">
            <v>73558.44</v>
          </cell>
          <cell r="S19">
            <v>0.4</v>
          </cell>
          <cell r="T19">
            <v>315130.44</v>
          </cell>
          <cell r="U19">
            <v>53808.65</v>
          </cell>
          <cell r="V19">
            <v>0.17075040418183657</v>
          </cell>
          <cell r="W19">
            <v>82.71</v>
          </cell>
          <cell r="X19" t="str">
            <v>UPI</v>
          </cell>
          <cell r="Z19">
            <v>3</v>
          </cell>
          <cell r="AA19" t="b">
            <v>0</v>
          </cell>
          <cell r="AC19" t="str">
            <v>Delivered</v>
          </cell>
          <cell r="AE19">
            <v>6</v>
          </cell>
        </row>
        <row r="20">
          <cell r="C20">
            <v>45643</v>
          </cell>
          <cell r="D20" t="str">
            <v>CUST15084</v>
          </cell>
          <cell r="E20" t="str">
            <v>Nikhil Mishra</v>
          </cell>
          <cell r="G20">
            <v>43</v>
          </cell>
          <cell r="H20" t="str">
            <v>Adult</v>
          </cell>
          <cell r="J20" t="str">
            <v>Male</v>
          </cell>
          <cell r="K20" t="str">
            <v>South</v>
          </cell>
          <cell r="L20" t="str">
            <v>Kochi</v>
          </cell>
          <cell r="M20" t="str">
            <v>Clothing</v>
          </cell>
          <cell r="N20" t="str">
            <v>Jacket</v>
          </cell>
          <cell r="P20">
            <v>5</v>
          </cell>
          <cell r="Q20">
            <v>3006.52</v>
          </cell>
          <cell r="S20">
            <v>0.12</v>
          </cell>
          <cell r="T20">
            <v>10622.32</v>
          </cell>
          <cell r="U20">
            <v>4837.79</v>
          </cell>
          <cell r="V20">
            <v>0.45543628887098109</v>
          </cell>
          <cell r="W20">
            <v>75.97</v>
          </cell>
          <cell r="X20" t="str">
            <v>Credit Card</v>
          </cell>
          <cell r="Z20">
            <v>1</v>
          </cell>
          <cell r="AA20" t="b">
            <v>0</v>
          </cell>
          <cell r="AC20" t="str">
            <v>Delivered</v>
          </cell>
          <cell r="AE20">
            <v>5</v>
          </cell>
        </row>
        <row r="21">
          <cell r="C21">
            <v>43849</v>
          </cell>
          <cell r="D21" t="str">
            <v>CUST43401</v>
          </cell>
          <cell r="E21" t="str">
            <v>Sanjay Bose</v>
          </cell>
          <cell r="G21">
            <v>21</v>
          </cell>
          <cell r="H21" t="str">
            <v>Young Adult</v>
          </cell>
          <cell r="J21" t="str">
            <v>Other</v>
          </cell>
          <cell r="K21" t="str">
            <v>North</v>
          </cell>
          <cell r="L21" t="str">
            <v>Delhi</v>
          </cell>
          <cell r="M21" t="str">
            <v>Furniture</v>
          </cell>
          <cell r="N21" t="str">
            <v>Sofa</v>
          </cell>
          <cell r="P21">
            <v>3</v>
          </cell>
          <cell r="Q21">
            <v>34890.629999999997</v>
          </cell>
          <cell r="S21">
            <v>0.28999999999999998</v>
          </cell>
          <cell r="T21">
            <v>64727.53</v>
          </cell>
          <cell r="U21">
            <v>18067.63</v>
          </cell>
          <cell r="V21">
            <v>0.27913362366832167</v>
          </cell>
          <cell r="W21">
            <v>40.97</v>
          </cell>
          <cell r="X21" t="str">
            <v>Net Banking</v>
          </cell>
          <cell r="Z21">
            <v>5</v>
          </cell>
          <cell r="AA21" t="b">
            <v>0</v>
          </cell>
          <cell r="AC21" t="str">
            <v>Shipped</v>
          </cell>
          <cell r="AE21">
            <v>3</v>
          </cell>
        </row>
        <row r="22">
          <cell r="C22">
            <v>44705</v>
          </cell>
          <cell r="D22" t="str">
            <v>CUST43165</v>
          </cell>
          <cell r="E22" t="str">
            <v>Kavya Kumar</v>
          </cell>
          <cell r="G22">
            <v>15</v>
          </cell>
          <cell r="H22" t="str">
            <v>Teen</v>
          </cell>
          <cell r="J22" t="str">
            <v>Other</v>
          </cell>
          <cell r="K22" t="str">
            <v>South</v>
          </cell>
          <cell r="L22" t="str">
            <v>Chennai</v>
          </cell>
          <cell r="M22" t="str">
            <v>Electronics</v>
          </cell>
          <cell r="N22" t="str">
            <v>Headphones</v>
          </cell>
          <cell r="P22">
            <v>7</v>
          </cell>
          <cell r="Q22">
            <v>48577.53</v>
          </cell>
          <cell r="S22">
            <v>7.0000000000000007E-2</v>
          </cell>
          <cell r="T22">
            <v>483408.08</v>
          </cell>
          <cell r="U22">
            <v>36816.910000000003</v>
          </cell>
          <cell r="V22">
            <v>7.6161139052537144E-2</v>
          </cell>
          <cell r="W22">
            <v>57.45</v>
          </cell>
          <cell r="X22" t="str">
            <v>EMI</v>
          </cell>
          <cell r="Z22">
            <v>2</v>
          </cell>
          <cell r="AA22" t="b">
            <v>0</v>
          </cell>
          <cell r="AC22" t="str">
            <v>Delivered</v>
          </cell>
          <cell r="AE22">
            <v>4</v>
          </cell>
        </row>
        <row r="23">
          <cell r="C23">
            <v>44272</v>
          </cell>
          <cell r="D23" t="str">
            <v>CUST41573</v>
          </cell>
          <cell r="E23" t="str">
            <v>Sanjay Mishra</v>
          </cell>
          <cell r="G23">
            <v>35</v>
          </cell>
          <cell r="H23" t="str">
            <v>Young Adult</v>
          </cell>
          <cell r="J23" t="str">
            <v>Female</v>
          </cell>
          <cell r="K23" t="str">
            <v>South</v>
          </cell>
          <cell r="L23" t="str">
            <v>Kochi</v>
          </cell>
          <cell r="M23" t="str">
            <v>Sports</v>
          </cell>
          <cell r="N23" t="str">
            <v>Dumbbells</v>
          </cell>
          <cell r="P23">
            <v>8</v>
          </cell>
          <cell r="Q23">
            <v>7643.4</v>
          </cell>
          <cell r="S23">
            <v>0.09</v>
          </cell>
          <cell r="T23">
            <v>61783.199999999997</v>
          </cell>
          <cell r="U23">
            <v>10099.620000000001</v>
          </cell>
          <cell r="V23">
            <v>0.16346870994056639</v>
          </cell>
          <cell r="W23">
            <v>65.760000000000005</v>
          </cell>
          <cell r="X23" t="str">
            <v>Credit Card</v>
          </cell>
          <cell r="Z23">
            <v>3</v>
          </cell>
          <cell r="AA23" t="b">
            <v>0</v>
          </cell>
          <cell r="AC23" t="str">
            <v>Delivered</v>
          </cell>
          <cell r="AE23">
            <v>8</v>
          </cell>
        </row>
        <row r="24">
          <cell r="C24">
            <v>45013</v>
          </cell>
          <cell r="D24" t="str">
            <v>CUST68233</v>
          </cell>
          <cell r="E24" t="str">
            <v>Rahul Joshi</v>
          </cell>
          <cell r="G24">
            <v>22</v>
          </cell>
          <cell r="H24" t="str">
            <v>Young Adult</v>
          </cell>
          <cell r="J24" t="str">
            <v>Female</v>
          </cell>
          <cell r="K24" t="str">
            <v>Central</v>
          </cell>
          <cell r="L24" t="str">
            <v>Nagpur</v>
          </cell>
          <cell r="M24" t="str">
            <v>Books</v>
          </cell>
          <cell r="N24" t="str">
            <v>Comic Book</v>
          </cell>
          <cell r="P24">
            <v>6</v>
          </cell>
          <cell r="Q24">
            <v>1467.54</v>
          </cell>
          <cell r="S24">
            <v>0.28999999999999998</v>
          </cell>
          <cell r="T24">
            <v>7477.88</v>
          </cell>
          <cell r="U24">
            <v>3606.99</v>
          </cell>
          <cell r="V24">
            <v>0.48235462457273981</v>
          </cell>
          <cell r="W24">
            <v>50.88</v>
          </cell>
          <cell r="X24" t="str">
            <v>UPI</v>
          </cell>
          <cell r="Z24">
            <v>3</v>
          </cell>
          <cell r="AA24" t="b">
            <v>0</v>
          </cell>
          <cell r="AC24" t="str">
            <v>Delivered</v>
          </cell>
          <cell r="AE24">
            <v>4</v>
          </cell>
        </row>
        <row r="25">
          <cell r="C25">
            <v>45124</v>
          </cell>
          <cell r="D25" t="str">
            <v>CUST62795</v>
          </cell>
          <cell r="E25" t="str">
            <v>Arjun Chatterjee</v>
          </cell>
          <cell r="G25">
            <v>30</v>
          </cell>
          <cell r="H25" t="str">
            <v>Young Adult</v>
          </cell>
          <cell r="J25" t="str">
            <v>Male</v>
          </cell>
          <cell r="K25" t="str">
            <v>South</v>
          </cell>
          <cell r="L25" t="str">
            <v>Bangalore</v>
          </cell>
          <cell r="M25" t="str">
            <v>Books</v>
          </cell>
          <cell r="N25" t="str">
            <v>Self-Help Book</v>
          </cell>
          <cell r="P25">
            <v>7.0954861111111107</v>
          </cell>
          <cell r="Q25">
            <v>478.05</v>
          </cell>
          <cell r="S25">
            <v>0.02</v>
          </cell>
          <cell r="T25">
            <v>621.35</v>
          </cell>
          <cell r="U25">
            <v>290.89999999999998</v>
          </cell>
          <cell r="V25">
            <v>0.46817413695984544</v>
          </cell>
          <cell r="W25">
            <v>63.7</v>
          </cell>
          <cell r="X25" t="str">
            <v>Cash on Delivery</v>
          </cell>
          <cell r="Z25">
            <v>2</v>
          </cell>
          <cell r="AA25" t="b">
            <v>0</v>
          </cell>
          <cell r="AC25" t="str">
            <v>Delivered</v>
          </cell>
          <cell r="AE25">
            <v>7</v>
          </cell>
        </row>
        <row r="26">
          <cell r="C26">
            <v>45636</v>
          </cell>
          <cell r="D26" t="str">
            <v>CUST75042</v>
          </cell>
          <cell r="E26" t="str">
            <v>Pooja Verma</v>
          </cell>
          <cell r="G26">
            <v>44</v>
          </cell>
          <cell r="H26" t="str">
            <v>Adult</v>
          </cell>
          <cell r="J26" t="str">
            <v>Female</v>
          </cell>
          <cell r="K26" t="str">
            <v>Central</v>
          </cell>
          <cell r="L26" t="str">
            <v>Nagpur</v>
          </cell>
          <cell r="M26" t="str">
            <v>Books</v>
          </cell>
          <cell r="N26" t="str">
            <v>Self-Help Book</v>
          </cell>
          <cell r="P26">
            <v>7</v>
          </cell>
          <cell r="Q26">
            <v>612.70000000000005</v>
          </cell>
          <cell r="S26">
            <v>0.22</v>
          </cell>
          <cell r="T26">
            <v>3224.82</v>
          </cell>
          <cell r="U26">
            <v>991.03</v>
          </cell>
          <cell r="V26">
            <v>0.30731327639992306</v>
          </cell>
          <cell r="W26">
            <v>55.8</v>
          </cell>
          <cell r="X26" t="str">
            <v>Credit Card</v>
          </cell>
          <cell r="Z26">
            <v>5</v>
          </cell>
          <cell r="AA26" t="b">
            <v>0</v>
          </cell>
          <cell r="AC26" t="str">
            <v>Delivered</v>
          </cell>
          <cell r="AE26">
            <v>4</v>
          </cell>
        </row>
        <row r="27">
          <cell r="C27">
            <v>45521</v>
          </cell>
          <cell r="D27" t="str">
            <v>CUST83779</v>
          </cell>
          <cell r="E27" t="str">
            <v>Nikhil Bhat</v>
          </cell>
          <cell r="G27">
            <v>31</v>
          </cell>
          <cell r="H27" t="str">
            <v>Young Adult</v>
          </cell>
          <cell r="J27" t="str">
            <v>Other</v>
          </cell>
          <cell r="K27" t="str">
            <v>West</v>
          </cell>
          <cell r="L27" t="str">
            <v>Surat</v>
          </cell>
          <cell r="M27" t="str">
            <v>Sports</v>
          </cell>
          <cell r="N27" t="str">
            <v>Football</v>
          </cell>
          <cell r="P27">
            <v>9</v>
          </cell>
          <cell r="Q27">
            <v>3000.32</v>
          </cell>
          <cell r="S27">
            <v>0.21</v>
          </cell>
          <cell r="T27">
            <v>29267.25</v>
          </cell>
          <cell r="U27">
            <v>6330.95</v>
          </cell>
          <cell r="V27">
            <v>0.21631516456107081</v>
          </cell>
          <cell r="W27">
            <v>68.5</v>
          </cell>
          <cell r="X27" t="str">
            <v>UPI</v>
          </cell>
          <cell r="Z27">
            <v>4</v>
          </cell>
          <cell r="AA27" t="b">
            <v>0</v>
          </cell>
          <cell r="AC27" t="str">
            <v>Delivered</v>
          </cell>
          <cell r="AE27">
            <v>9</v>
          </cell>
        </row>
        <row r="28">
          <cell r="C28">
            <v>44494</v>
          </cell>
          <cell r="D28" t="str">
            <v>CUST33809</v>
          </cell>
          <cell r="E28" t="str">
            <v>Sanjay Reddy</v>
          </cell>
          <cell r="G28">
            <v>31</v>
          </cell>
          <cell r="H28" t="str">
            <v>Young Adult</v>
          </cell>
          <cell r="J28" t="str">
            <v>Other</v>
          </cell>
          <cell r="K28" t="str">
            <v>West</v>
          </cell>
          <cell r="L28" t="str">
            <v>Surat</v>
          </cell>
          <cell r="M28" t="str">
            <v>Groceries</v>
          </cell>
          <cell r="N28" t="str">
            <v>Cooking Oil</v>
          </cell>
          <cell r="P28">
            <v>2</v>
          </cell>
          <cell r="Q28">
            <v>233.12</v>
          </cell>
          <cell r="S28">
            <v>0.28000000000000003</v>
          </cell>
          <cell r="T28">
            <v>322.86</v>
          </cell>
          <cell r="U28">
            <v>21.37</v>
          </cell>
          <cell r="V28">
            <v>6.6189679737347462E-2</v>
          </cell>
          <cell r="W28">
            <v>57.3</v>
          </cell>
          <cell r="X28" t="str">
            <v>Cash on Delivery</v>
          </cell>
          <cell r="Z28">
            <v>3</v>
          </cell>
          <cell r="AA28" t="b">
            <v>0</v>
          </cell>
          <cell r="AC28" t="str">
            <v>Delivered</v>
          </cell>
          <cell r="AE28">
            <v>7</v>
          </cell>
        </row>
        <row r="29">
          <cell r="C29">
            <v>45480</v>
          </cell>
          <cell r="D29" t="str">
            <v>CUST28954</v>
          </cell>
          <cell r="E29" t="str">
            <v>Nikhil Bose</v>
          </cell>
          <cell r="G29">
            <v>35</v>
          </cell>
          <cell r="H29" t="str">
            <v>Young Adult</v>
          </cell>
          <cell r="J29" t="str">
            <v>Female</v>
          </cell>
          <cell r="K29" t="str">
            <v>Central</v>
          </cell>
          <cell r="L29" t="str">
            <v>Bhopal</v>
          </cell>
          <cell r="M29" t="str">
            <v>Clothing</v>
          </cell>
          <cell r="N29" t="str">
            <v>T-Shirt</v>
          </cell>
          <cell r="P29">
            <v>2</v>
          </cell>
          <cell r="Q29">
            <v>735.25</v>
          </cell>
          <cell r="S29">
            <v>0.03</v>
          </cell>
          <cell r="T29">
            <v>2477.7199999999998</v>
          </cell>
          <cell r="U29">
            <v>795.65</v>
          </cell>
          <cell r="V29">
            <v>0.32112183781863973</v>
          </cell>
          <cell r="W29">
            <v>74.95</v>
          </cell>
          <cell r="X29" t="str">
            <v>UPI</v>
          </cell>
          <cell r="Z29">
            <v>5</v>
          </cell>
          <cell r="AA29" t="b">
            <v>0</v>
          </cell>
          <cell r="AC29" t="str">
            <v>Delivered</v>
          </cell>
          <cell r="AE29">
            <v>8</v>
          </cell>
        </row>
        <row r="30">
          <cell r="C30">
            <v>44405</v>
          </cell>
          <cell r="D30" t="str">
            <v>CUST94413</v>
          </cell>
          <cell r="E30" t="str">
            <v>Rahul Gupta</v>
          </cell>
          <cell r="G30">
            <v>35</v>
          </cell>
          <cell r="H30" t="str">
            <v>Young Adult</v>
          </cell>
          <cell r="J30" t="str">
            <v>Male</v>
          </cell>
          <cell r="K30" t="str">
            <v>Central</v>
          </cell>
          <cell r="L30" t="str">
            <v>Indore</v>
          </cell>
          <cell r="M30" t="str">
            <v>Electronics</v>
          </cell>
          <cell r="N30" t="str">
            <v>Laptop</v>
          </cell>
          <cell r="P30">
            <v>9</v>
          </cell>
          <cell r="Q30">
            <v>63147.82</v>
          </cell>
          <cell r="S30">
            <v>0.14000000000000001</v>
          </cell>
          <cell r="T30">
            <v>671607.78</v>
          </cell>
          <cell r="U30">
            <v>86070.79</v>
          </cell>
          <cell r="V30">
            <v>0.12815633255469433</v>
          </cell>
          <cell r="W30">
            <v>60.5</v>
          </cell>
          <cell r="X30" t="str">
            <v>Cash on Delivery</v>
          </cell>
          <cell r="Z30">
            <v>4</v>
          </cell>
          <cell r="AA30" t="b">
            <v>1</v>
          </cell>
          <cell r="AC30" t="str">
            <v>Returned</v>
          </cell>
          <cell r="AE30">
            <v>3</v>
          </cell>
        </row>
        <row r="31">
          <cell r="C31">
            <v>44013</v>
          </cell>
          <cell r="D31" t="str">
            <v>CUST88814</v>
          </cell>
          <cell r="E31" t="str">
            <v>Rahul Kapoor</v>
          </cell>
          <cell r="G31">
            <v>51</v>
          </cell>
          <cell r="H31" t="str">
            <v>Senior</v>
          </cell>
          <cell r="J31" t="str">
            <v>Other</v>
          </cell>
          <cell r="K31" t="str">
            <v>West</v>
          </cell>
          <cell r="L31" t="str">
            <v>Ahmedabad</v>
          </cell>
          <cell r="M31" t="str">
            <v>Books</v>
          </cell>
          <cell r="N31" t="str">
            <v>Comic Book</v>
          </cell>
          <cell r="P31">
            <v>8</v>
          </cell>
          <cell r="Q31">
            <v>635.66</v>
          </cell>
          <cell r="S31">
            <v>0.34</v>
          </cell>
          <cell r="T31">
            <v>3704.84</v>
          </cell>
          <cell r="U31">
            <v>1269.07</v>
          </cell>
          <cell r="V31">
            <v>0.3425438075598406</v>
          </cell>
          <cell r="W31">
            <v>67.010000000000005</v>
          </cell>
          <cell r="X31" t="str">
            <v>Cash on Delivery</v>
          </cell>
          <cell r="Z31">
            <v>1</v>
          </cell>
          <cell r="AA31" t="b">
            <v>0</v>
          </cell>
          <cell r="AC31" t="str">
            <v>Delivered</v>
          </cell>
          <cell r="AE31">
            <v>3</v>
          </cell>
        </row>
        <row r="32">
          <cell r="C32">
            <v>44649</v>
          </cell>
          <cell r="D32" t="str">
            <v>CUST43339</v>
          </cell>
          <cell r="E32" t="str">
            <v>Arjun Pillai</v>
          </cell>
          <cell r="G32">
            <v>28</v>
          </cell>
          <cell r="H32" t="str">
            <v>Young Adult</v>
          </cell>
          <cell r="J32" t="str">
            <v>Male</v>
          </cell>
          <cell r="K32" t="str">
            <v>South</v>
          </cell>
          <cell r="L32" t="str">
            <v>Kochi</v>
          </cell>
          <cell r="M32" t="str">
            <v>Sports</v>
          </cell>
          <cell r="N32" t="str">
            <v>Cricket Bat</v>
          </cell>
          <cell r="P32">
            <v>7</v>
          </cell>
          <cell r="Q32">
            <v>6478.95</v>
          </cell>
          <cell r="S32">
            <v>0.22</v>
          </cell>
          <cell r="T32">
            <v>43346.6</v>
          </cell>
          <cell r="U32">
            <v>8443.99</v>
          </cell>
          <cell r="V32">
            <v>0.19480166841228608</v>
          </cell>
          <cell r="W32">
            <v>69.59</v>
          </cell>
          <cell r="X32" t="str">
            <v>EMI</v>
          </cell>
          <cell r="Z32">
            <v>1</v>
          </cell>
          <cell r="AA32" t="b">
            <v>0</v>
          </cell>
          <cell r="AC32" t="str">
            <v>Delivered</v>
          </cell>
          <cell r="AE32">
            <v>2</v>
          </cell>
        </row>
        <row r="33">
          <cell r="C33">
            <v>44995</v>
          </cell>
          <cell r="D33" t="str">
            <v>CUST32875</v>
          </cell>
          <cell r="E33" t="str">
            <v>Kavya Patel</v>
          </cell>
          <cell r="G33">
            <v>41</v>
          </cell>
          <cell r="H33" t="str">
            <v>Adult</v>
          </cell>
          <cell r="J33" t="str">
            <v>Male</v>
          </cell>
          <cell r="K33" t="str">
            <v>South</v>
          </cell>
          <cell r="L33" t="str">
            <v>Kochi</v>
          </cell>
          <cell r="M33" t="str">
            <v>Beauty</v>
          </cell>
          <cell r="N33" t="str">
            <v>Hair Oil</v>
          </cell>
          <cell r="P33">
            <v>3</v>
          </cell>
          <cell r="Q33">
            <v>1290.21</v>
          </cell>
          <cell r="S33">
            <v>0.12</v>
          </cell>
          <cell r="T33">
            <v>3690.09</v>
          </cell>
          <cell r="U33">
            <v>1777.76</v>
          </cell>
          <cell r="V33">
            <v>0.48176602738686586</v>
          </cell>
          <cell r="W33">
            <v>64.97</v>
          </cell>
          <cell r="X33" t="str">
            <v>Cash on Delivery</v>
          </cell>
          <cell r="Z33">
            <v>3</v>
          </cell>
          <cell r="AA33" t="b">
            <v>0</v>
          </cell>
          <cell r="AC33" t="str">
            <v>Delivered</v>
          </cell>
          <cell r="AE33">
            <v>5</v>
          </cell>
        </row>
        <row r="34">
          <cell r="C34">
            <v>44254</v>
          </cell>
          <cell r="D34" t="str">
            <v>CUST82575</v>
          </cell>
          <cell r="E34" t="str">
            <v>Kavya Pillai</v>
          </cell>
          <cell r="G34">
            <v>29</v>
          </cell>
          <cell r="H34" t="str">
            <v>Young Adult</v>
          </cell>
          <cell r="J34" t="str">
            <v>Female</v>
          </cell>
          <cell r="K34" t="str">
            <v>Central</v>
          </cell>
          <cell r="L34" t="str">
            <v>Nagpur</v>
          </cell>
          <cell r="M34" t="str">
            <v>Furniture</v>
          </cell>
          <cell r="N34" t="str">
            <v>Bookshelf</v>
          </cell>
          <cell r="P34">
            <v>1</v>
          </cell>
          <cell r="Q34">
            <v>33537.06</v>
          </cell>
          <cell r="S34">
            <v>0.25</v>
          </cell>
          <cell r="T34">
            <v>24565.06</v>
          </cell>
          <cell r="U34">
            <v>5814.79</v>
          </cell>
          <cell r="V34">
            <v>0.23670978210515259</v>
          </cell>
          <cell r="W34">
            <v>56.47</v>
          </cell>
          <cell r="X34" t="str">
            <v>Debit Card</v>
          </cell>
          <cell r="Z34">
            <v>4</v>
          </cell>
          <cell r="AA34" t="b">
            <v>0</v>
          </cell>
          <cell r="AC34" t="str">
            <v>Delivered</v>
          </cell>
          <cell r="AE34">
            <v>2</v>
          </cell>
        </row>
        <row r="35">
          <cell r="C35">
            <v>45314</v>
          </cell>
          <cell r="D35" t="str">
            <v>CUST58923</v>
          </cell>
          <cell r="E35" t="str">
            <v>Deepa Pillai</v>
          </cell>
          <cell r="G35">
            <v>20</v>
          </cell>
          <cell r="H35" t="str">
            <v>Young Adult</v>
          </cell>
          <cell r="J35" t="str">
            <v>Male</v>
          </cell>
          <cell r="K35" t="str">
            <v>East</v>
          </cell>
          <cell r="L35" t="str">
            <v>Guwahati</v>
          </cell>
          <cell r="M35" t="str">
            <v>Electronics</v>
          </cell>
          <cell r="N35" t="str">
            <v>Headphones</v>
          </cell>
          <cell r="P35">
            <v>3</v>
          </cell>
          <cell r="Q35">
            <v>64874.09</v>
          </cell>
          <cell r="S35">
            <v>0.02</v>
          </cell>
          <cell r="T35">
            <v>177754.39</v>
          </cell>
          <cell r="U35">
            <v>20320.939999999999</v>
          </cell>
          <cell r="V35">
            <v>0.11432032705352592</v>
          </cell>
          <cell r="W35">
            <v>79.56</v>
          </cell>
          <cell r="X35" t="str">
            <v>UPI</v>
          </cell>
          <cell r="Z35">
            <v>1</v>
          </cell>
          <cell r="AA35" t="b">
            <v>0</v>
          </cell>
          <cell r="AC35" t="str">
            <v>Delivered</v>
          </cell>
          <cell r="AE35">
            <v>7</v>
          </cell>
        </row>
        <row r="36">
          <cell r="C36">
            <v>44506</v>
          </cell>
          <cell r="D36" t="str">
            <v>CUST41623</v>
          </cell>
          <cell r="E36" t="str">
            <v>Vikram Pillai</v>
          </cell>
          <cell r="G36">
            <v>65</v>
          </cell>
          <cell r="H36" t="str">
            <v>Senior</v>
          </cell>
          <cell r="J36" t="str">
            <v>Other</v>
          </cell>
          <cell r="K36" t="str">
            <v>North</v>
          </cell>
          <cell r="L36" t="str">
            <v>Chandigarh</v>
          </cell>
          <cell r="M36" t="str">
            <v>Books</v>
          </cell>
          <cell r="N36" t="str">
            <v>Comic Book</v>
          </cell>
          <cell r="P36">
            <v>4</v>
          </cell>
          <cell r="Q36">
            <v>1350.95</v>
          </cell>
          <cell r="S36">
            <v>0.21</v>
          </cell>
          <cell r="T36">
            <v>3635.51</v>
          </cell>
          <cell r="U36">
            <v>1854.28</v>
          </cell>
          <cell r="V36">
            <v>0.51004673347068219</v>
          </cell>
          <cell r="W36">
            <v>44.83</v>
          </cell>
          <cell r="X36" t="str">
            <v>Credit Card</v>
          </cell>
          <cell r="Z36">
            <v>3</v>
          </cell>
          <cell r="AA36" t="b">
            <v>0</v>
          </cell>
          <cell r="AC36" t="str">
            <v>Delivered</v>
          </cell>
          <cell r="AE36">
            <v>2</v>
          </cell>
        </row>
        <row r="37">
          <cell r="C37">
            <v>45587</v>
          </cell>
          <cell r="D37" t="str">
            <v>CUST10094</v>
          </cell>
          <cell r="E37" t="str">
            <v>Rahul Sharma</v>
          </cell>
          <cell r="G37">
            <v>26</v>
          </cell>
          <cell r="H37" t="str">
            <v>Young Adult</v>
          </cell>
          <cell r="J37" t="str">
            <v>Other</v>
          </cell>
          <cell r="K37" t="str">
            <v>North</v>
          </cell>
          <cell r="L37" t="str">
            <v>Amritsar</v>
          </cell>
          <cell r="M37" t="str">
            <v>Electronics</v>
          </cell>
          <cell r="N37" t="str">
            <v>Camera</v>
          </cell>
          <cell r="P37">
            <v>3</v>
          </cell>
          <cell r="Q37">
            <v>68799.42</v>
          </cell>
          <cell r="S37">
            <v>7.0000000000000007E-2</v>
          </cell>
          <cell r="T37">
            <v>232621.97</v>
          </cell>
          <cell r="U37">
            <v>36091.769999999997</v>
          </cell>
          <cell r="V37">
            <v>0.15515202626819813</v>
          </cell>
          <cell r="W37">
            <v>48.01</v>
          </cell>
          <cell r="X37" t="str">
            <v>UPI</v>
          </cell>
          <cell r="Z37">
            <v>1</v>
          </cell>
          <cell r="AA37" t="b">
            <v>0</v>
          </cell>
          <cell r="AC37" t="str">
            <v>Delivered</v>
          </cell>
          <cell r="AE37">
            <v>7</v>
          </cell>
        </row>
        <row r="38">
          <cell r="C38">
            <v>44943</v>
          </cell>
          <cell r="D38" t="str">
            <v>CUST71120</v>
          </cell>
          <cell r="E38" t="str">
            <v>Ritu Nair</v>
          </cell>
          <cell r="G38">
            <v>35</v>
          </cell>
          <cell r="H38" t="str">
            <v>Young Adult</v>
          </cell>
          <cell r="J38" t="str">
            <v>Male</v>
          </cell>
          <cell r="K38" t="str">
            <v>North</v>
          </cell>
          <cell r="L38" t="str">
            <v>Amritsar</v>
          </cell>
          <cell r="M38" t="str">
            <v>Furniture</v>
          </cell>
          <cell r="N38" t="str">
            <v>Sofa</v>
          </cell>
          <cell r="P38">
            <v>3</v>
          </cell>
          <cell r="Q38">
            <v>31242.32</v>
          </cell>
          <cell r="S38">
            <v>0.01</v>
          </cell>
          <cell r="T38">
            <v>92924.36</v>
          </cell>
          <cell r="U38">
            <v>27403.47</v>
          </cell>
          <cell r="V38">
            <v>0.29490082040920162</v>
          </cell>
          <cell r="W38">
            <v>52.73</v>
          </cell>
          <cell r="X38" t="str">
            <v>Debit Card</v>
          </cell>
          <cell r="Z38">
            <v>3</v>
          </cell>
          <cell r="AA38" t="b">
            <v>1</v>
          </cell>
          <cell r="AC38" t="str">
            <v>Returned</v>
          </cell>
          <cell r="AE38">
            <v>4</v>
          </cell>
        </row>
        <row r="39">
          <cell r="C39">
            <v>44726</v>
          </cell>
          <cell r="D39" t="str">
            <v>CUST13864</v>
          </cell>
          <cell r="E39" t="str">
            <v>Amit Kumar</v>
          </cell>
          <cell r="G39">
            <v>30</v>
          </cell>
          <cell r="H39" t="str">
            <v>Young Adult</v>
          </cell>
          <cell r="J39" t="str">
            <v>Other</v>
          </cell>
          <cell r="K39" t="str">
            <v>Central</v>
          </cell>
          <cell r="L39" t="str">
            <v>Bhopal</v>
          </cell>
          <cell r="M39" t="str">
            <v>Books</v>
          </cell>
          <cell r="N39" t="str">
            <v>Comic Book</v>
          </cell>
          <cell r="P39">
            <v>7.0954861111111107</v>
          </cell>
          <cell r="Q39">
            <v>1431.29</v>
          </cell>
          <cell r="S39">
            <v>0.04</v>
          </cell>
          <cell r="T39">
            <v>1929.4</v>
          </cell>
          <cell r="U39">
            <v>819.7</v>
          </cell>
          <cell r="V39">
            <v>0.42484710272623616</v>
          </cell>
          <cell r="W39">
            <v>70.38</v>
          </cell>
          <cell r="X39" t="str">
            <v>Credit Card</v>
          </cell>
          <cell r="Z39">
            <v>5</v>
          </cell>
          <cell r="AA39" t="b">
            <v>1</v>
          </cell>
          <cell r="AC39" t="str">
            <v>Returned</v>
          </cell>
          <cell r="AE39">
            <v>8</v>
          </cell>
        </row>
        <row r="40">
          <cell r="C40">
            <v>45473</v>
          </cell>
          <cell r="D40" t="str">
            <v>CUST34644</v>
          </cell>
          <cell r="E40" t="str">
            <v>Ananya Patel</v>
          </cell>
          <cell r="G40">
            <v>27</v>
          </cell>
          <cell r="H40" t="str">
            <v>Young Adult</v>
          </cell>
          <cell r="J40" t="str">
            <v>Male</v>
          </cell>
          <cell r="K40" t="str">
            <v>South</v>
          </cell>
          <cell r="L40" t="str">
            <v>Bangalore</v>
          </cell>
          <cell r="M40" t="str">
            <v>Clothing</v>
          </cell>
          <cell r="N40" t="str">
            <v>Jeans</v>
          </cell>
          <cell r="P40">
            <v>3</v>
          </cell>
          <cell r="Q40">
            <v>1621.83</v>
          </cell>
          <cell r="S40">
            <v>0.4</v>
          </cell>
          <cell r="T40">
            <v>4851.55</v>
          </cell>
          <cell r="U40">
            <v>1799.06</v>
          </cell>
          <cell r="V40">
            <v>0.37082169615895949</v>
          </cell>
          <cell r="W40">
            <v>67.23</v>
          </cell>
          <cell r="X40" t="str">
            <v>Credit Card</v>
          </cell>
          <cell r="Z40">
            <v>2</v>
          </cell>
          <cell r="AA40" t="b">
            <v>0</v>
          </cell>
          <cell r="AC40" t="str">
            <v>Delivered</v>
          </cell>
          <cell r="AE40">
            <v>4</v>
          </cell>
        </row>
        <row r="41">
          <cell r="C41">
            <v>43840</v>
          </cell>
          <cell r="D41" t="str">
            <v>CUST91373</v>
          </cell>
          <cell r="E41" t="str">
            <v>Karan Iyer</v>
          </cell>
          <cell r="G41">
            <v>52</v>
          </cell>
          <cell r="H41" t="str">
            <v>Senior</v>
          </cell>
          <cell r="J41" t="str">
            <v>Female</v>
          </cell>
          <cell r="K41" t="str">
            <v>West</v>
          </cell>
          <cell r="L41" t="str">
            <v>Mumbai</v>
          </cell>
          <cell r="M41" t="str">
            <v>Books</v>
          </cell>
          <cell r="N41" t="str">
            <v>Cook Book</v>
          </cell>
          <cell r="P41">
            <v>10</v>
          </cell>
          <cell r="Q41">
            <v>324.41000000000003</v>
          </cell>
          <cell r="S41">
            <v>0.32</v>
          </cell>
          <cell r="T41">
            <v>1810.18</v>
          </cell>
          <cell r="U41">
            <v>903.99</v>
          </cell>
          <cell r="V41">
            <v>0.49939232562507596</v>
          </cell>
          <cell r="W41">
            <v>48.24</v>
          </cell>
          <cell r="X41" t="str">
            <v>UPI</v>
          </cell>
          <cell r="Z41">
            <v>3</v>
          </cell>
          <cell r="AA41" t="b">
            <v>0</v>
          </cell>
          <cell r="AC41" t="str">
            <v>Delivered</v>
          </cell>
          <cell r="AE41">
            <v>4</v>
          </cell>
        </row>
        <row r="42">
          <cell r="C42">
            <v>45077</v>
          </cell>
          <cell r="D42" t="str">
            <v>CUST17518</v>
          </cell>
          <cell r="E42" t="str">
            <v>Sanjay Shah</v>
          </cell>
          <cell r="G42">
            <v>42</v>
          </cell>
          <cell r="H42" t="str">
            <v>Adult</v>
          </cell>
          <cell r="J42" t="str">
            <v>Female</v>
          </cell>
          <cell r="K42" t="str">
            <v>Central</v>
          </cell>
          <cell r="L42" t="str">
            <v>Indore</v>
          </cell>
          <cell r="M42" t="str">
            <v>Furniture</v>
          </cell>
          <cell r="N42" t="str">
            <v>Wardrobe</v>
          </cell>
          <cell r="P42">
            <v>6</v>
          </cell>
          <cell r="Q42">
            <v>20242.36</v>
          </cell>
          <cell r="S42">
            <v>0.04</v>
          </cell>
          <cell r="T42">
            <v>191398.26</v>
          </cell>
          <cell r="U42">
            <v>59116.34</v>
          </cell>
          <cell r="V42">
            <v>0.30886560828713905</v>
          </cell>
          <cell r="W42">
            <v>83.75</v>
          </cell>
          <cell r="X42" t="str">
            <v>Credit Card</v>
          </cell>
          <cell r="Z42">
            <v>2</v>
          </cell>
          <cell r="AA42" t="b">
            <v>0</v>
          </cell>
          <cell r="AC42" t="str">
            <v>Delivered</v>
          </cell>
          <cell r="AE42">
            <v>9</v>
          </cell>
        </row>
        <row r="43">
          <cell r="C43">
            <v>44711</v>
          </cell>
          <cell r="D43" t="str">
            <v>CUST20457</v>
          </cell>
          <cell r="E43" t="str">
            <v>Vikram Kumar</v>
          </cell>
          <cell r="G43">
            <v>40</v>
          </cell>
          <cell r="H43" t="str">
            <v>Adult</v>
          </cell>
          <cell r="J43" t="str">
            <v>Other</v>
          </cell>
          <cell r="K43" t="str">
            <v>North</v>
          </cell>
          <cell r="L43" t="str">
            <v>Ludhiana</v>
          </cell>
          <cell r="M43" t="str">
            <v>Sports</v>
          </cell>
          <cell r="N43" t="str">
            <v>Tennis Racket</v>
          </cell>
          <cell r="P43">
            <v>9</v>
          </cell>
          <cell r="Q43">
            <v>14422.23</v>
          </cell>
          <cell r="S43">
            <v>0.21</v>
          </cell>
          <cell r="T43">
            <v>145427.41</v>
          </cell>
          <cell r="U43">
            <v>40739.980000000003</v>
          </cell>
          <cell r="V43">
            <v>0.28013962429778544</v>
          </cell>
          <cell r="W43">
            <v>58.92</v>
          </cell>
          <cell r="X43" t="str">
            <v>EMI</v>
          </cell>
          <cell r="Z43">
            <v>5</v>
          </cell>
          <cell r="AA43" t="b">
            <v>0</v>
          </cell>
          <cell r="AC43" t="str">
            <v>Delivered</v>
          </cell>
          <cell r="AE43">
            <v>1</v>
          </cell>
        </row>
        <row r="44">
          <cell r="C44">
            <v>44013</v>
          </cell>
          <cell r="D44" t="str">
            <v>CUST39948</v>
          </cell>
          <cell r="E44" t="str">
            <v>Nikhil Kapoor</v>
          </cell>
          <cell r="G44">
            <v>34.294220665499125</v>
          </cell>
          <cell r="H44" t="str">
            <v>Young Adult</v>
          </cell>
          <cell r="J44" t="str">
            <v>Female</v>
          </cell>
          <cell r="K44" t="str">
            <v>North</v>
          </cell>
          <cell r="L44" t="str">
            <v>Chandigarh</v>
          </cell>
          <cell r="M44" t="str">
            <v>Furniture</v>
          </cell>
          <cell r="N44" t="str">
            <v>Desk</v>
          </cell>
          <cell r="P44">
            <v>2</v>
          </cell>
          <cell r="Q44">
            <v>33115.910000000003</v>
          </cell>
          <cell r="S44">
            <v>0.28000000000000003</v>
          </cell>
          <cell r="T44">
            <v>53911.88</v>
          </cell>
          <cell r="U44">
            <v>13232.77</v>
          </cell>
          <cell r="V44">
            <v>0.24545183733158629</v>
          </cell>
          <cell r="W44">
            <v>39.83</v>
          </cell>
          <cell r="X44" t="str">
            <v>EMI</v>
          </cell>
          <cell r="Z44">
            <v>5</v>
          </cell>
          <cell r="AA44" t="b">
            <v>0</v>
          </cell>
          <cell r="AC44" t="str">
            <v>Delivered</v>
          </cell>
          <cell r="AE44">
            <v>1</v>
          </cell>
        </row>
        <row r="45">
          <cell r="C45">
            <v>45077</v>
          </cell>
          <cell r="D45" t="str">
            <v>CUST70575</v>
          </cell>
          <cell r="E45" t="str">
            <v>Aditya Reddy</v>
          </cell>
          <cell r="G45">
            <v>49</v>
          </cell>
          <cell r="H45" t="str">
            <v>Adult</v>
          </cell>
          <cell r="J45" t="str">
            <v>Female</v>
          </cell>
          <cell r="K45" t="str">
            <v>North</v>
          </cell>
          <cell r="L45" t="str">
            <v>Amritsar</v>
          </cell>
          <cell r="M45" t="str">
            <v>Sports</v>
          </cell>
          <cell r="N45" t="str">
            <v>Cricket Bat</v>
          </cell>
          <cell r="P45">
            <v>8</v>
          </cell>
          <cell r="Q45">
            <v>3917.74</v>
          </cell>
          <cell r="S45">
            <v>0.27</v>
          </cell>
          <cell r="T45">
            <v>36596.17</v>
          </cell>
          <cell r="U45">
            <v>11271.87</v>
          </cell>
          <cell r="V45">
            <v>0.30800682147885972</v>
          </cell>
          <cell r="W45">
            <v>60.71</v>
          </cell>
          <cell r="X45" t="str">
            <v>Cash on Delivery</v>
          </cell>
          <cell r="Z45">
            <v>3</v>
          </cell>
          <cell r="AA45" t="b">
            <v>0</v>
          </cell>
          <cell r="AC45" t="str">
            <v>Delivered</v>
          </cell>
          <cell r="AE45">
            <v>8</v>
          </cell>
        </row>
        <row r="46">
          <cell r="C46">
            <v>44174</v>
          </cell>
          <cell r="D46" t="str">
            <v>CUST29818</v>
          </cell>
          <cell r="E46" t="str">
            <v>Meera Gupta</v>
          </cell>
          <cell r="G46">
            <v>34.294220665499125</v>
          </cell>
          <cell r="H46" t="str">
            <v>Young Adult</v>
          </cell>
          <cell r="J46" t="str">
            <v>Female</v>
          </cell>
          <cell r="K46" t="str">
            <v>South</v>
          </cell>
          <cell r="L46" t="str">
            <v>Kochi</v>
          </cell>
          <cell r="M46" t="str">
            <v>Furniture</v>
          </cell>
          <cell r="N46" t="str">
            <v>Bookshelf</v>
          </cell>
          <cell r="P46">
            <v>4</v>
          </cell>
          <cell r="Q46">
            <v>11267.5</v>
          </cell>
          <cell r="S46">
            <v>0.2</v>
          </cell>
          <cell r="T46">
            <v>24230.41</v>
          </cell>
          <cell r="U46">
            <v>7321.53</v>
          </cell>
          <cell r="V46">
            <v>0.30216286063669578</v>
          </cell>
          <cell r="W46">
            <v>70.73</v>
          </cell>
          <cell r="X46" t="str">
            <v>UPI</v>
          </cell>
          <cell r="Z46">
            <v>4</v>
          </cell>
          <cell r="AA46" t="b">
            <v>0</v>
          </cell>
          <cell r="AC46" t="str">
            <v>Delivered</v>
          </cell>
          <cell r="AE46">
            <v>1</v>
          </cell>
        </row>
        <row r="47">
          <cell r="C47">
            <v>45283</v>
          </cell>
          <cell r="D47" t="str">
            <v>CUST53286</v>
          </cell>
          <cell r="E47" t="str">
            <v>Kavya Verma</v>
          </cell>
          <cell r="G47">
            <v>34</v>
          </cell>
          <cell r="H47" t="str">
            <v>Young Adult</v>
          </cell>
          <cell r="J47" t="str">
            <v>Male</v>
          </cell>
          <cell r="K47" t="str">
            <v>East</v>
          </cell>
          <cell r="L47" t="str">
            <v>Patna</v>
          </cell>
          <cell r="M47" t="str">
            <v>Beauty</v>
          </cell>
          <cell r="N47" t="str">
            <v>Face Cream</v>
          </cell>
          <cell r="P47">
            <v>5</v>
          </cell>
          <cell r="Q47">
            <v>2497.1</v>
          </cell>
          <cell r="S47">
            <v>0.37</v>
          </cell>
          <cell r="T47">
            <v>6596.23</v>
          </cell>
          <cell r="U47">
            <v>2649.2</v>
          </cell>
          <cell r="V47">
            <v>0.40162335152048972</v>
          </cell>
          <cell r="W47">
            <v>61.27</v>
          </cell>
          <cell r="X47" t="str">
            <v>Cash on Delivery</v>
          </cell>
          <cell r="Z47">
            <v>1</v>
          </cell>
          <cell r="AA47" t="b">
            <v>0</v>
          </cell>
          <cell r="AC47" t="str">
            <v>Shipped</v>
          </cell>
          <cell r="AE47">
            <v>5</v>
          </cell>
        </row>
        <row r="48">
          <cell r="C48">
            <v>44822</v>
          </cell>
          <cell r="D48" t="str">
            <v>CUST94046</v>
          </cell>
          <cell r="E48" t="str">
            <v>Ananya Nair</v>
          </cell>
          <cell r="G48">
            <v>38</v>
          </cell>
          <cell r="H48" t="str">
            <v>Adult</v>
          </cell>
          <cell r="J48" t="str">
            <v>Other</v>
          </cell>
          <cell r="K48" t="str">
            <v>Central</v>
          </cell>
          <cell r="L48" t="str">
            <v>Raipur</v>
          </cell>
          <cell r="M48" t="str">
            <v>Electronics</v>
          </cell>
          <cell r="N48" t="str">
            <v>Camera</v>
          </cell>
          <cell r="P48">
            <v>5</v>
          </cell>
          <cell r="Q48">
            <v>11463.02</v>
          </cell>
          <cell r="S48">
            <v>0.34</v>
          </cell>
          <cell r="T48">
            <v>44107</v>
          </cell>
          <cell r="U48">
            <v>3355.55</v>
          </cell>
          <cell r="V48">
            <v>7.6077493368399585E-2</v>
          </cell>
          <cell r="W48">
            <v>36.32</v>
          </cell>
          <cell r="X48" t="str">
            <v>Cash on Delivery</v>
          </cell>
          <cell r="Z48">
            <v>5</v>
          </cell>
          <cell r="AA48" t="b">
            <v>0</v>
          </cell>
          <cell r="AC48" t="str">
            <v>Delivered</v>
          </cell>
          <cell r="AE48">
            <v>10</v>
          </cell>
        </row>
        <row r="49">
          <cell r="C49">
            <v>45618</v>
          </cell>
          <cell r="D49" t="str">
            <v>CUST99588</v>
          </cell>
          <cell r="E49" t="str">
            <v>Meera Kumar</v>
          </cell>
          <cell r="G49">
            <v>57</v>
          </cell>
          <cell r="H49" t="str">
            <v>Senior</v>
          </cell>
          <cell r="J49" t="str">
            <v>Female</v>
          </cell>
          <cell r="K49" t="str">
            <v>Central</v>
          </cell>
          <cell r="L49" t="str">
            <v>Indore</v>
          </cell>
          <cell r="M49" t="str">
            <v>Books</v>
          </cell>
          <cell r="N49" t="str">
            <v>Comic Book</v>
          </cell>
          <cell r="P49">
            <v>7</v>
          </cell>
          <cell r="Q49">
            <v>785.67</v>
          </cell>
          <cell r="S49">
            <v>0.12</v>
          </cell>
          <cell r="T49">
            <v>4582.79</v>
          </cell>
          <cell r="U49">
            <v>2037.5</v>
          </cell>
          <cell r="V49">
            <v>0.44459815963637872</v>
          </cell>
          <cell r="W49">
            <v>63.64</v>
          </cell>
          <cell r="X49" t="str">
            <v>Credit Card</v>
          </cell>
          <cell r="Z49">
            <v>3</v>
          </cell>
          <cell r="AA49" t="b">
            <v>0</v>
          </cell>
          <cell r="AC49" t="str">
            <v>Delivered</v>
          </cell>
          <cell r="AE49">
            <v>2</v>
          </cell>
        </row>
        <row r="50">
          <cell r="C50">
            <v>44151</v>
          </cell>
          <cell r="D50" t="str">
            <v>CUST43806</v>
          </cell>
          <cell r="E50" t="str">
            <v>Nikhil Reddy</v>
          </cell>
          <cell r="G50">
            <v>36</v>
          </cell>
          <cell r="H50" t="str">
            <v>Adult</v>
          </cell>
          <cell r="J50" t="str">
            <v>Female</v>
          </cell>
          <cell r="K50" t="str">
            <v>North</v>
          </cell>
          <cell r="L50" t="str">
            <v>Ludhiana</v>
          </cell>
          <cell r="M50" t="str">
            <v>Clothing</v>
          </cell>
          <cell r="N50" t="str">
            <v>Jeans</v>
          </cell>
          <cell r="P50">
            <v>2</v>
          </cell>
          <cell r="Q50">
            <v>1557.26</v>
          </cell>
          <cell r="S50">
            <v>0.13</v>
          </cell>
          <cell r="T50">
            <v>1859.03</v>
          </cell>
          <cell r="U50">
            <v>840.29</v>
          </cell>
          <cell r="V50">
            <v>0.45200454000204404</v>
          </cell>
          <cell r="W50">
            <v>50.66</v>
          </cell>
          <cell r="X50" t="str">
            <v>EMI</v>
          </cell>
          <cell r="Z50">
            <v>2</v>
          </cell>
          <cell r="AA50" t="b">
            <v>0</v>
          </cell>
          <cell r="AC50" t="str">
            <v>Delivered</v>
          </cell>
          <cell r="AE50">
            <v>10</v>
          </cell>
        </row>
        <row r="51">
          <cell r="C51">
            <v>44656</v>
          </cell>
          <cell r="D51" t="str">
            <v>CUST73941</v>
          </cell>
          <cell r="E51" t="str">
            <v>Aditya Mehta</v>
          </cell>
          <cell r="G51">
            <v>48</v>
          </cell>
          <cell r="H51" t="str">
            <v>Adult</v>
          </cell>
          <cell r="J51" t="str">
            <v>Male</v>
          </cell>
          <cell r="K51" t="str">
            <v>East</v>
          </cell>
          <cell r="L51" t="str">
            <v>Bhubaneswar</v>
          </cell>
          <cell r="M51" t="str">
            <v>Groceries</v>
          </cell>
          <cell r="N51" t="str">
            <v>Cooking Oil</v>
          </cell>
          <cell r="P51">
            <v>2</v>
          </cell>
          <cell r="Q51">
            <v>393.55</v>
          </cell>
          <cell r="S51">
            <v>0.02</v>
          </cell>
          <cell r="T51">
            <v>1057.6500000000001</v>
          </cell>
          <cell r="U51">
            <v>87.14</v>
          </cell>
          <cell r="V51">
            <v>8.2390204699097053E-2</v>
          </cell>
          <cell r="W51">
            <v>87.03</v>
          </cell>
          <cell r="X51" t="str">
            <v>Debit Card</v>
          </cell>
          <cell r="Z51">
            <v>1</v>
          </cell>
          <cell r="AA51" t="b">
            <v>0</v>
          </cell>
          <cell r="AC51" t="str">
            <v>Delivered</v>
          </cell>
          <cell r="AE51">
            <v>1</v>
          </cell>
        </row>
        <row r="52">
          <cell r="C52">
            <v>44306</v>
          </cell>
          <cell r="D52" t="str">
            <v>CUST61067</v>
          </cell>
          <cell r="E52" t="str">
            <v>Meera Chatterjee</v>
          </cell>
          <cell r="G52">
            <v>34</v>
          </cell>
          <cell r="H52" t="str">
            <v>Young Adult</v>
          </cell>
          <cell r="J52" t="str">
            <v>Female</v>
          </cell>
          <cell r="K52" t="str">
            <v>North</v>
          </cell>
          <cell r="L52" t="str">
            <v>Ludhiana</v>
          </cell>
          <cell r="M52" t="str">
            <v>Sports</v>
          </cell>
          <cell r="N52" t="str">
            <v>Football</v>
          </cell>
          <cell r="P52">
            <v>5</v>
          </cell>
          <cell r="Q52">
            <v>8244.31</v>
          </cell>
          <cell r="S52">
            <v>0.12</v>
          </cell>
          <cell r="T52">
            <v>49710.43</v>
          </cell>
          <cell r="U52">
            <v>13744.26</v>
          </cell>
          <cell r="V52">
            <v>0.27648644358940366</v>
          </cell>
          <cell r="W52">
            <v>51.59</v>
          </cell>
          <cell r="X52" t="str">
            <v>Cash on Delivery</v>
          </cell>
          <cell r="Z52">
            <v>1</v>
          </cell>
          <cell r="AA52" t="b">
            <v>0</v>
          </cell>
          <cell r="AC52" t="str">
            <v>Delivered</v>
          </cell>
          <cell r="AE52">
            <v>4</v>
          </cell>
        </row>
        <row r="53">
          <cell r="C53">
            <v>44701</v>
          </cell>
          <cell r="D53" t="str">
            <v>CUST46310</v>
          </cell>
          <cell r="E53" t="str">
            <v>Sanjay Kapoor</v>
          </cell>
          <cell r="G53">
            <v>28</v>
          </cell>
          <cell r="H53" t="str">
            <v>Young Adult</v>
          </cell>
          <cell r="J53" t="str">
            <v>Male</v>
          </cell>
          <cell r="K53" t="str">
            <v>East</v>
          </cell>
          <cell r="L53" t="str">
            <v>Guwahati</v>
          </cell>
          <cell r="M53" t="str">
            <v>Books</v>
          </cell>
          <cell r="N53" t="str">
            <v>Comic Book</v>
          </cell>
          <cell r="P53">
            <v>5</v>
          </cell>
          <cell r="Q53">
            <v>1063.6199999999999</v>
          </cell>
          <cell r="S53">
            <v>0.16</v>
          </cell>
          <cell r="T53">
            <v>6991.06</v>
          </cell>
          <cell r="U53">
            <v>2963.48</v>
          </cell>
          <cell r="V53">
            <v>0.42389566102994392</v>
          </cell>
          <cell r="W53">
            <v>62.28</v>
          </cell>
          <cell r="X53" t="str">
            <v>UPI</v>
          </cell>
          <cell r="Z53">
            <v>3</v>
          </cell>
          <cell r="AA53" t="b">
            <v>0</v>
          </cell>
          <cell r="AC53" t="str">
            <v>Delivered</v>
          </cell>
          <cell r="AE53">
            <v>5</v>
          </cell>
        </row>
        <row r="54">
          <cell r="C54">
            <v>45143</v>
          </cell>
          <cell r="D54" t="str">
            <v>CUST52453</v>
          </cell>
          <cell r="E54" t="str">
            <v>Vikram Shah</v>
          </cell>
          <cell r="G54">
            <v>34</v>
          </cell>
          <cell r="H54" t="str">
            <v>Young Adult</v>
          </cell>
          <cell r="J54" t="str">
            <v>Other</v>
          </cell>
          <cell r="K54" t="str">
            <v>North</v>
          </cell>
          <cell r="L54" t="str">
            <v>Amritsar</v>
          </cell>
          <cell r="M54" t="str">
            <v>Groceries</v>
          </cell>
          <cell r="N54" t="str">
            <v>Sugar</v>
          </cell>
          <cell r="P54">
            <v>7</v>
          </cell>
          <cell r="Q54">
            <v>315.62</v>
          </cell>
          <cell r="S54">
            <v>0.28000000000000003</v>
          </cell>
          <cell r="T54">
            <v>2026.01</v>
          </cell>
          <cell r="U54">
            <v>104.43</v>
          </cell>
          <cell r="V54">
            <v>5.1544661674917697E-2</v>
          </cell>
          <cell r="W54">
            <v>72.63</v>
          </cell>
          <cell r="X54" t="str">
            <v>Credit Card</v>
          </cell>
          <cell r="Z54">
            <v>5</v>
          </cell>
          <cell r="AA54" t="b">
            <v>0</v>
          </cell>
          <cell r="AC54" t="str">
            <v>Delivered</v>
          </cell>
          <cell r="AE54">
            <v>7</v>
          </cell>
        </row>
        <row r="55">
          <cell r="C55">
            <v>45063</v>
          </cell>
          <cell r="D55" t="str">
            <v>CUST55922</v>
          </cell>
          <cell r="E55" t="str">
            <v>Aditya Pillai</v>
          </cell>
          <cell r="G55">
            <v>51</v>
          </cell>
          <cell r="H55" t="str">
            <v>Senior</v>
          </cell>
          <cell r="J55" t="str">
            <v>Female</v>
          </cell>
          <cell r="K55" t="str">
            <v>West</v>
          </cell>
          <cell r="L55" t="str">
            <v>Ahmedabad</v>
          </cell>
          <cell r="M55" t="str">
            <v>Beauty</v>
          </cell>
          <cell r="N55" t="str">
            <v>Lipstick</v>
          </cell>
          <cell r="P55">
            <v>1</v>
          </cell>
          <cell r="Q55">
            <v>697.15</v>
          </cell>
          <cell r="S55">
            <v>0.18</v>
          </cell>
          <cell r="T55">
            <v>867.37</v>
          </cell>
          <cell r="U55">
            <v>335.66</v>
          </cell>
          <cell r="V55">
            <v>0.38698594602072933</v>
          </cell>
          <cell r="W55">
            <v>48.84</v>
          </cell>
          <cell r="X55" t="str">
            <v>Debit Card</v>
          </cell>
          <cell r="Z55">
            <v>3</v>
          </cell>
          <cell r="AA55" t="b">
            <v>0</v>
          </cell>
          <cell r="AC55" t="str">
            <v>Pending</v>
          </cell>
          <cell r="AE55">
            <v>10</v>
          </cell>
        </row>
        <row r="56">
          <cell r="C56">
            <v>44046</v>
          </cell>
          <cell r="D56" t="str">
            <v>CUST85726</v>
          </cell>
          <cell r="E56" t="str">
            <v>Ritu Verma</v>
          </cell>
          <cell r="G56">
            <v>34</v>
          </cell>
          <cell r="H56" t="str">
            <v>Young Adult</v>
          </cell>
          <cell r="J56" t="str">
            <v>Male</v>
          </cell>
          <cell r="K56" t="str">
            <v>Central</v>
          </cell>
          <cell r="L56" t="str">
            <v>Raipur</v>
          </cell>
          <cell r="M56" t="str">
            <v>Electronics</v>
          </cell>
          <cell r="N56" t="str">
            <v>Tablet</v>
          </cell>
          <cell r="P56">
            <v>2</v>
          </cell>
          <cell r="Q56">
            <v>52363.15</v>
          </cell>
          <cell r="S56">
            <v>0.25</v>
          </cell>
          <cell r="T56">
            <v>89225.91</v>
          </cell>
          <cell r="U56">
            <v>14474.33</v>
          </cell>
          <cell r="V56">
            <v>0.16222115302606607</v>
          </cell>
          <cell r="W56">
            <v>45.26</v>
          </cell>
          <cell r="X56" t="str">
            <v>Net Banking</v>
          </cell>
          <cell r="Z56">
            <v>2</v>
          </cell>
          <cell r="AA56" t="b">
            <v>0</v>
          </cell>
          <cell r="AC56" t="str">
            <v>Pending</v>
          </cell>
          <cell r="AE56">
            <v>9</v>
          </cell>
        </row>
        <row r="57">
          <cell r="C57">
            <v>43986</v>
          </cell>
          <cell r="D57" t="str">
            <v>CUST12024</v>
          </cell>
          <cell r="E57" t="str">
            <v>Shreya Kumar</v>
          </cell>
          <cell r="G57">
            <v>37</v>
          </cell>
          <cell r="H57" t="str">
            <v>Adult</v>
          </cell>
          <cell r="J57" t="str">
            <v>Male</v>
          </cell>
          <cell r="K57" t="str">
            <v>West</v>
          </cell>
          <cell r="L57" t="str">
            <v>Surat</v>
          </cell>
          <cell r="M57" t="str">
            <v>Sports</v>
          </cell>
          <cell r="N57" t="str">
            <v>Football</v>
          </cell>
          <cell r="P57">
            <v>3</v>
          </cell>
          <cell r="Q57">
            <v>2684.91</v>
          </cell>
          <cell r="S57">
            <v>0.15</v>
          </cell>
          <cell r="T57">
            <v>9541.81</v>
          </cell>
          <cell r="U57">
            <v>2543.29</v>
          </cell>
          <cell r="V57">
            <v>0.26654167291111436</v>
          </cell>
          <cell r="W57">
            <v>67.28</v>
          </cell>
          <cell r="X57" t="str">
            <v>Net Banking</v>
          </cell>
          <cell r="Z57">
            <v>2</v>
          </cell>
          <cell r="AA57" t="b">
            <v>0</v>
          </cell>
          <cell r="AC57" t="str">
            <v>Delivered</v>
          </cell>
          <cell r="AE57">
            <v>9</v>
          </cell>
        </row>
        <row r="58">
          <cell r="C58">
            <v>45160</v>
          </cell>
          <cell r="D58" t="str">
            <v>CUST01739</v>
          </cell>
          <cell r="E58" t="str">
            <v>Rohan Nair</v>
          </cell>
          <cell r="G58">
            <v>42</v>
          </cell>
          <cell r="H58" t="str">
            <v>Adult</v>
          </cell>
          <cell r="J58" t="str">
            <v>Female</v>
          </cell>
          <cell r="K58" t="str">
            <v>North</v>
          </cell>
          <cell r="L58" t="str">
            <v>Amritsar</v>
          </cell>
          <cell r="M58" t="str">
            <v>Books</v>
          </cell>
          <cell r="N58" t="str">
            <v>Fiction Novel</v>
          </cell>
          <cell r="P58">
            <v>4</v>
          </cell>
          <cell r="Q58">
            <v>889.6</v>
          </cell>
          <cell r="S58">
            <v>0.36</v>
          </cell>
          <cell r="T58">
            <v>3597.1</v>
          </cell>
          <cell r="U58">
            <v>1076.9100000000001</v>
          </cell>
          <cell r="V58">
            <v>0.2993828361735843</v>
          </cell>
          <cell r="W58">
            <v>58.16</v>
          </cell>
          <cell r="X58" t="str">
            <v>Credit Card</v>
          </cell>
          <cell r="Z58">
            <v>3</v>
          </cell>
          <cell r="AA58" t="b">
            <v>1</v>
          </cell>
          <cell r="AC58" t="str">
            <v>Returned</v>
          </cell>
          <cell r="AE58">
            <v>3</v>
          </cell>
        </row>
        <row r="59">
          <cell r="C59">
            <v>43984</v>
          </cell>
          <cell r="D59" t="str">
            <v>CUST75375</v>
          </cell>
          <cell r="E59" t="str">
            <v>Priya Joshi</v>
          </cell>
          <cell r="G59">
            <v>41</v>
          </cell>
          <cell r="H59" t="str">
            <v>Adult</v>
          </cell>
          <cell r="J59" t="str">
            <v>Female</v>
          </cell>
          <cell r="K59" t="str">
            <v>Central</v>
          </cell>
          <cell r="L59" t="str">
            <v>Nagpur</v>
          </cell>
          <cell r="M59" t="str">
            <v>Clothing</v>
          </cell>
          <cell r="N59" t="str">
            <v>Jeans</v>
          </cell>
          <cell r="P59">
            <v>2</v>
          </cell>
          <cell r="Q59">
            <v>1548.43</v>
          </cell>
          <cell r="S59">
            <v>0.38</v>
          </cell>
          <cell r="T59">
            <v>2480.54</v>
          </cell>
          <cell r="U59">
            <v>866.5</v>
          </cell>
          <cell r="V59">
            <v>0.34931909987341464</v>
          </cell>
          <cell r="W59">
            <v>49.01</v>
          </cell>
          <cell r="X59" t="str">
            <v>EMI</v>
          </cell>
          <cell r="Z59">
            <v>1</v>
          </cell>
          <cell r="AA59" t="b">
            <v>0</v>
          </cell>
          <cell r="AC59" t="str">
            <v>Delivered</v>
          </cell>
          <cell r="AE59">
            <v>5</v>
          </cell>
        </row>
        <row r="60">
          <cell r="C60">
            <v>45465</v>
          </cell>
          <cell r="D60" t="str">
            <v>CUST35687</v>
          </cell>
          <cell r="E60" t="str">
            <v>Deepa Nair</v>
          </cell>
          <cell r="G60">
            <v>42</v>
          </cell>
          <cell r="H60" t="str">
            <v>Adult</v>
          </cell>
          <cell r="J60" t="str">
            <v>Other</v>
          </cell>
          <cell r="K60" t="str">
            <v>West</v>
          </cell>
          <cell r="L60" t="str">
            <v>Surat</v>
          </cell>
          <cell r="M60" t="str">
            <v>Books</v>
          </cell>
          <cell r="N60" t="str">
            <v>Comic Book</v>
          </cell>
          <cell r="P60">
            <v>1</v>
          </cell>
          <cell r="Q60">
            <v>787.78</v>
          </cell>
          <cell r="S60">
            <v>0.15</v>
          </cell>
          <cell r="T60">
            <v>1146.29</v>
          </cell>
          <cell r="U60">
            <v>520.99</v>
          </cell>
          <cell r="V60">
            <v>0.45450104249360984</v>
          </cell>
          <cell r="W60">
            <v>47.1</v>
          </cell>
          <cell r="X60" t="str">
            <v>Credit Card</v>
          </cell>
          <cell r="Z60">
            <v>2</v>
          </cell>
          <cell r="AA60" t="b">
            <v>0</v>
          </cell>
          <cell r="AC60" t="str">
            <v>Delivered</v>
          </cell>
          <cell r="AE60">
            <v>9</v>
          </cell>
        </row>
        <row r="61">
          <cell r="C61">
            <v>43873</v>
          </cell>
          <cell r="D61" t="str">
            <v>CUST33188</v>
          </cell>
          <cell r="E61" t="str">
            <v>Sanjay Joshi</v>
          </cell>
          <cell r="G61">
            <v>48</v>
          </cell>
          <cell r="H61" t="str">
            <v>Adult</v>
          </cell>
          <cell r="J61" t="str">
            <v>Female</v>
          </cell>
          <cell r="K61" t="str">
            <v>South</v>
          </cell>
          <cell r="L61" t="str">
            <v>Kochi</v>
          </cell>
          <cell r="M61" t="str">
            <v>Sports</v>
          </cell>
          <cell r="N61" t="str">
            <v>Cycle</v>
          </cell>
          <cell r="P61">
            <v>3</v>
          </cell>
          <cell r="Q61">
            <v>6047.51</v>
          </cell>
          <cell r="S61">
            <v>0.08</v>
          </cell>
          <cell r="T61">
            <v>13365.94</v>
          </cell>
          <cell r="U61">
            <v>2741.49</v>
          </cell>
          <cell r="V61">
            <v>0.20511015312054368</v>
          </cell>
          <cell r="W61">
            <v>36.15</v>
          </cell>
          <cell r="X61" t="str">
            <v>Debit Card</v>
          </cell>
          <cell r="Z61">
            <v>4</v>
          </cell>
          <cell r="AA61" t="b">
            <v>0</v>
          </cell>
          <cell r="AC61" t="str">
            <v>Delivered</v>
          </cell>
          <cell r="AE61">
            <v>3</v>
          </cell>
        </row>
        <row r="62">
          <cell r="C62">
            <v>43929</v>
          </cell>
          <cell r="D62" t="str">
            <v>CUST97307</v>
          </cell>
          <cell r="E62" t="str">
            <v>Ritu Gupta</v>
          </cell>
          <cell r="G62">
            <v>37</v>
          </cell>
          <cell r="H62" t="str">
            <v>Adult</v>
          </cell>
          <cell r="J62" t="str">
            <v>Male</v>
          </cell>
          <cell r="K62" t="str">
            <v>Central</v>
          </cell>
          <cell r="L62" t="str">
            <v>Nagpur</v>
          </cell>
          <cell r="M62" t="str">
            <v>Sports</v>
          </cell>
          <cell r="N62" t="str">
            <v>Tennis Racket</v>
          </cell>
          <cell r="P62">
            <v>1</v>
          </cell>
          <cell r="Q62">
            <v>5935.12</v>
          </cell>
          <cell r="S62">
            <v>0.08</v>
          </cell>
          <cell r="T62">
            <v>6293.66</v>
          </cell>
          <cell r="U62">
            <v>1165.6300000000001</v>
          </cell>
          <cell r="V62">
            <v>0.18520701785606469</v>
          </cell>
          <cell r="W62">
            <v>47.97</v>
          </cell>
          <cell r="X62" t="str">
            <v>Credit Card</v>
          </cell>
          <cell r="Z62">
            <v>5</v>
          </cell>
          <cell r="AA62" t="b">
            <v>0</v>
          </cell>
          <cell r="AC62" t="str">
            <v>Delivered</v>
          </cell>
          <cell r="AE62">
            <v>7</v>
          </cell>
        </row>
        <row r="63">
          <cell r="C63">
            <v>44405</v>
          </cell>
          <cell r="D63" t="str">
            <v>CUST00699</v>
          </cell>
          <cell r="E63" t="str">
            <v>Shreya Nair</v>
          </cell>
          <cell r="G63">
            <v>51</v>
          </cell>
          <cell r="H63" t="str">
            <v>Senior</v>
          </cell>
          <cell r="J63" t="str">
            <v>Female</v>
          </cell>
          <cell r="K63" t="str">
            <v>West</v>
          </cell>
          <cell r="L63" t="str">
            <v>Pune</v>
          </cell>
          <cell r="M63" t="str">
            <v>Books</v>
          </cell>
          <cell r="N63" t="str">
            <v>Textbook</v>
          </cell>
          <cell r="P63">
            <v>7.0954861111111107</v>
          </cell>
          <cell r="Q63">
            <v>1490.57</v>
          </cell>
          <cell r="S63">
            <v>0.13</v>
          </cell>
          <cell r="T63">
            <v>1761.29</v>
          </cell>
          <cell r="U63">
            <v>922.64</v>
          </cell>
          <cell r="V63">
            <v>0.52384331938522333</v>
          </cell>
          <cell r="W63">
            <v>65.569999999999993</v>
          </cell>
          <cell r="X63" t="str">
            <v>EMI</v>
          </cell>
          <cell r="Z63">
            <v>1</v>
          </cell>
          <cell r="AA63" t="b">
            <v>0</v>
          </cell>
          <cell r="AC63" t="str">
            <v>Delivered</v>
          </cell>
          <cell r="AE63">
            <v>7</v>
          </cell>
        </row>
        <row r="64">
          <cell r="C64">
            <v>44676</v>
          </cell>
          <cell r="D64" t="str">
            <v>CUST02114</v>
          </cell>
          <cell r="E64" t="str">
            <v>Ananya Verma</v>
          </cell>
          <cell r="G64">
            <v>34.294220665499125</v>
          </cell>
          <cell r="H64" t="str">
            <v>Young Adult</v>
          </cell>
          <cell r="J64" t="str">
            <v>Male</v>
          </cell>
          <cell r="K64" t="str">
            <v>South</v>
          </cell>
          <cell r="L64" t="str">
            <v>Chennai</v>
          </cell>
          <cell r="M64" t="str">
            <v>Clothing</v>
          </cell>
          <cell r="N64" t="str">
            <v>T-Shirt</v>
          </cell>
          <cell r="P64">
            <v>2</v>
          </cell>
          <cell r="Q64">
            <v>1244.43</v>
          </cell>
          <cell r="S64">
            <v>0.23</v>
          </cell>
          <cell r="T64">
            <v>2660.47</v>
          </cell>
          <cell r="U64">
            <v>1061.94</v>
          </cell>
          <cell r="V64">
            <v>0.39915503651610434</v>
          </cell>
          <cell r="W64">
            <v>75.05</v>
          </cell>
          <cell r="X64" t="str">
            <v>Net Banking</v>
          </cell>
          <cell r="Z64">
            <v>5</v>
          </cell>
          <cell r="AA64" t="b">
            <v>0</v>
          </cell>
          <cell r="AC64" t="str">
            <v>Delivered</v>
          </cell>
          <cell r="AE64">
            <v>2</v>
          </cell>
        </row>
        <row r="65">
          <cell r="C65">
            <v>44811</v>
          </cell>
          <cell r="D65" t="str">
            <v>CUST68290</v>
          </cell>
          <cell r="E65" t="str">
            <v>Karan Kapoor</v>
          </cell>
          <cell r="G65">
            <v>38</v>
          </cell>
          <cell r="H65" t="str">
            <v>Adult</v>
          </cell>
          <cell r="J65" t="str">
            <v>Other</v>
          </cell>
          <cell r="K65" t="str">
            <v>North</v>
          </cell>
          <cell r="L65" t="str">
            <v>Chandigarh</v>
          </cell>
          <cell r="M65" t="str">
            <v>Furniture</v>
          </cell>
          <cell r="N65" t="str">
            <v>Chair</v>
          </cell>
          <cell r="P65">
            <v>2</v>
          </cell>
          <cell r="Q65">
            <v>22082.21</v>
          </cell>
          <cell r="S65">
            <v>0.19793402777777783</v>
          </cell>
          <cell r="T65">
            <v>51389.35</v>
          </cell>
          <cell r="U65">
            <v>9844.24</v>
          </cell>
          <cell r="V65">
            <v>0.19156187030970426</v>
          </cell>
          <cell r="W65">
            <v>70.14</v>
          </cell>
          <cell r="X65" t="str">
            <v>Debit Card</v>
          </cell>
          <cell r="Z65">
            <v>1</v>
          </cell>
          <cell r="AA65" t="b">
            <v>0</v>
          </cell>
          <cell r="AC65" t="str">
            <v>Pending</v>
          </cell>
          <cell r="AE65">
            <v>7</v>
          </cell>
        </row>
        <row r="66">
          <cell r="C66">
            <v>44272</v>
          </cell>
          <cell r="D66" t="str">
            <v>CUST15832</v>
          </cell>
          <cell r="E66" t="str">
            <v>Aarav Pillai</v>
          </cell>
          <cell r="G66">
            <v>22</v>
          </cell>
          <cell r="H66" t="str">
            <v>Young Adult</v>
          </cell>
          <cell r="J66" t="str">
            <v>Other</v>
          </cell>
          <cell r="K66" t="str">
            <v>East</v>
          </cell>
          <cell r="L66" t="str">
            <v>Kolkata</v>
          </cell>
          <cell r="M66" t="str">
            <v>Electronics</v>
          </cell>
          <cell r="N66" t="str">
            <v>Laptop</v>
          </cell>
          <cell r="P66">
            <v>4</v>
          </cell>
          <cell r="Q66">
            <v>11157.11</v>
          </cell>
          <cell r="S66">
            <v>0.38</v>
          </cell>
          <cell r="T66">
            <v>32774.69</v>
          </cell>
          <cell r="U66">
            <v>3797.24</v>
          </cell>
          <cell r="V66">
            <v>0.11585891430246936</v>
          </cell>
          <cell r="W66">
            <v>55.14</v>
          </cell>
          <cell r="X66" t="str">
            <v>Credit Card</v>
          </cell>
          <cell r="Z66">
            <v>1</v>
          </cell>
          <cell r="AA66" t="b">
            <v>1</v>
          </cell>
          <cell r="AC66" t="str">
            <v>Returned</v>
          </cell>
          <cell r="AE66">
            <v>8</v>
          </cell>
        </row>
        <row r="67">
          <cell r="C67">
            <v>44229</v>
          </cell>
          <cell r="D67" t="str">
            <v>CUST52790</v>
          </cell>
          <cell r="E67" t="str">
            <v>Deepa Pillai</v>
          </cell>
          <cell r="G67">
            <v>17</v>
          </cell>
          <cell r="H67" t="str">
            <v>Teen</v>
          </cell>
          <cell r="J67" t="str">
            <v>Other</v>
          </cell>
          <cell r="K67" t="str">
            <v>East</v>
          </cell>
          <cell r="L67" t="str">
            <v>Kolkata</v>
          </cell>
          <cell r="M67" t="str">
            <v>Books</v>
          </cell>
          <cell r="N67" t="str">
            <v>Comic Book</v>
          </cell>
          <cell r="P67">
            <v>7</v>
          </cell>
          <cell r="Q67">
            <v>914.96</v>
          </cell>
          <cell r="S67">
            <v>0.36</v>
          </cell>
          <cell r="T67">
            <v>3687.74</v>
          </cell>
          <cell r="U67">
            <v>1423.3</v>
          </cell>
          <cell r="V67">
            <v>0.38595454126375506</v>
          </cell>
          <cell r="W67">
            <v>77.84</v>
          </cell>
          <cell r="X67" t="str">
            <v>UPI</v>
          </cell>
          <cell r="Z67">
            <v>3</v>
          </cell>
          <cell r="AA67" t="b">
            <v>0</v>
          </cell>
          <cell r="AC67" t="str">
            <v>Delivered</v>
          </cell>
          <cell r="AE67">
            <v>5</v>
          </cell>
        </row>
        <row r="68">
          <cell r="C68">
            <v>44432</v>
          </cell>
          <cell r="D68" t="str">
            <v>CUST94587</v>
          </cell>
          <cell r="E68" t="str">
            <v>Aditya Gupta</v>
          </cell>
          <cell r="G68">
            <v>32</v>
          </cell>
          <cell r="H68" t="str">
            <v>Young Adult</v>
          </cell>
          <cell r="J68" t="str">
            <v>Male</v>
          </cell>
          <cell r="K68" t="str">
            <v>North</v>
          </cell>
          <cell r="L68" t="str">
            <v>Chandigarh</v>
          </cell>
          <cell r="M68" t="str">
            <v>Clothing</v>
          </cell>
          <cell r="N68" t="str">
            <v>Jacket</v>
          </cell>
          <cell r="P68">
            <v>5</v>
          </cell>
          <cell r="Q68">
            <v>1008.19</v>
          </cell>
          <cell r="S68">
            <v>0.27</v>
          </cell>
          <cell r="T68">
            <v>4205.92</v>
          </cell>
          <cell r="U68">
            <v>1377.84</v>
          </cell>
          <cell r="V68">
            <v>0.32759538935595539</v>
          </cell>
          <cell r="W68">
            <v>53.22</v>
          </cell>
          <cell r="X68" t="str">
            <v>UPI</v>
          </cell>
          <cell r="Z68">
            <v>1</v>
          </cell>
          <cell r="AA68" t="b">
            <v>0</v>
          </cell>
          <cell r="AC68" t="str">
            <v>Delivered</v>
          </cell>
          <cell r="AE68">
            <v>4</v>
          </cell>
        </row>
        <row r="69">
          <cell r="C69">
            <v>45234</v>
          </cell>
          <cell r="D69" t="str">
            <v>CUST43818</v>
          </cell>
          <cell r="E69" t="str">
            <v>Arjun Bhat</v>
          </cell>
          <cell r="G69">
            <v>30</v>
          </cell>
          <cell r="H69" t="str">
            <v>Young Adult</v>
          </cell>
          <cell r="J69" t="str">
            <v>Male</v>
          </cell>
          <cell r="K69" t="str">
            <v>South</v>
          </cell>
          <cell r="L69" t="str">
            <v>Kochi</v>
          </cell>
          <cell r="M69" t="str">
            <v>Clothing</v>
          </cell>
          <cell r="N69" t="str">
            <v>Saree</v>
          </cell>
          <cell r="P69">
            <v>7</v>
          </cell>
          <cell r="Q69">
            <v>2102.17</v>
          </cell>
          <cell r="S69">
            <v>0.13</v>
          </cell>
          <cell r="T69">
            <v>11565.64</v>
          </cell>
          <cell r="U69">
            <v>3358.13</v>
          </cell>
          <cell r="V69">
            <v>0.29035401413151374</v>
          </cell>
          <cell r="W69">
            <v>62.02</v>
          </cell>
          <cell r="X69" t="str">
            <v>Net Banking</v>
          </cell>
          <cell r="Z69">
            <v>3</v>
          </cell>
          <cell r="AA69" t="b">
            <v>0</v>
          </cell>
          <cell r="AC69" t="str">
            <v>Shipped</v>
          </cell>
          <cell r="AE69">
            <v>8</v>
          </cell>
        </row>
        <row r="70">
          <cell r="C70">
            <v>43869</v>
          </cell>
          <cell r="D70" t="str">
            <v>CUST15599</v>
          </cell>
          <cell r="E70" t="str">
            <v>Karan Shah</v>
          </cell>
          <cell r="G70">
            <v>33</v>
          </cell>
          <cell r="H70" t="str">
            <v>Young Adult</v>
          </cell>
          <cell r="J70" t="str">
            <v>Other</v>
          </cell>
          <cell r="K70" t="str">
            <v>West</v>
          </cell>
          <cell r="L70" t="str">
            <v>Pune</v>
          </cell>
          <cell r="M70" t="str">
            <v>Furniture</v>
          </cell>
          <cell r="N70" t="str">
            <v>Chair</v>
          </cell>
          <cell r="P70">
            <v>9</v>
          </cell>
          <cell r="Q70">
            <v>22687.65</v>
          </cell>
          <cell r="S70">
            <v>0.33</v>
          </cell>
          <cell r="T70">
            <v>117568.37</v>
          </cell>
          <cell r="U70">
            <v>33050.92</v>
          </cell>
          <cell r="V70">
            <v>0.2811208490855151</v>
          </cell>
          <cell r="W70">
            <v>45.04</v>
          </cell>
          <cell r="X70" t="str">
            <v>Net Banking</v>
          </cell>
          <cell r="Z70">
            <v>3</v>
          </cell>
          <cell r="AA70" t="b">
            <v>0</v>
          </cell>
          <cell r="AC70" t="str">
            <v>Delivered</v>
          </cell>
          <cell r="AE70">
            <v>2</v>
          </cell>
        </row>
        <row r="71">
          <cell r="C71">
            <v>44217</v>
          </cell>
          <cell r="D71" t="str">
            <v>CUST59483</v>
          </cell>
          <cell r="E71" t="str">
            <v>Nisha Shah</v>
          </cell>
          <cell r="G71">
            <v>26</v>
          </cell>
          <cell r="H71" t="str">
            <v>Young Adult</v>
          </cell>
          <cell r="J71" t="str">
            <v>Other</v>
          </cell>
          <cell r="K71" t="str">
            <v>North</v>
          </cell>
          <cell r="L71" t="str">
            <v>Ludhiana</v>
          </cell>
          <cell r="M71" t="str">
            <v>Electronics</v>
          </cell>
          <cell r="N71" t="str">
            <v>Smartwatch</v>
          </cell>
          <cell r="P71">
            <v>10</v>
          </cell>
          <cell r="Q71">
            <v>57148.46</v>
          </cell>
          <cell r="S71">
            <v>0.06</v>
          </cell>
          <cell r="T71">
            <v>443615.41</v>
          </cell>
          <cell r="U71">
            <v>48368.13</v>
          </cell>
          <cell r="V71">
            <v>0.10903167227666866</v>
          </cell>
          <cell r="W71">
            <v>33.07</v>
          </cell>
          <cell r="X71" t="str">
            <v>EMI</v>
          </cell>
          <cell r="Z71">
            <v>1</v>
          </cell>
          <cell r="AA71" t="b">
            <v>1</v>
          </cell>
          <cell r="AC71" t="str">
            <v>Returned</v>
          </cell>
          <cell r="AE71">
            <v>5</v>
          </cell>
        </row>
        <row r="72">
          <cell r="C72">
            <v>45072</v>
          </cell>
          <cell r="D72" t="str">
            <v>CUST30753</v>
          </cell>
          <cell r="E72" t="str">
            <v>Deepa Chatterjee</v>
          </cell>
          <cell r="G72">
            <v>28</v>
          </cell>
          <cell r="H72" t="str">
            <v>Young Adult</v>
          </cell>
          <cell r="J72" t="str">
            <v>Male</v>
          </cell>
          <cell r="K72" t="str">
            <v>North</v>
          </cell>
          <cell r="L72" t="str">
            <v>Chandigarh</v>
          </cell>
          <cell r="M72" t="str">
            <v>Furniture</v>
          </cell>
          <cell r="N72" t="str">
            <v>Bookshelf</v>
          </cell>
          <cell r="P72">
            <v>7.0954861111111107</v>
          </cell>
          <cell r="Q72">
            <v>5493.74</v>
          </cell>
          <cell r="S72">
            <v>0.2</v>
          </cell>
          <cell r="T72">
            <v>6967.21</v>
          </cell>
          <cell r="U72">
            <v>1809.32</v>
          </cell>
          <cell r="V72">
            <v>0.25969075139115944</v>
          </cell>
          <cell r="W72">
            <v>49</v>
          </cell>
          <cell r="X72" t="str">
            <v>Credit Card</v>
          </cell>
          <cell r="Z72">
            <v>1</v>
          </cell>
          <cell r="AA72" t="b">
            <v>0</v>
          </cell>
          <cell r="AC72" t="str">
            <v>Delivered</v>
          </cell>
          <cell r="AE72">
            <v>5</v>
          </cell>
        </row>
        <row r="73">
          <cell r="C73">
            <v>45204</v>
          </cell>
          <cell r="D73" t="str">
            <v>CUST99258</v>
          </cell>
          <cell r="E73" t="str">
            <v>Ananya Joshi</v>
          </cell>
          <cell r="G73">
            <v>45</v>
          </cell>
          <cell r="H73" t="str">
            <v>Adult</v>
          </cell>
          <cell r="J73" t="str">
            <v>Other</v>
          </cell>
          <cell r="K73" t="str">
            <v>Central</v>
          </cell>
          <cell r="L73" t="str">
            <v>Raipur</v>
          </cell>
          <cell r="M73" t="str">
            <v>Furniture</v>
          </cell>
          <cell r="N73" t="str">
            <v>Sofa</v>
          </cell>
          <cell r="P73">
            <v>2</v>
          </cell>
          <cell r="Q73">
            <v>7616.64</v>
          </cell>
          <cell r="S73">
            <v>0.34</v>
          </cell>
          <cell r="T73">
            <v>11304.13</v>
          </cell>
          <cell r="U73">
            <v>3661.21</v>
          </cell>
          <cell r="V73">
            <v>0.32388251019760039</v>
          </cell>
          <cell r="W73">
            <v>29.23</v>
          </cell>
          <cell r="X73" t="str">
            <v>Net Banking</v>
          </cell>
          <cell r="Z73">
            <v>4</v>
          </cell>
          <cell r="AA73" t="b">
            <v>0</v>
          </cell>
          <cell r="AC73" t="str">
            <v>Delivered</v>
          </cell>
          <cell r="AE73">
            <v>1</v>
          </cell>
        </row>
        <row r="74">
          <cell r="C74">
            <v>44739</v>
          </cell>
          <cell r="D74" t="str">
            <v>CUST44617</v>
          </cell>
          <cell r="E74" t="str">
            <v>Nikhil Reddy</v>
          </cell>
          <cell r="G74">
            <v>21</v>
          </cell>
          <cell r="H74" t="str">
            <v>Young Adult</v>
          </cell>
          <cell r="J74" t="str">
            <v>Other</v>
          </cell>
          <cell r="K74" t="str">
            <v>South</v>
          </cell>
          <cell r="L74" t="str">
            <v>Bangalore</v>
          </cell>
          <cell r="M74" t="str">
            <v>Furniture</v>
          </cell>
          <cell r="N74" t="str">
            <v>Desk</v>
          </cell>
          <cell r="P74">
            <v>8</v>
          </cell>
          <cell r="Q74">
            <v>3549.62</v>
          </cell>
          <cell r="S74">
            <v>0.22</v>
          </cell>
          <cell r="T74">
            <v>30702.91</v>
          </cell>
          <cell r="U74">
            <v>10062.41</v>
          </cell>
          <cell r="V74">
            <v>0.32773473263609215</v>
          </cell>
          <cell r="W74">
            <v>77.819999999999993</v>
          </cell>
          <cell r="X74" t="str">
            <v>EMI</v>
          </cell>
          <cell r="Z74">
            <v>5</v>
          </cell>
          <cell r="AA74" t="b">
            <v>1</v>
          </cell>
          <cell r="AC74" t="str">
            <v>Returned</v>
          </cell>
          <cell r="AE74">
            <v>5</v>
          </cell>
        </row>
        <row r="75">
          <cell r="C75">
            <v>45167</v>
          </cell>
          <cell r="D75" t="str">
            <v>CUST21970</v>
          </cell>
          <cell r="E75" t="str">
            <v>Rahul Verma</v>
          </cell>
          <cell r="G75">
            <v>34.294220665499125</v>
          </cell>
          <cell r="H75" t="str">
            <v>Young Adult</v>
          </cell>
          <cell r="J75" t="str">
            <v>Other</v>
          </cell>
          <cell r="K75" t="str">
            <v>East</v>
          </cell>
          <cell r="L75" t="str">
            <v>Bhubaneswar</v>
          </cell>
          <cell r="M75" t="str">
            <v>Electronics</v>
          </cell>
          <cell r="N75" t="str">
            <v>Headphones</v>
          </cell>
          <cell r="P75">
            <v>3</v>
          </cell>
          <cell r="Q75">
            <v>15632.25</v>
          </cell>
          <cell r="S75">
            <v>0.34</v>
          </cell>
          <cell r="T75">
            <v>44298.79</v>
          </cell>
          <cell r="U75">
            <v>4132.26</v>
          </cell>
          <cell r="V75">
            <v>9.3281554642914627E-2</v>
          </cell>
          <cell r="W75">
            <v>65.5</v>
          </cell>
          <cell r="X75" t="str">
            <v>UPI</v>
          </cell>
          <cell r="Z75">
            <v>5</v>
          </cell>
          <cell r="AA75" t="b">
            <v>0</v>
          </cell>
          <cell r="AC75" t="str">
            <v>Delivered</v>
          </cell>
          <cell r="AE75">
            <v>1</v>
          </cell>
        </row>
        <row r="76">
          <cell r="C76">
            <v>44808</v>
          </cell>
          <cell r="D76" t="str">
            <v>CUST64655</v>
          </cell>
          <cell r="E76" t="str">
            <v>Kavya Patel</v>
          </cell>
          <cell r="G76">
            <v>21</v>
          </cell>
          <cell r="H76" t="str">
            <v>Young Adult</v>
          </cell>
          <cell r="J76" t="str">
            <v>Female</v>
          </cell>
          <cell r="K76" t="str">
            <v>East</v>
          </cell>
          <cell r="L76" t="str">
            <v>Guwahati</v>
          </cell>
          <cell r="M76" t="str">
            <v>Electronics</v>
          </cell>
          <cell r="N76" t="str">
            <v>Headphones</v>
          </cell>
          <cell r="P76">
            <v>4</v>
          </cell>
          <cell r="Q76">
            <v>41499.339999999997</v>
          </cell>
          <cell r="S76">
            <v>0</v>
          </cell>
          <cell r="T76">
            <v>175476.12</v>
          </cell>
          <cell r="U76">
            <v>19809.16</v>
          </cell>
          <cell r="V76">
            <v>0.11288806704866737</v>
          </cell>
          <cell r="W76">
            <v>73.44</v>
          </cell>
          <cell r="X76" t="str">
            <v>Debit Card</v>
          </cell>
          <cell r="Z76">
            <v>4</v>
          </cell>
          <cell r="AA76" t="b">
            <v>0</v>
          </cell>
          <cell r="AC76" t="str">
            <v>Shipped</v>
          </cell>
          <cell r="AE76">
            <v>1</v>
          </cell>
        </row>
        <row r="77">
          <cell r="C77">
            <v>44408</v>
          </cell>
          <cell r="D77" t="str">
            <v>CUST65126</v>
          </cell>
          <cell r="E77" t="str">
            <v>Arjun Mishra</v>
          </cell>
          <cell r="G77">
            <v>48</v>
          </cell>
          <cell r="H77" t="str">
            <v>Adult</v>
          </cell>
          <cell r="J77" t="str">
            <v>Other</v>
          </cell>
          <cell r="K77" t="str">
            <v>East</v>
          </cell>
          <cell r="L77" t="str">
            <v>Bhubaneswar</v>
          </cell>
          <cell r="M77" t="str">
            <v>Clothing</v>
          </cell>
          <cell r="N77" t="str">
            <v>Kurta</v>
          </cell>
          <cell r="P77">
            <v>7.0954861111111107</v>
          </cell>
          <cell r="Q77">
            <v>3288.5</v>
          </cell>
          <cell r="S77">
            <v>0.01</v>
          </cell>
          <cell r="T77">
            <v>4673.0200000000004</v>
          </cell>
          <cell r="U77">
            <v>1513.25</v>
          </cell>
          <cell r="V77">
            <v>0.32382698982670732</v>
          </cell>
          <cell r="W77">
            <v>103.27</v>
          </cell>
          <cell r="X77" t="str">
            <v>Cash on Delivery</v>
          </cell>
          <cell r="Z77">
            <v>3</v>
          </cell>
          <cell r="AA77" t="b">
            <v>0</v>
          </cell>
          <cell r="AC77" t="str">
            <v>Delivered</v>
          </cell>
          <cell r="AE77">
            <v>4</v>
          </cell>
        </row>
        <row r="78">
          <cell r="C78">
            <v>45247</v>
          </cell>
          <cell r="D78" t="str">
            <v>CUST21469</v>
          </cell>
          <cell r="E78" t="str">
            <v>Shreya Nair</v>
          </cell>
          <cell r="G78">
            <v>43</v>
          </cell>
          <cell r="H78" t="str">
            <v>Adult</v>
          </cell>
          <cell r="J78" t="str">
            <v>Other</v>
          </cell>
          <cell r="K78" t="str">
            <v>North</v>
          </cell>
          <cell r="L78" t="str">
            <v>Amritsar</v>
          </cell>
          <cell r="M78" t="str">
            <v>Sports</v>
          </cell>
          <cell r="N78" t="str">
            <v>Football</v>
          </cell>
          <cell r="P78">
            <v>4</v>
          </cell>
          <cell r="Q78">
            <v>3010.43</v>
          </cell>
          <cell r="S78">
            <v>0.27</v>
          </cell>
          <cell r="T78">
            <v>8396.7900000000009</v>
          </cell>
          <cell r="U78">
            <v>1584.03</v>
          </cell>
          <cell r="V78">
            <v>0.188647090138017</v>
          </cell>
          <cell r="W78">
            <v>51.24</v>
          </cell>
          <cell r="X78" t="str">
            <v>Cash on Delivery</v>
          </cell>
          <cell r="Z78">
            <v>3</v>
          </cell>
          <cell r="AA78" t="b">
            <v>0</v>
          </cell>
          <cell r="AC78" t="str">
            <v>Delivered</v>
          </cell>
          <cell r="AE78">
            <v>5</v>
          </cell>
        </row>
        <row r="79">
          <cell r="C79">
            <v>43833</v>
          </cell>
          <cell r="D79" t="str">
            <v>CUST64950</v>
          </cell>
          <cell r="E79" t="str">
            <v>Nisha Mehta</v>
          </cell>
          <cell r="G79">
            <v>23</v>
          </cell>
          <cell r="H79" t="str">
            <v>Young Adult</v>
          </cell>
          <cell r="J79" t="str">
            <v>Female</v>
          </cell>
          <cell r="K79" t="str">
            <v>South</v>
          </cell>
          <cell r="L79" t="str">
            <v>Hyderabad</v>
          </cell>
          <cell r="M79" t="str">
            <v>Furniture</v>
          </cell>
          <cell r="N79" t="str">
            <v>Sofa</v>
          </cell>
          <cell r="P79">
            <v>8</v>
          </cell>
          <cell r="Q79">
            <v>22523.15</v>
          </cell>
          <cell r="S79">
            <v>0.34</v>
          </cell>
          <cell r="T79">
            <v>95036.79</v>
          </cell>
          <cell r="U79">
            <v>29818.97</v>
          </cell>
          <cell r="V79">
            <v>0.31376238612436302</v>
          </cell>
          <cell r="W79">
            <v>65.72</v>
          </cell>
          <cell r="X79" t="str">
            <v>EMI</v>
          </cell>
          <cell r="Z79">
            <v>2</v>
          </cell>
          <cell r="AA79" t="b">
            <v>0</v>
          </cell>
          <cell r="AC79" t="str">
            <v>Delivered</v>
          </cell>
          <cell r="AE79">
            <v>5</v>
          </cell>
        </row>
        <row r="80">
          <cell r="C80">
            <v>43852</v>
          </cell>
          <cell r="D80" t="str">
            <v>CUST60127</v>
          </cell>
          <cell r="E80" t="str">
            <v>Ritu Kapoor</v>
          </cell>
          <cell r="G80">
            <v>16</v>
          </cell>
          <cell r="H80" t="str">
            <v>Teen</v>
          </cell>
          <cell r="J80" t="str">
            <v>Other</v>
          </cell>
          <cell r="K80" t="str">
            <v>South</v>
          </cell>
          <cell r="L80" t="str">
            <v>Bangalore</v>
          </cell>
          <cell r="M80" t="str">
            <v>Books</v>
          </cell>
          <cell r="N80" t="str">
            <v>Textbook</v>
          </cell>
          <cell r="P80">
            <v>4</v>
          </cell>
          <cell r="Q80">
            <v>363.32</v>
          </cell>
          <cell r="S80">
            <v>7.0000000000000007E-2</v>
          </cell>
          <cell r="T80">
            <v>1026.5</v>
          </cell>
          <cell r="U80">
            <v>410.28</v>
          </cell>
          <cell r="V80">
            <v>0.39968826108134436</v>
          </cell>
          <cell r="W80">
            <v>89.93</v>
          </cell>
          <cell r="X80" t="str">
            <v>EMI</v>
          </cell>
          <cell r="Z80">
            <v>5</v>
          </cell>
          <cell r="AA80" t="b">
            <v>0</v>
          </cell>
          <cell r="AC80" t="str">
            <v>Shipped</v>
          </cell>
          <cell r="AE80">
            <v>5</v>
          </cell>
        </row>
        <row r="81">
          <cell r="C81">
            <v>45079</v>
          </cell>
          <cell r="D81" t="str">
            <v>CUST23195</v>
          </cell>
          <cell r="E81" t="str">
            <v>Aditya Sharma</v>
          </cell>
          <cell r="G81">
            <v>34</v>
          </cell>
          <cell r="H81" t="str">
            <v>Young Adult</v>
          </cell>
          <cell r="J81" t="str">
            <v>Female</v>
          </cell>
          <cell r="K81" t="str">
            <v>West</v>
          </cell>
          <cell r="L81" t="str">
            <v>Surat</v>
          </cell>
          <cell r="M81" t="str">
            <v>Furniture</v>
          </cell>
          <cell r="N81" t="str">
            <v>Wardrobe</v>
          </cell>
          <cell r="P81">
            <v>3</v>
          </cell>
          <cell r="Q81">
            <v>31229.73</v>
          </cell>
          <cell r="S81">
            <v>0.32</v>
          </cell>
          <cell r="T81">
            <v>100210.97</v>
          </cell>
          <cell r="U81">
            <v>34252.99</v>
          </cell>
          <cell r="V81">
            <v>0.34180878600416698</v>
          </cell>
          <cell r="W81">
            <v>53.79</v>
          </cell>
          <cell r="X81" t="str">
            <v>EMI</v>
          </cell>
          <cell r="Z81">
            <v>5</v>
          </cell>
          <cell r="AA81" t="b">
            <v>0</v>
          </cell>
          <cell r="AC81" t="str">
            <v>Pending</v>
          </cell>
          <cell r="AE81">
            <v>3</v>
          </cell>
        </row>
        <row r="82">
          <cell r="C82">
            <v>44794</v>
          </cell>
          <cell r="D82" t="str">
            <v>CUST53700</v>
          </cell>
          <cell r="E82" t="str">
            <v>Ananya Shah</v>
          </cell>
          <cell r="G82">
            <v>49</v>
          </cell>
          <cell r="H82" t="str">
            <v>Adult</v>
          </cell>
          <cell r="J82" t="str">
            <v>Female</v>
          </cell>
          <cell r="K82" t="str">
            <v>South</v>
          </cell>
          <cell r="L82" t="str">
            <v>Chennai</v>
          </cell>
          <cell r="M82" t="str">
            <v>Furniture</v>
          </cell>
          <cell r="N82" t="str">
            <v>Chair</v>
          </cell>
          <cell r="P82">
            <v>3</v>
          </cell>
          <cell r="Q82">
            <v>25395.64</v>
          </cell>
          <cell r="S82">
            <v>0.3</v>
          </cell>
          <cell r="T82">
            <v>82667.820000000007</v>
          </cell>
          <cell r="U82">
            <v>28762.52</v>
          </cell>
          <cell r="V82">
            <v>0.34792885550870939</v>
          </cell>
          <cell r="W82">
            <v>86.28</v>
          </cell>
          <cell r="X82" t="str">
            <v>UPI</v>
          </cell>
          <cell r="Z82">
            <v>4</v>
          </cell>
          <cell r="AA82" t="b">
            <v>0</v>
          </cell>
          <cell r="AC82" t="str">
            <v>Delivered</v>
          </cell>
          <cell r="AE82">
            <v>5</v>
          </cell>
        </row>
        <row r="83">
          <cell r="C83">
            <v>44308</v>
          </cell>
          <cell r="D83" t="str">
            <v>CUST83911</v>
          </cell>
          <cell r="E83" t="str">
            <v>Aditya Das</v>
          </cell>
          <cell r="G83">
            <v>27</v>
          </cell>
          <cell r="H83" t="str">
            <v>Young Adult</v>
          </cell>
          <cell r="J83" t="str">
            <v>Male</v>
          </cell>
          <cell r="K83" t="str">
            <v>North</v>
          </cell>
          <cell r="L83" t="str">
            <v>Chandigarh</v>
          </cell>
          <cell r="M83" t="str">
            <v>Groceries</v>
          </cell>
          <cell r="N83" t="str">
            <v>Dal (1kg)</v>
          </cell>
          <cell r="P83">
            <v>3</v>
          </cell>
          <cell r="Q83">
            <v>457.68</v>
          </cell>
          <cell r="S83">
            <v>0.26</v>
          </cell>
          <cell r="T83">
            <v>1159.07</v>
          </cell>
          <cell r="U83">
            <v>84.35</v>
          </cell>
          <cell r="V83">
            <v>7.2773861802997233E-2</v>
          </cell>
          <cell r="W83">
            <v>72.86</v>
          </cell>
          <cell r="X83" t="str">
            <v>Cash on Delivery</v>
          </cell>
          <cell r="Z83">
            <v>3</v>
          </cell>
          <cell r="AA83" t="b">
            <v>0</v>
          </cell>
          <cell r="AC83" t="str">
            <v>Delivered</v>
          </cell>
          <cell r="AE83">
            <v>2</v>
          </cell>
        </row>
        <row r="84">
          <cell r="C84">
            <v>45084</v>
          </cell>
          <cell r="D84" t="str">
            <v>CUST23268</v>
          </cell>
          <cell r="E84" t="str">
            <v>Deepa Das</v>
          </cell>
          <cell r="G84">
            <v>31</v>
          </cell>
          <cell r="H84" t="str">
            <v>Young Adult</v>
          </cell>
          <cell r="J84" t="str">
            <v>Female</v>
          </cell>
          <cell r="K84" t="str">
            <v>South</v>
          </cell>
          <cell r="L84" t="str">
            <v>Chennai</v>
          </cell>
          <cell r="M84" t="str">
            <v>Books</v>
          </cell>
          <cell r="N84" t="str">
            <v>Self-Help Book</v>
          </cell>
          <cell r="P84">
            <v>1</v>
          </cell>
          <cell r="Q84">
            <v>715.84</v>
          </cell>
          <cell r="S84">
            <v>0.24</v>
          </cell>
          <cell r="T84">
            <v>937.54</v>
          </cell>
          <cell r="U84">
            <v>470.99</v>
          </cell>
          <cell r="V84">
            <v>0.50236789896964396</v>
          </cell>
          <cell r="W84">
            <v>59.5</v>
          </cell>
          <cell r="X84" t="str">
            <v>Credit Card</v>
          </cell>
          <cell r="Z84">
            <v>2</v>
          </cell>
          <cell r="AA84" t="b">
            <v>0</v>
          </cell>
          <cell r="AC84" t="str">
            <v>Delivered</v>
          </cell>
          <cell r="AE84">
            <v>4</v>
          </cell>
        </row>
        <row r="85">
          <cell r="C85">
            <v>45588</v>
          </cell>
          <cell r="D85" t="str">
            <v>CUST20477</v>
          </cell>
          <cell r="E85" t="str">
            <v>Sanjay Verma</v>
          </cell>
          <cell r="G85">
            <v>34.294220665499125</v>
          </cell>
          <cell r="H85" t="str">
            <v>Young Adult</v>
          </cell>
          <cell r="J85" t="str">
            <v>Female</v>
          </cell>
          <cell r="K85" t="str">
            <v>East</v>
          </cell>
          <cell r="L85" t="str">
            <v>Guwahati</v>
          </cell>
          <cell r="M85" t="str">
            <v>Sports</v>
          </cell>
          <cell r="N85" t="str">
            <v>Football</v>
          </cell>
          <cell r="P85">
            <v>4</v>
          </cell>
          <cell r="Q85">
            <v>9803</v>
          </cell>
          <cell r="S85">
            <v>0.33</v>
          </cell>
          <cell r="T85">
            <v>32120.84</v>
          </cell>
          <cell r="U85">
            <v>6215.4</v>
          </cell>
          <cell r="V85">
            <v>0.19350054357233495</v>
          </cell>
          <cell r="W85">
            <v>88.57</v>
          </cell>
          <cell r="X85" t="str">
            <v>UPI</v>
          </cell>
          <cell r="Z85">
            <v>4</v>
          </cell>
          <cell r="AA85" t="b">
            <v>0</v>
          </cell>
          <cell r="AC85" t="str">
            <v>Cancelled</v>
          </cell>
          <cell r="AE85">
            <v>6</v>
          </cell>
        </row>
        <row r="86">
          <cell r="C86">
            <v>44003</v>
          </cell>
          <cell r="D86" t="str">
            <v>CUST55018</v>
          </cell>
          <cell r="E86" t="str">
            <v>Vikram Nair</v>
          </cell>
          <cell r="G86">
            <v>37</v>
          </cell>
          <cell r="H86" t="str">
            <v>Adult</v>
          </cell>
          <cell r="J86" t="str">
            <v>Other</v>
          </cell>
          <cell r="K86" t="str">
            <v>South</v>
          </cell>
          <cell r="L86" t="str">
            <v>Chennai</v>
          </cell>
          <cell r="M86" t="str">
            <v>Electronics</v>
          </cell>
          <cell r="N86" t="str">
            <v>Headphones</v>
          </cell>
          <cell r="P86">
            <v>5</v>
          </cell>
          <cell r="Q86">
            <v>28892.57</v>
          </cell>
          <cell r="S86">
            <v>7.0000000000000007E-2</v>
          </cell>
          <cell r="T86">
            <v>205453.46</v>
          </cell>
          <cell r="U86">
            <v>25286.68</v>
          </cell>
          <cell r="V86">
            <v>0.12307741130278362</v>
          </cell>
          <cell r="W86">
            <v>84.72</v>
          </cell>
          <cell r="X86" t="str">
            <v>Debit Card</v>
          </cell>
          <cell r="Z86">
            <v>5</v>
          </cell>
          <cell r="AA86" t="b">
            <v>0</v>
          </cell>
          <cell r="AC86" t="str">
            <v>Delivered</v>
          </cell>
          <cell r="AE86">
            <v>6</v>
          </cell>
        </row>
        <row r="87">
          <cell r="C87">
            <v>44606</v>
          </cell>
          <cell r="D87" t="str">
            <v>CUST14531</v>
          </cell>
          <cell r="E87" t="str">
            <v>Meera Gupta</v>
          </cell>
          <cell r="G87">
            <v>27</v>
          </cell>
          <cell r="H87" t="str">
            <v>Young Adult</v>
          </cell>
          <cell r="J87" t="str">
            <v>Male</v>
          </cell>
          <cell r="K87" t="str">
            <v>North</v>
          </cell>
          <cell r="L87" t="str">
            <v>Ludhiana</v>
          </cell>
          <cell r="M87" t="str">
            <v>Furniture</v>
          </cell>
          <cell r="N87" t="str">
            <v>Wardrobe</v>
          </cell>
          <cell r="P87">
            <v>9</v>
          </cell>
          <cell r="Q87">
            <v>14001.85</v>
          </cell>
          <cell r="S87">
            <v>0.05</v>
          </cell>
          <cell r="T87">
            <v>118164.26</v>
          </cell>
          <cell r="U87">
            <v>40660.47</v>
          </cell>
          <cell r="V87">
            <v>0.34410125362778898</v>
          </cell>
          <cell r="W87">
            <v>55.44</v>
          </cell>
          <cell r="X87" t="str">
            <v>UPI</v>
          </cell>
          <cell r="Z87">
            <v>1</v>
          </cell>
          <cell r="AA87" t="b">
            <v>1</v>
          </cell>
          <cell r="AC87" t="str">
            <v>Returned</v>
          </cell>
          <cell r="AE87">
            <v>1</v>
          </cell>
        </row>
        <row r="88">
          <cell r="C88">
            <v>44096</v>
          </cell>
          <cell r="D88" t="str">
            <v>CUST21963</v>
          </cell>
          <cell r="E88" t="str">
            <v>Priya Bhat</v>
          </cell>
          <cell r="G88">
            <v>38</v>
          </cell>
          <cell r="H88" t="str">
            <v>Adult</v>
          </cell>
          <cell r="J88" t="str">
            <v>Other</v>
          </cell>
          <cell r="K88" t="str">
            <v>Central</v>
          </cell>
          <cell r="L88" t="str">
            <v>Bhopal</v>
          </cell>
          <cell r="M88" t="str">
            <v>Furniture</v>
          </cell>
          <cell r="N88" t="str">
            <v>Wardrobe</v>
          </cell>
          <cell r="P88">
            <v>8</v>
          </cell>
          <cell r="Q88">
            <v>30292.85</v>
          </cell>
          <cell r="S88">
            <v>0.28999999999999998</v>
          </cell>
          <cell r="T88">
            <v>173004.24</v>
          </cell>
          <cell r="U88">
            <v>45465.04</v>
          </cell>
          <cell r="V88">
            <v>0.26279725861054043</v>
          </cell>
          <cell r="W88">
            <v>51.64</v>
          </cell>
          <cell r="X88" t="str">
            <v>EMI</v>
          </cell>
          <cell r="Z88">
            <v>3</v>
          </cell>
          <cell r="AA88" t="b">
            <v>0</v>
          </cell>
          <cell r="AC88" t="str">
            <v>Delivered</v>
          </cell>
          <cell r="AE88">
            <v>5</v>
          </cell>
        </row>
        <row r="89">
          <cell r="C89">
            <v>45568</v>
          </cell>
          <cell r="D89" t="str">
            <v>CUST02198</v>
          </cell>
          <cell r="E89" t="str">
            <v>Meera Singh</v>
          </cell>
          <cell r="G89">
            <v>34</v>
          </cell>
          <cell r="H89" t="str">
            <v>Young Adult</v>
          </cell>
          <cell r="J89" t="str">
            <v>Male</v>
          </cell>
          <cell r="K89" t="str">
            <v>East</v>
          </cell>
          <cell r="L89" t="str">
            <v>Kolkata</v>
          </cell>
          <cell r="M89" t="str">
            <v>Sports</v>
          </cell>
          <cell r="N89" t="str">
            <v>Tennis Racket</v>
          </cell>
          <cell r="P89">
            <v>2</v>
          </cell>
          <cell r="Q89">
            <v>2854.89</v>
          </cell>
          <cell r="S89">
            <v>0.06</v>
          </cell>
          <cell r="T89">
            <v>6360.16</v>
          </cell>
          <cell r="U89">
            <v>1203.75</v>
          </cell>
          <cell r="V89">
            <v>0.1892641065633569</v>
          </cell>
          <cell r="W89">
            <v>86.84</v>
          </cell>
          <cell r="X89" t="str">
            <v>UPI</v>
          </cell>
          <cell r="Z89">
            <v>3</v>
          </cell>
          <cell r="AA89" t="b">
            <v>0</v>
          </cell>
          <cell r="AC89" t="str">
            <v>Delivered</v>
          </cell>
          <cell r="AE89">
            <v>9</v>
          </cell>
        </row>
        <row r="90">
          <cell r="C90">
            <v>45111</v>
          </cell>
          <cell r="D90" t="str">
            <v>CUST64061</v>
          </cell>
          <cell r="E90" t="str">
            <v>Rohan Pillai</v>
          </cell>
          <cell r="G90">
            <v>10</v>
          </cell>
          <cell r="H90" t="str">
            <v>Child</v>
          </cell>
          <cell r="J90" t="str">
            <v>Other</v>
          </cell>
          <cell r="K90" t="str">
            <v>South</v>
          </cell>
          <cell r="L90" t="str">
            <v>Chennai</v>
          </cell>
          <cell r="M90" t="str">
            <v>Clothing</v>
          </cell>
          <cell r="N90" t="str">
            <v>T-Shirt</v>
          </cell>
          <cell r="P90">
            <v>9</v>
          </cell>
          <cell r="Q90">
            <v>1340.2</v>
          </cell>
          <cell r="S90">
            <v>0.38</v>
          </cell>
          <cell r="T90">
            <v>12757.93</v>
          </cell>
          <cell r="U90">
            <v>3852.39</v>
          </cell>
          <cell r="V90">
            <v>0.30196042774964277</v>
          </cell>
          <cell r="W90">
            <v>105.03</v>
          </cell>
          <cell r="X90" t="str">
            <v>Cash on Delivery</v>
          </cell>
          <cell r="Z90">
            <v>3</v>
          </cell>
          <cell r="AA90" t="b">
            <v>0</v>
          </cell>
          <cell r="AC90" t="str">
            <v>Cancelled</v>
          </cell>
          <cell r="AE90">
            <v>4</v>
          </cell>
        </row>
        <row r="91">
          <cell r="C91">
            <v>44115</v>
          </cell>
          <cell r="D91" t="str">
            <v>CUST01277</v>
          </cell>
          <cell r="E91" t="str">
            <v>Sanjay Iyer</v>
          </cell>
          <cell r="G91">
            <v>22</v>
          </cell>
          <cell r="H91" t="str">
            <v>Young Adult</v>
          </cell>
          <cell r="J91" t="str">
            <v>Female</v>
          </cell>
          <cell r="K91" t="str">
            <v>West</v>
          </cell>
          <cell r="L91" t="str">
            <v>Surat</v>
          </cell>
          <cell r="M91" t="str">
            <v>Furniture</v>
          </cell>
          <cell r="N91" t="str">
            <v>Bookshelf</v>
          </cell>
          <cell r="P91">
            <v>7</v>
          </cell>
          <cell r="Q91">
            <v>34455.919999999998</v>
          </cell>
          <cell r="S91">
            <v>0.28000000000000003</v>
          </cell>
          <cell r="T91">
            <v>149044.85999999999</v>
          </cell>
          <cell r="U91">
            <v>39164.43</v>
          </cell>
          <cell r="V91">
            <v>0.26276941049828895</v>
          </cell>
          <cell r="W91">
            <v>54.2</v>
          </cell>
          <cell r="X91" t="str">
            <v>Debit Card</v>
          </cell>
          <cell r="Z91">
            <v>3</v>
          </cell>
          <cell r="AA91" t="b">
            <v>0</v>
          </cell>
          <cell r="AC91" t="str">
            <v>Delivered</v>
          </cell>
          <cell r="AE91">
            <v>7</v>
          </cell>
        </row>
        <row r="92">
          <cell r="C92">
            <v>45163</v>
          </cell>
          <cell r="D92" t="str">
            <v>CUST97761</v>
          </cell>
          <cell r="E92" t="str">
            <v>Rahul Verma</v>
          </cell>
          <cell r="G92">
            <v>25</v>
          </cell>
          <cell r="H92" t="str">
            <v>Young Adult</v>
          </cell>
          <cell r="J92" t="str">
            <v>Female</v>
          </cell>
          <cell r="K92" t="str">
            <v>East</v>
          </cell>
          <cell r="L92" t="str">
            <v>Bhubaneswar</v>
          </cell>
          <cell r="M92" t="str">
            <v>Books</v>
          </cell>
          <cell r="N92" t="str">
            <v>Self-Help Book</v>
          </cell>
          <cell r="P92">
            <v>10</v>
          </cell>
          <cell r="Q92">
            <v>755.47</v>
          </cell>
          <cell r="S92">
            <v>0.04</v>
          </cell>
          <cell r="T92">
            <v>10570.33</v>
          </cell>
          <cell r="U92">
            <v>4011.83</v>
          </cell>
          <cell r="V92">
            <v>0.37953687349401577</v>
          </cell>
          <cell r="W92">
            <v>94.06</v>
          </cell>
          <cell r="X92" t="str">
            <v>Credit Card</v>
          </cell>
          <cell r="Z92">
            <v>3</v>
          </cell>
          <cell r="AA92" t="b">
            <v>0</v>
          </cell>
          <cell r="AC92" t="str">
            <v>Cancelled</v>
          </cell>
          <cell r="AE92">
            <v>5</v>
          </cell>
        </row>
        <row r="93">
          <cell r="C93">
            <v>44589</v>
          </cell>
          <cell r="D93" t="str">
            <v>CUST22943</v>
          </cell>
          <cell r="E93" t="str">
            <v>Nisha Shah</v>
          </cell>
          <cell r="G93">
            <v>42</v>
          </cell>
          <cell r="H93" t="str">
            <v>Adult</v>
          </cell>
          <cell r="J93" t="str">
            <v>Male</v>
          </cell>
          <cell r="K93" t="str">
            <v>North</v>
          </cell>
          <cell r="L93" t="str">
            <v>Amritsar</v>
          </cell>
          <cell r="M93" t="str">
            <v>Sports</v>
          </cell>
          <cell r="N93" t="str">
            <v>Tennis Racket</v>
          </cell>
          <cell r="P93">
            <v>10</v>
          </cell>
          <cell r="Q93">
            <v>6054.48</v>
          </cell>
          <cell r="S93">
            <v>0.06</v>
          </cell>
          <cell r="T93">
            <v>48184.42</v>
          </cell>
          <cell r="U93">
            <v>9832.73</v>
          </cell>
          <cell r="V93">
            <v>0.20406450881841059</v>
          </cell>
          <cell r="W93">
            <v>59.24</v>
          </cell>
          <cell r="X93" t="str">
            <v>Credit Card</v>
          </cell>
          <cell r="Z93">
            <v>1</v>
          </cell>
          <cell r="AA93" t="b">
            <v>1</v>
          </cell>
          <cell r="AC93" t="str">
            <v>Returned</v>
          </cell>
          <cell r="AE93">
            <v>6</v>
          </cell>
        </row>
        <row r="94">
          <cell r="C94">
            <v>44440</v>
          </cell>
          <cell r="D94" t="str">
            <v>CUST45393</v>
          </cell>
          <cell r="E94" t="str">
            <v>Shreya Reddy</v>
          </cell>
          <cell r="G94">
            <v>42</v>
          </cell>
          <cell r="H94" t="str">
            <v>Adult</v>
          </cell>
          <cell r="J94" t="str">
            <v>Male</v>
          </cell>
          <cell r="K94" t="str">
            <v>South</v>
          </cell>
          <cell r="L94" t="str">
            <v>Hyderabad</v>
          </cell>
          <cell r="M94" t="str">
            <v>Furniture</v>
          </cell>
          <cell r="N94" t="str">
            <v>Desk</v>
          </cell>
          <cell r="P94">
            <v>10</v>
          </cell>
          <cell r="Q94">
            <v>8753.1200000000008</v>
          </cell>
          <cell r="S94">
            <v>0.28000000000000003</v>
          </cell>
          <cell r="T94">
            <v>73335.009999999995</v>
          </cell>
          <cell r="U94">
            <v>17930.25</v>
          </cell>
          <cell r="V94">
            <v>0.24449781898168421</v>
          </cell>
          <cell r="W94">
            <v>87.75</v>
          </cell>
          <cell r="X94" t="str">
            <v>EMI</v>
          </cell>
          <cell r="Z94">
            <v>5</v>
          </cell>
          <cell r="AA94" t="b">
            <v>0</v>
          </cell>
          <cell r="AC94" t="str">
            <v>Delivered</v>
          </cell>
          <cell r="AE94">
            <v>8</v>
          </cell>
        </row>
        <row r="95">
          <cell r="C95">
            <v>44866</v>
          </cell>
          <cell r="D95" t="str">
            <v>CUST63245</v>
          </cell>
          <cell r="E95" t="str">
            <v>Ananya Verma</v>
          </cell>
          <cell r="G95">
            <v>29</v>
          </cell>
          <cell r="H95" t="str">
            <v>Young Adult</v>
          </cell>
          <cell r="J95" t="str">
            <v>Male</v>
          </cell>
          <cell r="K95" t="str">
            <v>Central</v>
          </cell>
          <cell r="L95" t="str">
            <v>Indore</v>
          </cell>
          <cell r="M95" t="str">
            <v>Books</v>
          </cell>
          <cell r="N95" t="str">
            <v>Textbook</v>
          </cell>
          <cell r="P95">
            <v>4</v>
          </cell>
          <cell r="Q95">
            <v>1320.32</v>
          </cell>
          <cell r="S95">
            <v>0.01</v>
          </cell>
          <cell r="T95">
            <v>4535.42</v>
          </cell>
          <cell r="U95">
            <v>950.65</v>
          </cell>
          <cell r="V95">
            <v>0.20960572559983418</v>
          </cell>
          <cell r="W95">
            <v>39.090000000000003</v>
          </cell>
          <cell r="X95" t="str">
            <v>Debit Card</v>
          </cell>
          <cell r="Z95">
            <v>3</v>
          </cell>
          <cell r="AA95" t="b">
            <v>0</v>
          </cell>
          <cell r="AC95" t="str">
            <v>Delivered</v>
          </cell>
          <cell r="AE95">
            <v>5</v>
          </cell>
        </row>
        <row r="96">
          <cell r="C96">
            <v>44165</v>
          </cell>
          <cell r="D96" t="str">
            <v>CUST88249</v>
          </cell>
          <cell r="E96" t="str">
            <v>Karan Das</v>
          </cell>
          <cell r="G96">
            <v>33</v>
          </cell>
          <cell r="H96" t="str">
            <v>Young Adult</v>
          </cell>
          <cell r="J96" t="str">
            <v>Female</v>
          </cell>
          <cell r="K96" t="str">
            <v>West</v>
          </cell>
          <cell r="L96" t="str">
            <v>Surat</v>
          </cell>
          <cell r="M96" t="str">
            <v>Books</v>
          </cell>
          <cell r="N96" t="str">
            <v>Cook Book</v>
          </cell>
          <cell r="P96">
            <v>8</v>
          </cell>
          <cell r="Q96">
            <v>707.31</v>
          </cell>
          <cell r="S96">
            <v>0.15</v>
          </cell>
          <cell r="T96">
            <v>3730.16</v>
          </cell>
          <cell r="U96">
            <v>1635.73</v>
          </cell>
          <cell r="V96">
            <v>0.43851470178222918</v>
          </cell>
          <cell r="W96">
            <v>65.92</v>
          </cell>
          <cell r="X96" t="str">
            <v>Net Banking</v>
          </cell>
          <cell r="Z96">
            <v>4</v>
          </cell>
          <cell r="AA96" t="b">
            <v>0</v>
          </cell>
          <cell r="AC96" t="str">
            <v>Delivered</v>
          </cell>
          <cell r="AE96">
            <v>9</v>
          </cell>
        </row>
        <row r="97">
          <cell r="C97">
            <v>45434</v>
          </cell>
          <cell r="D97" t="str">
            <v>CUST93738</v>
          </cell>
          <cell r="E97" t="str">
            <v>Rohan Gupta</v>
          </cell>
          <cell r="G97">
            <v>34.294220665499125</v>
          </cell>
          <cell r="H97" t="str">
            <v>Young Adult</v>
          </cell>
          <cell r="J97" t="str">
            <v>Male</v>
          </cell>
          <cell r="K97" t="str">
            <v>North</v>
          </cell>
          <cell r="L97" t="str">
            <v>Delhi</v>
          </cell>
          <cell r="M97" t="str">
            <v>Groceries</v>
          </cell>
          <cell r="N97" t="str">
            <v>Dal (1kg)</v>
          </cell>
          <cell r="P97">
            <v>5</v>
          </cell>
          <cell r="Q97">
            <v>309.97000000000003</v>
          </cell>
          <cell r="S97">
            <v>0.04</v>
          </cell>
          <cell r="T97">
            <v>2672.61</v>
          </cell>
          <cell r="U97">
            <v>214.05</v>
          </cell>
          <cell r="V97">
            <v>8.0090248857858051E-2</v>
          </cell>
          <cell r="W97">
            <v>37.340000000000003</v>
          </cell>
          <cell r="X97" t="str">
            <v>Cash on Delivery</v>
          </cell>
          <cell r="Z97">
            <v>5</v>
          </cell>
          <cell r="AA97" t="b">
            <v>0</v>
          </cell>
          <cell r="AC97" t="str">
            <v>Shipped</v>
          </cell>
          <cell r="AE97">
            <v>4</v>
          </cell>
        </row>
        <row r="98">
          <cell r="C98">
            <v>44457</v>
          </cell>
          <cell r="D98" t="str">
            <v>CUST85642</v>
          </cell>
          <cell r="E98" t="str">
            <v>Priya Singh</v>
          </cell>
          <cell r="G98">
            <v>42</v>
          </cell>
          <cell r="H98" t="str">
            <v>Adult</v>
          </cell>
          <cell r="J98" t="str">
            <v>Other</v>
          </cell>
          <cell r="K98" t="str">
            <v>East</v>
          </cell>
          <cell r="L98" t="str">
            <v>Kolkata</v>
          </cell>
          <cell r="M98" t="str">
            <v>Sports</v>
          </cell>
          <cell r="N98" t="str">
            <v>Cricket Bat</v>
          </cell>
          <cell r="P98">
            <v>8</v>
          </cell>
          <cell r="Q98">
            <v>12223.45</v>
          </cell>
          <cell r="S98">
            <v>0.4</v>
          </cell>
          <cell r="T98">
            <v>62483.59</v>
          </cell>
          <cell r="U98">
            <v>10563.05</v>
          </cell>
          <cell r="V98">
            <v>0.16905318660467492</v>
          </cell>
          <cell r="W98">
            <v>68.510000000000005</v>
          </cell>
          <cell r="X98" t="str">
            <v>Net Banking</v>
          </cell>
          <cell r="Z98">
            <v>4</v>
          </cell>
          <cell r="AA98" t="b">
            <v>0</v>
          </cell>
          <cell r="AC98" t="str">
            <v>Delivered</v>
          </cell>
          <cell r="AE98">
            <v>7</v>
          </cell>
        </row>
        <row r="99">
          <cell r="C99">
            <v>44885</v>
          </cell>
          <cell r="D99" t="str">
            <v>CUST85190</v>
          </cell>
          <cell r="E99" t="str">
            <v>Nikhil Patel</v>
          </cell>
          <cell r="G99">
            <v>45</v>
          </cell>
          <cell r="H99" t="str">
            <v>Adult</v>
          </cell>
          <cell r="J99" t="str">
            <v>Other</v>
          </cell>
          <cell r="K99" t="str">
            <v>West</v>
          </cell>
          <cell r="L99" t="str">
            <v>Surat</v>
          </cell>
          <cell r="M99" t="str">
            <v>Electronics</v>
          </cell>
          <cell r="N99" t="str">
            <v>Tablet</v>
          </cell>
          <cell r="P99">
            <v>4</v>
          </cell>
          <cell r="Q99">
            <v>73017.83</v>
          </cell>
          <cell r="S99">
            <v>0.22</v>
          </cell>
          <cell r="T99">
            <v>192150.99</v>
          </cell>
          <cell r="U99">
            <v>23288.67</v>
          </cell>
          <cell r="V99">
            <v>0.12119984393523031</v>
          </cell>
          <cell r="W99">
            <v>32.14</v>
          </cell>
          <cell r="X99" t="str">
            <v>Credit Card</v>
          </cell>
          <cell r="Z99">
            <v>3</v>
          </cell>
          <cell r="AA99" t="b">
            <v>0</v>
          </cell>
          <cell r="AC99" t="str">
            <v>Delivered</v>
          </cell>
          <cell r="AE99">
            <v>8</v>
          </cell>
        </row>
        <row r="100">
          <cell r="C100">
            <v>43897</v>
          </cell>
          <cell r="D100" t="str">
            <v>CUST56042</v>
          </cell>
          <cell r="E100" t="str">
            <v>Deepa Rao</v>
          </cell>
          <cell r="G100">
            <v>35</v>
          </cell>
          <cell r="H100" t="str">
            <v>Young Adult</v>
          </cell>
          <cell r="J100" t="str">
            <v>Female</v>
          </cell>
          <cell r="K100" t="str">
            <v>East</v>
          </cell>
          <cell r="L100" t="str">
            <v>Bhubaneswar</v>
          </cell>
          <cell r="M100" t="str">
            <v>Furniture</v>
          </cell>
          <cell r="N100" t="str">
            <v>Desk</v>
          </cell>
          <cell r="P100">
            <v>8</v>
          </cell>
          <cell r="Q100">
            <v>25624.31</v>
          </cell>
          <cell r="S100">
            <v>0.12</v>
          </cell>
          <cell r="T100">
            <v>188109.47</v>
          </cell>
          <cell r="U100">
            <v>45753.79</v>
          </cell>
          <cell r="V100">
            <v>0.24322959391677623</v>
          </cell>
          <cell r="W100">
            <v>65.63</v>
          </cell>
          <cell r="X100" t="str">
            <v>Credit Card</v>
          </cell>
          <cell r="Z100">
            <v>1</v>
          </cell>
          <cell r="AA100" t="b">
            <v>0</v>
          </cell>
          <cell r="AC100" t="str">
            <v>Delivered</v>
          </cell>
          <cell r="AE100">
            <v>3</v>
          </cell>
        </row>
        <row r="101">
          <cell r="C101">
            <v>44221</v>
          </cell>
          <cell r="D101" t="str">
            <v>CUST59535</v>
          </cell>
          <cell r="E101" t="str">
            <v>Vikram Gupta</v>
          </cell>
          <cell r="G101">
            <v>49</v>
          </cell>
          <cell r="H101" t="str">
            <v>Adult</v>
          </cell>
          <cell r="J101" t="str">
            <v>Male</v>
          </cell>
          <cell r="K101" t="str">
            <v>Central</v>
          </cell>
          <cell r="L101" t="str">
            <v>Nagpur</v>
          </cell>
          <cell r="M101" t="str">
            <v>Beauty</v>
          </cell>
          <cell r="N101" t="str">
            <v>Hair Oil</v>
          </cell>
          <cell r="P101">
            <v>4</v>
          </cell>
          <cell r="Q101">
            <v>521.44000000000005</v>
          </cell>
          <cell r="S101">
            <v>0.14000000000000001</v>
          </cell>
          <cell r="T101">
            <v>1538.13</v>
          </cell>
          <cell r="U101">
            <v>492.45</v>
          </cell>
          <cell r="V101">
            <v>0.32016149480212985</v>
          </cell>
          <cell r="W101">
            <v>50.42</v>
          </cell>
          <cell r="X101" t="str">
            <v>UPI</v>
          </cell>
          <cell r="Z101">
            <v>1</v>
          </cell>
          <cell r="AA101" t="b">
            <v>0</v>
          </cell>
          <cell r="AC101" t="str">
            <v>Pending</v>
          </cell>
          <cell r="AE101">
            <v>10</v>
          </cell>
        </row>
        <row r="102">
          <cell r="C102">
            <v>45306</v>
          </cell>
          <cell r="D102" t="str">
            <v>CUST62905</v>
          </cell>
          <cell r="E102" t="str">
            <v>Vikram Iyer</v>
          </cell>
          <cell r="G102">
            <v>41</v>
          </cell>
          <cell r="H102" t="str">
            <v>Adult</v>
          </cell>
          <cell r="J102" t="str">
            <v>Other</v>
          </cell>
          <cell r="K102" t="str">
            <v>Central</v>
          </cell>
          <cell r="L102" t="str">
            <v>Raipur</v>
          </cell>
          <cell r="M102" t="str">
            <v>Clothing</v>
          </cell>
          <cell r="N102" t="str">
            <v>Saree</v>
          </cell>
          <cell r="P102">
            <v>6</v>
          </cell>
          <cell r="Q102">
            <v>3871.22</v>
          </cell>
          <cell r="S102">
            <v>0.33</v>
          </cell>
          <cell r="T102">
            <v>16031.48</v>
          </cell>
          <cell r="U102">
            <v>5072.13</v>
          </cell>
          <cell r="V102">
            <v>0.31638563626065719</v>
          </cell>
          <cell r="W102">
            <v>43.12</v>
          </cell>
          <cell r="X102" t="str">
            <v>Debit Card</v>
          </cell>
          <cell r="Z102">
            <v>4</v>
          </cell>
          <cell r="AA102" t="b">
            <v>0</v>
          </cell>
          <cell r="AC102" t="str">
            <v>Delivered</v>
          </cell>
          <cell r="AE102">
            <v>3</v>
          </cell>
        </row>
        <row r="103">
          <cell r="C103">
            <v>45070</v>
          </cell>
          <cell r="D103" t="str">
            <v>CUST04791</v>
          </cell>
          <cell r="E103" t="str">
            <v>Rahul Verma</v>
          </cell>
          <cell r="G103">
            <v>24</v>
          </cell>
          <cell r="H103" t="str">
            <v>Young Adult</v>
          </cell>
          <cell r="J103" t="str">
            <v>Other</v>
          </cell>
          <cell r="K103" t="str">
            <v>West</v>
          </cell>
          <cell r="L103" t="str">
            <v>Mumbai</v>
          </cell>
          <cell r="M103" t="str">
            <v>Books</v>
          </cell>
          <cell r="N103" t="str">
            <v>Self-Help Book</v>
          </cell>
          <cell r="P103">
            <v>8</v>
          </cell>
          <cell r="Q103">
            <v>579.77</v>
          </cell>
          <cell r="S103">
            <v>0.36</v>
          </cell>
          <cell r="T103">
            <v>3954.73</v>
          </cell>
          <cell r="U103">
            <v>2230.94</v>
          </cell>
          <cell r="V103">
            <v>0.56411942155343098</v>
          </cell>
          <cell r="W103">
            <v>42.6</v>
          </cell>
          <cell r="X103" t="str">
            <v>Debit Card</v>
          </cell>
          <cell r="Z103">
            <v>3</v>
          </cell>
          <cell r="AA103" t="b">
            <v>0</v>
          </cell>
          <cell r="AC103" t="str">
            <v>Delivered</v>
          </cell>
          <cell r="AE103">
            <v>7</v>
          </cell>
        </row>
        <row r="104">
          <cell r="C104">
            <v>44290</v>
          </cell>
          <cell r="D104" t="str">
            <v>CUST62653</v>
          </cell>
          <cell r="E104" t="str">
            <v>Nikhil Mishra</v>
          </cell>
          <cell r="G104">
            <v>26</v>
          </cell>
          <cell r="H104" t="str">
            <v>Young Adult</v>
          </cell>
          <cell r="J104" t="str">
            <v>Male</v>
          </cell>
          <cell r="K104" t="str">
            <v>North</v>
          </cell>
          <cell r="L104" t="str">
            <v>Amritsar</v>
          </cell>
          <cell r="M104" t="str">
            <v>Groceries</v>
          </cell>
          <cell r="N104" t="str">
            <v>Cooking Oil</v>
          </cell>
          <cell r="P104">
            <v>1</v>
          </cell>
          <cell r="Q104">
            <v>116.68</v>
          </cell>
          <cell r="S104">
            <v>0.06</v>
          </cell>
          <cell r="T104">
            <v>118.23</v>
          </cell>
          <cell r="U104">
            <v>9.75</v>
          </cell>
          <cell r="V104">
            <v>8.2466379091601108E-2</v>
          </cell>
          <cell r="W104">
            <v>47.55</v>
          </cell>
          <cell r="X104" t="str">
            <v>Credit Card</v>
          </cell>
          <cell r="Z104">
            <v>1</v>
          </cell>
          <cell r="AA104" t="b">
            <v>0</v>
          </cell>
          <cell r="AC104" t="str">
            <v>Delivered</v>
          </cell>
          <cell r="AE104">
            <v>8</v>
          </cell>
        </row>
        <row r="105">
          <cell r="C105">
            <v>45126</v>
          </cell>
          <cell r="D105" t="str">
            <v>CUST01027</v>
          </cell>
          <cell r="E105" t="str">
            <v>Nikhil Reddy</v>
          </cell>
          <cell r="G105">
            <v>34.294220665499125</v>
          </cell>
          <cell r="H105" t="str">
            <v>Young Adult</v>
          </cell>
          <cell r="J105" t="str">
            <v>Other</v>
          </cell>
          <cell r="K105" t="str">
            <v>North</v>
          </cell>
          <cell r="L105" t="str">
            <v>Delhi</v>
          </cell>
          <cell r="M105" t="str">
            <v>Groceries</v>
          </cell>
          <cell r="N105" t="str">
            <v>Rice (5kg)</v>
          </cell>
          <cell r="P105">
            <v>4</v>
          </cell>
          <cell r="Q105">
            <v>161.52000000000001</v>
          </cell>
          <cell r="S105">
            <v>0.17</v>
          </cell>
          <cell r="T105">
            <v>815.36</v>
          </cell>
          <cell r="U105">
            <v>66.150000000000006</v>
          </cell>
          <cell r="V105">
            <v>8.1129807692307696E-2</v>
          </cell>
          <cell r="W105">
            <v>45.84</v>
          </cell>
          <cell r="X105" t="str">
            <v>Net Banking</v>
          </cell>
          <cell r="Z105">
            <v>4</v>
          </cell>
          <cell r="AA105" t="b">
            <v>0</v>
          </cell>
          <cell r="AC105" t="str">
            <v>Cancelled</v>
          </cell>
          <cell r="AE105">
            <v>8</v>
          </cell>
        </row>
        <row r="106">
          <cell r="C106">
            <v>44322</v>
          </cell>
          <cell r="D106" t="str">
            <v>CUST29357</v>
          </cell>
          <cell r="E106" t="str">
            <v>Meera Nair</v>
          </cell>
          <cell r="G106">
            <v>33</v>
          </cell>
          <cell r="H106" t="str">
            <v>Young Adult</v>
          </cell>
          <cell r="J106" t="str">
            <v>Other</v>
          </cell>
          <cell r="K106" t="str">
            <v>West</v>
          </cell>
          <cell r="L106" t="str">
            <v>Pune</v>
          </cell>
          <cell r="M106" t="str">
            <v>Books</v>
          </cell>
          <cell r="N106" t="str">
            <v>Textbook</v>
          </cell>
          <cell r="P106">
            <v>7</v>
          </cell>
          <cell r="Q106">
            <v>1042.98</v>
          </cell>
          <cell r="S106">
            <v>0.3</v>
          </cell>
          <cell r="T106">
            <v>7120.16</v>
          </cell>
          <cell r="U106">
            <v>2589.16</v>
          </cell>
          <cell r="V106">
            <v>0.36363789577762295</v>
          </cell>
          <cell r="W106">
            <v>61.15</v>
          </cell>
          <cell r="X106" t="str">
            <v>Debit Card</v>
          </cell>
          <cell r="Z106">
            <v>2</v>
          </cell>
          <cell r="AA106" t="b">
            <v>1</v>
          </cell>
          <cell r="AC106" t="str">
            <v>Returned</v>
          </cell>
          <cell r="AE106">
            <v>4</v>
          </cell>
        </row>
        <row r="107">
          <cell r="C107">
            <v>44257</v>
          </cell>
          <cell r="D107" t="str">
            <v>CUST48937</v>
          </cell>
          <cell r="E107" t="str">
            <v>Nisha Iyer</v>
          </cell>
          <cell r="G107">
            <v>14</v>
          </cell>
          <cell r="H107" t="str">
            <v>Teen</v>
          </cell>
          <cell r="J107" t="str">
            <v>Female</v>
          </cell>
          <cell r="K107" t="str">
            <v>Central</v>
          </cell>
          <cell r="L107" t="str">
            <v>Indore</v>
          </cell>
          <cell r="M107" t="str">
            <v>Clothing</v>
          </cell>
          <cell r="N107" t="str">
            <v>Jeans</v>
          </cell>
          <cell r="P107">
            <v>3</v>
          </cell>
          <cell r="Q107">
            <v>3314.25</v>
          </cell>
          <cell r="S107">
            <v>0.1</v>
          </cell>
          <cell r="T107">
            <v>9673.58</v>
          </cell>
          <cell r="U107">
            <v>3783</v>
          </cell>
          <cell r="V107">
            <v>0.39106514857994662</v>
          </cell>
          <cell r="W107">
            <v>52.17</v>
          </cell>
          <cell r="X107" t="str">
            <v>UPI</v>
          </cell>
          <cell r="Z107">
            <v>3</v>
          </cell>
          <cell r="AA107" t="b">
            <v>0</v>
          </cell>
          <cell r="AC107" t="str">
            <v>Shipped</v>
          </cell>
          <cell r="AE107">
            <v>8</v>
          </cell>
        </row>
        <row r="108">
          <cell r="C108">
            <v>45458</v>
          </cell>
          <cell r="D108" t="str">
            <v>CUST46976</v>
          </cell>
          <cell r="E108" t="str">
            <v>Nikhil Sharma</v>
          </cell>
          <cell r="G108">
            <v>11</v>
          </cell>
          <cell r="H108" t="str">
            <v>Child</v>
          </cell>
          <cell r="J108" t="str">
            <v>Male</v>
          </cell>
          <cell r="K108" t="str">
            <v>East</v>
          </cell>
          <cell r="L108" t="str">
            <v>Patna</v>
          </cell>
          <cell r="M108" t="str">
            <v>Electronics</v>
          </cell>
          <cell r="N108" t="str">
            <v>Tablet</v>
          </cell>
          <cell r="P108">
            <v>3</v>
          </cell>
          <cell r="Q108">
            <v>48747.69</v>
          </cell>
          <cell r="S108">
            <v>0.28999999999999998</v>
          </cell>
          <cell r="T108">
            <v>172382.02</v>
          </cell>
          <cell r="U108">
            <v>22319.7</v>
          </cell>
          <cell r="V108">
            <v>0.12947812074600357</v>
          </cell>
          <cell r="W108">
            <v>42.24</v>
          </cell>
          <cell r="X108" t="str">
            <v>Net Banking</v>
          </cell>
          <cell r="Z108">
            <v>5</v>
          </cell>
          <cell r="AA108" t="b">
            <v>0</v>
          </cell>
          <cell r="AC108" t="str">
            <v>Delivered</v>
          </cell>
          <cell r="AE108">
            <v>6</v>
          </cell>
        </row>
        <row r="109">
          <cell r="C109">
            <v>44909</v>
          </cell>
          <cell r="D109" t="str">
            <v>CUST69585</v>
          </cell>
          <cell r="E109" t="str">
            <v>Sunita Joshi</v>
          </cell>
          <cell r="G109">
            <v>12</v>
          </cell>
          <cell r="H109" t="str">
            <v>Child</v>
          </cell>
          <cell r="J109" t="str">
            <v>Male</v>
          </cell>
          <cell r="K109" t="str">
            <v>West</v>
          </cell>
          <cell r="L109" t="str">
            <v>Ahmedabad</v>
          </cell>
          <cell r="M109" t="str">
            <v>Books</v>
          </cell>
          <cell r="N109" t="str">
            <v>Cook Book</v>
          </cell>
          <cell r="P109">
            <v>9</v>
          </cell>
          <cell r="Q109">
            <v>1471.74</v>
          </cell>
          <cell r="S109">
            <v>0.05</v>
          </cell>
          <cell r="T109">
            <v>10167.9</v>
          </cell>
          <cell r="U109">
            <v>5411.76</v>
          </cell>
          <cell r="V109">
            <v>0.53223969551234773</v>
          </cell>
          <cell r="W109">
            <v>50.89</v>
          </cell>
          <cell r="X109" t="str">
            <v>Cash on Delivery</v>
          </cell>
          <cell r="Z109">
            <v>4</v>
          </cell>
          <cell r="AA109" t="b">
            <v>0</v>
          </cell>
          <cell r="AC109" t="str">
            <v>Delivered</v>
          </cell>
          <cell r="AE109">
            <v>7</v>
          </cell>
        </row>
        <row r="110">
          <cell r="C110">
            <v>45032</v>
          </cell>
          <cell r="D110" t="str">
            <v>CUST69945</v>
          </cell>
          <cell r="E110" t="str">
            <v>Rahul Das</v>
          </cell>
          <cell r="G110">
            <v>36</v>
          </cell>
          <cell r="H110" t="str">
            <v>Adult</v>
          </cell>
          <cell r="J110" t="str">
            <v>Male</v>
          </cell>
          <cell r="K110" t="str">
            <v>West</v>
          </cell>
          <cell r="L110" t="str">
            <v>Surat</v>
          </cell>
          <cell r="M110" t="str">
            <v>Electronics</v>
          </cell>
          <cell r="N110" t="str">
            <v>Laptop</v>
          </cell>
          <cell r="P110">
            <v>8</v>
          </cell>
          <cell r="Q110">
            <v>27632.84</v>
          </cell>
          <cell r="S110">
            <v>0.08</v>
          </cell>
          <cell r="T110">
            <v>295286.40999999997</v>
          </cell>
          <cell r="U110">
            <v>33436.120000000003</v>
          </cell>
          <cell r="V110">
            <v>0.11323284400389441</v>
          </cell>
          <cell r="W110">
            <v>20.29</v>
          </cell>
          <cell r="X110" t="str">
            <v>Net Banking</v>
          </cell>
          <cell r="Z110">
            <v>3</v>
          </cell>
          <cell r="AA110" t="b">
            <v>0</v>
          </cell>
          <cell r="AC110" t="str">
            <v>Delivered</v>
          </cell>
          <cell r="AE110">
            <v>7</v>
          </cell>
        </row>
        <row r="111">
          <cell r="C111">
            <v>44324</v>
          </cell>
          <cell r="D111" t="str">
            <v>CUST80149</v>
          </cell>
          <cell r="E111" t="str">
            <v>Pooja Mishra</v>
          </cell>
          <cell r="G111">
            <v>37</v>
          </cell>
          <cell r="H111" t="str">
            <v>Adult</v>
          </cell>
          <cell r="J111" t="str">
            <v>Other</v>
          </cell>
          <cell r="K111" t="str">
            <v>West</v>
          </cell>
          <cell r="L111" t="str">
            <v>Mumbai</v>
          </cell>
          <cell r="M111" t="str">
            <v>Sports</v>
          </cell>
          <cell r="N111" t="str">
            <v>Cycle</v>
          </cell>
          <cell r="P111">
            <v>7</v>
          </cell>
          <cell r="Q111">
            <v>11542.97</v>
          </cell>
          <cell r="S111">
            <v>0.16</v>
          </cell>
          <cell r="T111">
            <v>97177.38</v>
          </cell>
          <cell r="U111">
            <v>24424.83</v>
          </cell>
          <cell r="V111">
            <v>0.25134275075125506</v>
          </cell>
          <cell r="W111">
            <v>53.27</v>
          </cell>
          <cell r="X111" t="str">
            <v>EMI</v>
          </cell>
          <cell r="Z111">
            <v>1</v>
          </cell>
          <cell r="AA111" t="b">
            <v>1</v>
          </cell>
          <cell r="AC111" t="str">
            <v>Returned</v>
          </cell>
          <cell r="AE111">
            <v>7</v>
          </cell>
        </row>
        <row r="112">
          <cell r="C112">
            <v>43869</v>
          </cell>
          <cell r="D112" t="str">
            <v>CUST45487</v>
          </cell>
          <cell r="E112" t="str">
            <v>Sunita Joshi</v>
          </cell>
          <cell r="G112">
            <v>34</v>
          </cell>
          <cell r="H112" t="str">
            <v>Young Adult</v>
          </cell>
          <cell r="J112" t="str">
            <v>Other</v>
          </cell>
          <cell r="K112" t="str">
            <v>West</v>
          </cell>
          <cell r="L112" t="str">
            <v>Pune</v>
          </cell>
          <cell r="M112" t="str">
            <v>Books</v>
          </cell>
          <cell r="N112" t="str">
            <v>Cook Book</v>
          </cell>
          <cell r="P112">
            <v>8</v>
          </cell>
          <cell r="Q112">
            <v>1325.02</v>
          </cell>
          <cell r="S112">
            <v>0.09</v>
          </cell>
          <cell r="T112">
            <v>8717.89</v>
          </cell>
          <cell r="U112">
            <v>3265.49</v>
          </cell>
          <cell r="V112">
            <v>0.37457343462695675</v>
          </cell>
          <cell r="W112">
            <v>41.67</v>
          </cell>
          <cell r="X112" t="str">
            <v>Debit Card</v>
          </cell>
          <cell r="Z112">
            <v>2</v>
          </cell>
          <cell r="AA112" t="b">
            <v>0</v>
          </cell>
          <cell r="AC112" t="str">
            <v>Cancelled</v>
          </cell>
          <cell r="AE112">
            <v>5</v>
          </cell>
        </row>
        <row r="113">
          <cell r="C113">
            <v>45485</v>
          </cell>
          <cell r="D113" t="str">
            <v>CUST42902</v>
          </cell>
          <cell r="E113" t="str">
            <v>Rahul Kumar</v>
          </cell>
          <cell r="G113">
            <v>50</v>
          </cell>
          <cell r="H113" t="str">
            <v>Adult</v>
          </cell>
          <cell r="J113" t="str">
            <v>Other</v>
          </cell>
          <cell r="K113" t="str">
            <v>South</v>
          </cell>
          <cell r="L113" t="str">
            <v>Hyderabad</v>
          </cell>
          <cell r="M113" t="str">
            <v>Groceries</v>
          </cell>
          <cell r="N113" t="str">
            <v>Sugar</v>
          </cell>
          <cell r="P113">
            <v>7.0954861111111107</v>
          </cell>
          <cell r="Q113">
            <v>84.21</v>
          </cell>
          <cell r="S113">
            <v>0.13</v>
          </cell>
          <cell r="T113">
            <v>125.78</v>
          </cell>
          <cell r="U113">
            <v>8.9</v>
          </cell>
          <cell r="V113">
            <v>7.0758467164891078E-2</v>
          </cell>
          <cell r="W113">
            <v>47.91</v>
          </cell>
          <cell r="X113" t="str">
            <v>Cash on Delivery</v>
          </cell>
          <cell r="Z113">
            <v>4</v>
          </cell>
          <cell r="AA113" t="b">
            <v>0</v>
          </cell>
          <cell r="AC113" t="str">
            <v>Delivered</v>
          </cell>
          <cell r="AE113">
            <v>2</v>
          </cell>
        </row>
        <row r="114">
          <cell r="C114">
            <v>45078</v>
          </cell>
          <cell r="D114" t="str">
            <v>CUST07917</v>
          </cell>
          <cell r="E114" t="str">
            <v>Nikhil Nair</v>
          </cell>
          <cell r="G114">
            <v>34</v>
          </cell>
          <cell r="H114" t="str">
            <v>Young Adult</v>
          </cell>
          <cell r="J114" t="str">
            <v>Male</v>
          </cell>
          <cell r="K114" t="str">
            <v>East</v>
          </cell>
          <cell r="L114" t="str">
            <v>Guwahati</v>
          </cell>
          <cell r="M114" t="str">
            <v>Sports</v>
          </cell>
          <cell r="N114" t="str">
            <v>Football</v>
          </cell>
          <cell r="P114">
            <v>6</v>
          </cell>
          <cell r="Q114">
            <v>5611.57</v>
          </cell>
          <cell r="S114">
            <v>0.2</v>
          </cell>
          <cell r="T114">
            <v>37888.42</v>
          </cell>
          <cell r="U114">
            <v>6107.6</v>
          </cell>
          <cell r="V114">
            <v>0.16119964886368976</v>
          </cell>
          <cell r="W114">
            <v>97.42</v>
          </cell>
          <cell r="X114" t="str">
            <v>Credit Card</v>
          </cell>
          <cell r="Z114">
            <v>5</v>
          </cell>
          <cell r="AA114" t="b">
            <v>0</v>
          </cell>
          <cell r="AC114" t="str">
            <v>Delivered</v>
          </cell>
          <cell r="AE114">
            <v>2</v>
          </cell>
        </row>
        <row r="115">
          <cell r="C115">
            <v>45276</v>
          </cell>
          <cell r="D115" t="str">
            <v>CUST26677</v>
          </cell>
          <cell r="E115" t="str">
            <v>Rahul Chatterjee</v>
          </cell>
          <cell r="G115">
            <v>45</v>
          </cell>
          <cell r="H115" t="str">
            <v>Adult</v>
          </cell>
          <cell r="J115" t="str">
            <v>Female</v>
          </cell>
          <cell r="K115" t="str">
            <v>Central</v>
          </cell>
          <cell r="L115" t="str">
            <v>Raipur</v>
          </cell>
          <cell r="M115" t="str">
            <v>Groceries</v>
          </cell>
          <cell r="N115" t="str">
            <v>Tea</v>
          </cell>
          <cell r="P115">
            <v>9</v>
          </cell>
          <cell r="Q115">
            <v>312.52999999999997</v>
          </cell>
          <cell r="S115">
            <v>0.35</v>
          </cell>
          <cell r="T115">
            <v>1437</v>
          </cell>
          <cell r="U115">
            <v>155.72999999999999</v>
          </cell>
          <cell r="V115">
            <v>0.10837160751565761</v>
          </cell>
          <cell r="W115">
            <v>48.28</v>
          </cell>
          <cell r="X115" t="str">
            <v>Cash on Delivery</v>
          </cell>
          <cell r="Z115">
            <v>4</v>
          </cell>
          <cell r="AA115" t="b">
            <v>0</v>
          </cell>
          <cell r="AC115" t="str">
            <v>Shipped</v>
          </cell>
          <cell r="AE115">
            <v>5</v>
          </cell>
        </row>
        <row r="116">
          <cell r="C116">
            <v>45647</v>
          </cell>
          <cell r="D116" t="str">
            <v>CUST44560</v>
          </cell>
          <cell r="E116" t="str">
            <v>Amit Verma</v>
          </cell>
          <cell r="G116">
            <v>49</v>
          </cell>
          <cell r="H116" t="str">
            <v>Adult</v>
          </cell>
          <cell r="J116" t="str">
            <v>Female</v>
          </cell>
          <cell r="K116" t="str">
            <v>South</v>
          </cell>
          <cell r="L116" t="str">
            <v>Bangalore</v>
          </cell>
          <cell r="M116" t="str">
            <v>Sports</v>
          </cell>
          <cell r="N116" t="str">
            <v>Dumbbells</v>
          </cell>
          <cell r="P116">
            <v>2</v>
          </cell>
          <cell r="Q116">
            <v>13057.02</v>
          </cell>
          <cell r="S116">
            <v>0.35</v>
          </cell>
          <cell r="T116">
            <v>14206.67</v>
          </cell>
          <cell r="U116">
            <v>3578.76</v>
          </cell>
          <cell r="V116">
            <v>0.25190702676982013</v>
          </cell>
          <cell r="W116">
            <v>69.31</v>
          </cell>
          <cell r="X116" t="str">
            <v>Credit Card</v>
          </cell>
          <cell r="Z116">
            <v>5</v>
          </cell>
          <cell r="AA116" t="b">
            <v>0</v>
          </cell>
          <cell r="AC116" t="str">
            <v>Delivered</v>
          </cell>
          <cell r="AE116">
            <v>10</v>
          </cell>
        </row>
        <row r="117">
          <cell r="C117">
            <v>45047</v>
          </cell>
          <cell r="D117" t="str">
            <v>CUST85937</v>
          </cell>
          <cell r="E117" t="str">
            <v>Deepa Verma</v>
          </cell>
          <cell r="G117">
            <v>31</v>
          </cell>
          <cell r="H117" t="str">
            <v>Young Adult</v>
          </cell>
          <cell r="J117" t="str">
            <v>Male</v>
          </cell>
          <cell r="K117" t="str">
            <v>South</v>
          </cell>
          <cell r="L117" t="str">
            <v>Hyderabad</v>
          </cell>
          <cell r="M117" t="str">
            <v>Clothing</v>
          </cell>
          <cell r="N117" t="str">
            <v>Saree</v>
          </cell>
          <cell r="P117">
            <v>7</v>
          </cell>
          <cell r="Q117">
            <v>3482.32</v>
          </cell>
          <cell r="S117">
            <v>0.35</v>
          </cell>
          <cell r="T117">
            <v>26908.32</v>
          </cell>
          <cell r="U117">
            <v>8716.81</v>
          </cell>
          <cell r="V117">
            <v>0.32394478733715071</v>
          </cell>
          <cell r="W117">
            <v>68.92</v>
          </cell>
          <cell r="X117" t="str">
            <v>UPI</v>
          </cell>
          <cell r="Z117">
            <v>4</v>
          </cell>
          <cell r="AA117" t="b">
            <v>0</v>
          </cell>
          <cell r="AC117" t="str">
            <v>Delivered</v>
          </cell>
          <cell r="AE117">
            <v>7</v>
          </cell>
        </row>
        <row r="118">
          <cell r="C118">
            <v>44244</v>
          </cell>
          <cell r="D118" t="str">
            <v>CUST67405</v>
          </cell>
          <cell r="E118" t="str">
            <v>Meera Pillai</v>
          </cell>
          <cell r="G118">
            <v>48</v>
          </cell>
          <cell r="H118" t="str">
            <v>Adult</v>
          </cell>
          <cell r="J118" t="str">
            <v>Male</v>
          </cell>
          <cell r="K118" t="str">
            <v>Central</v>
          </cell>
          <cell r="L118" t="str">
            <v>Indore</v>
          </cell>
          <cell r="M118" t="str">
            <v>Sports</v>
          </cell>
          <cell r="N118" t="str">
            <v>Cycle</v>
          </cell>
          <cell r="P118">
            <v>3</v>
          </cell>
          <cell r="Q118">
            <v>11359.59</v>
          </cell>
          <cell r="S118">
            <v>0.01</v>
          </cell>
          <cell r="T118">
            <v>30752.81</v>
          </cell>
          <cell r="U118">
            <v>7374.96</v>
          </cell>
          <cell r="V118">
            <v>0.23981418283402395</v>
          </cell>
          <cell r="W118">
            <v>41.65</v>
          </cell>
          <cell r="X118" t="str">
            <v>Debit Card</v>
          </cell>
          <cell r="Z118">
            <v>1</v>
          </cell>
          <cell r="AA118" t="b">
            <v>0</v>
          </cell>
          <cell r="AC118" t="str">
            <v>Delivered</v>
          </cell>
          <cell r="AE118">
            <v>8</v>
          </cell>
        </row>
        <row r="119">
          <cell r="C119">
            <v>44175</v>
          </cell>
          <cell r="D119" t="str">
            <v>CUST23197</v>
          </cell>
          <cell r="E119" t="str">
            <v>Amit Patel</v>
          </cell>
          <cell r="G119">
            <v>28</v>
          </cell>
          <cell r="H119" t="str">
            <v>Young Adult</v>
          </cell>
          <cell r="J119" t="str">
            <v>Other</v>
          </cell>
          <cell r="K119" t="str">
            <v>Central</v>
          </cell>
          <cell r="L119" t="str">
            <v>Nagpur</v>
          </cell>
          <cell r="M119" t="str">
            <v>Sports</v>
          </cell>
          <cell r="N119" t="str">
            <v>Tennis Racket</v>
          </cell>
          <cell r="P119">
            <v>5</v>
          </cell>
          <cell r="Q119">
            <v>5242.7700000000004</v>
          </cell>
          <cell r="S119">
            <v>0.31</v>
          </cell>
          <cell r="T119">
            <v>13993.35</v>
          </cell>
          <cell r="U119">
            <v>2992.91</v>
          </cell>
          <cell r="V119">
            <v>0.21388087913187334</v>
          </cell>
          <cell r="W119">
            <v>74.58</v>
          </cell>
          <cell r="X119" t="str">
            <v>EMI</v>
          </cell>
          <cell r="Z119">
            <v>1</v>
          </cell>
          <cell r="AA119" t="b">
            <v>1</v>
          </cell>
          <cell r="AC119" t="str">
            <v>Returned</v>
          </cell>
          <cell r="AE119">
            <v>5</v>
          </cell>
        </row>
        <row r="120">
          <cell r="C120">
            <v>43864</v>
          </cell>
          <cell r="D120" t="str">
            <v>CUST63884</v>
          </cell>
          <cell r="E120" t="str">
            <v>Amit Das</v>
          </cell>
          <cell r="G120">
            <v>29</v>
          </cell>
          <cell r="H120" t="str">
            <v>Young Adult</v>
          </cell>
          <cell r="J120" t="str">
            <v>Female</v>
          </cell>
          <cell r="K120" t="str">
            <v>West</v>
          </cell>
          <cell r="L120" t="str">
            <v>Ahmedabad</v>
          </cell>
          <cell r="M120" t="str">
            <v>Furniture</v>
          </cell>
          <cell r="N120" t="str">
            <v>Chair</v>
          </cell>
          <cell r="P120">
            <v>10</v>
          </cell>
          <cell r="Q120">
            <v>9468.07</v>
          </cell>
          <cell r="S120">
            <v>0.32</v>
          </cell>
          <cell r="T120">
            <v>57174.239999999998</v>
          </cell>
          <cell r="U120">
            <v>15202.22</v>
          </cell>
          <cell r="V120">
            <v>0.26589282166234302</v>
          </cell>
          <cell r="W120">
            <v>40.98</v>
          </cell>
          <cell r="X120" t="str">
            <v>EMI</v>
          </cell>
          <cell r="Z120">
            <v>3</v>
          </cell>
          <cell r="AA120" t="b">
            <v>0</v>
          </cell>
          <cell r="AC120" t="str">
            <v>Delivered</v>
          </cell>
          <cell r="AE120">
            <v>2</v>
          </cell>
        </row>
        <row r="121">
          <cell r="C121">
            <v>44193</v>
          </cell>
          <cell r="D121" t="str">
            <v>CUST49838</v>
          </cell>
          <cell r="E121" t="str">
            <v>Sunita Gupta</v>
          </cell>
          <cell r="G121">
            <v>37</v>
          </cell>
          <cell r="H121" t="str">
            <v>Adult</v>
          </cell>
          <cell r="J121" t="str">
            <v>Other</v>
          </cell>
          <cell r="K121" t="str">
            <v>South</v>
          </cell>
          <cell r="L121" t="str">
            <v>Bangalore</v>
          </cell>
          <cell r="M121" t="str">
            <v>Groceries</v>
          </cell>
          <cell r="N121" t="str">
            <v>Flour</v>
          </cell>
          <cell r="P121">
            <v>8</v>
          </cell>
          <cell r="Q121">
            <v>491.76</v>
          </cell>
          <cell r="S121">
            <v>0.08</v>
          </cell>
          <cell r="T121">
            <v>2780.1</v>
          </cell>
          <cell r="U121">
            <v>223.65</v>
          </cell>
          <cell r="V121">
            <v>8.0446746519909365E-2</v>
          </cell>
          <cell r="W121">
            <v>61.84</v>
          </cell>
          <cell r="X121" t="str">
            <v>UPI</v>
          </cell>
          <cell r="Z121">
            <v>2</v>
          </cell>
          <cell r="AA121" t="b">
            <v>0</v>
          </cell>
          <cell r="AC121" t="str">
            <v>Delivered</v>
          </cell>
          <cell r="AE121">
            <v>4</v>
          </cell>
        </row>
        <row r="122">
          <cell r="C122">
            <v>44667</v>
          </cell>
          <cell r="D122" t="str">
            <v>CUST28783</v>
          </cell>
          <cell r="E122" t="str">
            <v>Rohan Shah</v>
          </cell>
          <cell r="G122">
            <v>42</v>
          </cell>
          <cell r="H122" t="str">
            <v>Adult</v>
          </cell>
          <cell r="J122" t="str">
            <v>Male</v>
          </cell>
          <cell r="K122" t="str">
            <v>East</v>
          </cell>
          <cell r="L122" t="str">
            <v>Bhubaneswar</v>
          </cell>
          <cell r="M122" t="str">
            <v>Beauty</v>
          </cell>
          <cell r="N122" t="str">
            <v>Perfume</v>
          </cell>
          <cell r="P122">
            <v>7</v>
          </cell>
          <cell r="Q122">
            <v>2235.02</v>
          </cell>
          <cell r="S122">
            <v>0.37</v>
          </cell>
          <cell r="T122">
            <v>11756.21</v>
          </cell>
          <cell r="U122">
            <v>7295.66</v>
          </cell>
          <cell r="V122">
            <v>0.62057925130633085</v>
          </cell>
          <cell r="W122">
            <v>68.83</v>
          </cell>
          <cell r="X122" t="str">
            <v>UPI</v>
          </cell>
          <cell r="Z122">
            <v>1</v>
          </cell>
          <cell r="AA122" t="b">
            <v>1</v>
          </cell>
          <cell r="AC122" t="str">
            <v>Returned</v>
          </cell>
          <cell r="AE122">
            <v>8</v>
          </cell>
        </row>
        <row r="123">
          <cell r="C123">
            <v>45616</v>
          </cell>
          <cell r="D123" t="str">
            <v>CUST36614</v>
          </cell>
          <cell r="E123" t="str">
            <v>Shreya Pillai</v>
          </cell>
          <cell r="G123">
            <v>27</v>
          </cell>
          <cell r="H123" t="str">
            <v>Young Adult</v>
          </cell>
          <cell r="J123" t="str">
            <v>Other</v>
          </cell>
          <cell r="K123" t="str">
            <v>East</v>
          </cell>
          <cell r="L123" t="str">
            <v>Guwahati</v>
          </cell>
          <cell r="M123" t="str">
            <v>Books</v>
          </cell>
          <cell r="N123" t="str">
            <v>Comic Book</v>
          </cell>
          <cell r="P123">
            <v>9</v>
          </cell>
          <cell r="Q123">
            <v>1324.57</v>
          </cell>
          <cell r="S123">
            <v>0.38</v>
          </cell>
          <cell r="T123">
            <v>7683.45</v>
          </cell>
          <cell r="U123">
            <v>2086.59</v>
          </cell>
          <cell r="V123">
            <v>0.27156941217812314</v>
          </cell>
          <cell r="W123">
            <v>82.14</v>
          </cell>
          <cell r="X123" t="str">
            <v>UPI</v>
          </cell>
          <cell r="Z123">
            <v>4</v>
          </cell>
          <cell r="AA123" t="b">
            <v>0</v>
          </cell>
          <cell r="AC123" t="str">
            <v>Delivered</v>
          </cell>
          <cell r="AE123">
            <v>4</v>
          </cell>
        </row>
        <row r="124">
          <cell r="C124">
            <v>45114</v>
          </cell>
          <cell r="D124" t="str">
            <v>CUST21979</v>
          </cell>
          <cell r="E124" t="str">
            <v>Sanjay Singh</v>
          </cell>
          <cell r="G124">
            <v>54</v>
          </cell>
          <cell r="H124" t="str">
            <v>Senior</v>
          </cell>
          <cell r="J124" t="str">
            <v>Male</v>
          </cell>
          <cell r="K124" t="str">
            <v>North</v>
          </cell>
          <cell r="L124" t="str">
            <v>Chandigarh</v>
          </cell>
          <cell r="M124" t="str">
            <v>Sports</v>
          </cell>
          <cell r="N124" t="str">
            <v>Cricket Bat</v>
          </cell>
          <cell r="P124">
            <v>1</v>
          </cell>
          <cell r="Q124">
            <v>9949.4699999999993</v>
          </cell>
          <cell r="S124">
            <v>0.06</v>
          </cell>
          <cell r="T124">
            <v>13501.36</v>
          </cell>
          <cell r="U124">
            <v>3908.34</v>
          </cell>
          <cell r="V124">
            <v>0.28947750448843673</v>
          </cell>
          <cell r="W124">
            <v>42.57</v>
          </cell>
          <cell r="X124" t="str">
            <v>UPI</v>
          </cell>
          <cell r="Z124">
            <v>3</v>
          </cell>
          <cell r="AA124" t="b">
            <v>0</v>
          </cell>
          <cell r="AC124" t="str">
            <v>Delivered</v>
          </cell>
          <cell r="AE124">
            <v>5</v>
          </cell>
        </row>
        <row r="125">
          <cell r="C125">
            <v>44796</v>
          </cell>
          <cell r="D125" t="str">
            <v>CUST44717</v>
          </cell>
          <cell r="E125" t="str">
            <v>Meera Chatterjee</v>
          </cell>
          <cell r="G125">
            <v>34</v>
          </cell>
          <cell r="H125" t="str">
            <v>Young Adult</v>
          </cell>
          <cell r="J125" t="str">
            <v>Male</v>
          </cell>
          <cell r="K125" t="str">
            <v>East</v>
          </cell>
          <cell r="L125" t="str">
            <v>Kolkata</v>
          </cell>
          <cell r="M125" t="str">
            <v>Electronics</v>
          </cell>
          <cell r="N125" t="str">
            <v>Headphones</v>
          </cell>
          <cell r="P125">
            <v>6</v>
          </cell>
          <cell r="Q125">
            <v>45624.04</v>
          </cell>
          <cell r="S125">
            <v>0.24</v>
          </cell>
          <cell r="T125">
            <v>274607.48</v>
          </cell>
          <cell r="U125">
            <v>23542.83</v>
          </cell>
          <cell r="V125">
            <v>8.5732661033122631E-2</v>
          </cell>
          <cell r="W125">
            <v>97.97</v>
          </cell>
          <cell r="X125" t="str">
            <v>UPI</v>
          </cell>
          <cell r="Z125">
            <v>4</v>
          </cell>
          <cell r="AA125" t="b">
            <v>0</v>
          </cell>
          <cell r="AC125" t="str">
            <v>Delivered</v>
          </cell>
          <cell r="AE125">
            <v>7</v>
          </cell>
        </row>
        <row r="126">
          <cell r="C126">
            <v>45065</v>
          </cell>
          <cell r="D126" t="str">
            <v>CUST76017</v>
          </cell>
          <cell r="E126" t="str">
            <v>Arjun Chatterjee</v>
          </cell>
          <cell r="G126">
            <v>37</v>
          </cell>
          <cell r="H126" t="str">
            <v>Adult</v>
          </cell>
          <cell r="J126" t="str">
            <v>Female</v>
          </cell>
          <cell r="K126" t="str">
            <v>Central</v>
          </cell>
          <cell r="L126" t="str">
            <v>Bhopal</v>
          </cell>
          <cell r="M126" t="str">
            <v>Furniture</v>
          </cell>
          <cell r="N126" t="str">
            <v>Bookshelf</v>
          </cell>
          <cell r="P126">
            <v>10</v>
          </cell>
          <cell r="Q126">
            <v>7630.7</v>
          </cell>
          <cell r="S126">
            <v>0.21</v>
          </cell>
          <cell r="T126">
            <v>99978.26</v>
          </cell>
          <cell r="U126">
            <v>21558.18</v>
          </cell>
          <cell r="V126">
            <v>0.21562867767452645</v>
          </cell>
          <cell r="W126">
            <v>46.42</v>
          </cell>
          <cell r="X126" t="str">
            <v>Cash on Delivery</v>
          </cell>
          <cell r="Z126">
            <v>5</v>
          </cell>
          <cell r="AA126" t="b">
            <v>0</v>
          </cell>
          <cell r="AC126" t="str">
            <v>Cancelled</v>
          </cell>
          <cell r="AE126">
            <v>8</v>
          </cell>
        </row>
        <row r="127">
          <cell r="C127">
            <v>44009</v>
          </cell>
          <cell r="D127" t="str">
            <v>CUST97162</v>
          </cell>
          <cell r="E127" t="str">
            <v>Sanjay Mehta</v>
          </cell>
          <cell r="G127">
            <v>46</v>
          </cell>
          <cell r="H127" t="str">
            <v>Adult</v>
          </cell>
          <cell r="J127" t="str">
            <v>Female</v>
          </cell>
          <cell r="K127" t="str">
            <v>East</v>
          </cell>
          <cell r="L127" t="str">
            <v>Bhubaneswar</v>
          </cell>
          <cell r="M127" t="str">
            <v>Sports</v>
          </cell>
          <cell r="N127" t="str">
            <v>Cricket Bat</v>
          </cell>
          <cell r="P127">
            <v>1</v>
          </cell>
          <cell r="Q127">
            <v>4889.3</v>
          </cell>
          <cell r="S127">
            <v>0.16</v>
          </cell>
          <cell r="T127">
            <v>5849.95</v>
          </cell>
          <cell r="U127">
            <v>1406.77</v>
          </cell>
          <cell r="V127">
            <v>0.2404755596201677</v>
          </cell>
          <cell r="W127">
            <v>63.96</v>
          </cell>
          <cell r="X127" t="str">
            <v>Net Banking</v>
          </cell>
          <cell r="Z127">
            <v>1</v>
          </cell>
          <cell r="AA127" t="b">
            <v>0</v>
          </cell>
          <cell r="AC127" t="str">
            <v>Delivered</v>
          </cell>
          <cell r="AE127">
            <v>6</v>
          </cell>
        </row>
        <row r="128">
          <cell r="C128">
            <v>44064</v>
          </cell>
          <cell r="D128" t="str">
            <v>CUST94563</v>
          </cell>
          <cell r="E128" t="str">
            <v>Amit Das</v>
          </cell>
          <cell r="G128">
            <v>56</v>
          </cell>
          <cell r="H128" t="str">
            <v>Senior</v>
          </cell>
          <cell r="J128" t="str">
            <v>Male</v>
          </cell>
          <cell r="K128" t="str">
            <v>East</v>
          </cell>
          <cell r="L128" t="str">
            <v>Bhubaneswar</v>
          </cell>
          <cell r="M128" t="str">
            <v>Clothing</v>
          </cell>
          <cell r="N128" t="str">
            <v>Dress</v>
          </cell>
          <cell r="P128">
            <v>5</v>
          </cell>
          <cell r="Q128">
            <v>2614.79</v>
          </cell>
          <cell r="S128">
            <v>0.12</v>
          </cell>
          <cell r="T128">
            <v>12884.93</v>
          </cell>
          <cell r="U128">
            <v>2796.07</v>
          </cell>
          <cell r="V128">
            <v>0.21700311914771753</v>
          </cell>
          <cell r="W128">
            <v>55.45</v>
          </cell>
          <cell r="X128" t="str">
            <v>Credit Card</v>
          </cell>
          <cell r="Z128">
            <v>4</v>
          </cell>
          <cell r="AA128" t="b">
            <v>1</v>
          </cell>
          <cell r="AC128" t="str">
            <v>Returned</v>
          </cell>
          <cell r="AE128">
            <v>9</v>
          </cell>
        </row>
        <row r="129">
          <cell r="C129">
            <v>43948</v>
          </cell>
          <cell r="D129" t="str">
            <v>CUST64785</v>
          </cell>
          <cell r="E129" t="str">
            <v>Sunita Reddy</v>
          </cell>
          <cell r="G129">
            <v>32</v>
          </cell>
          <cell r="H129" t="str">
            <v>Young Adult</v>
          </cell>
          <cell r="J129" t="str">
            <v>Female</v>
          </cell>
          <cell r="K129" t="str">
            <v>West</v>
          </cell>
          <cell r="L129" t="str">
            <v>Mumbai</v>
          </cell>
          <cell r="M129" t="str">
            <v>Books</v>
          </cell>
          <cell r="N129" t="str">
            <v>Cook Book</v>
          </cell>
          <cell r="P129">
            <v>7</v>
          </cell>
          <cell r="Q129">
            <v>257.18</v>
          </cell>
          <cell r="S129">
            <v>0.28999999999999998</v>
          </cell>
          <cell r="T129">
            <v>1452.88</v>
          </cell>
          <cell r="U129">
            <v>604.80999999999995</v>
          </cell>
          <cell r="V129">
            <v>0.41628351962997623</v>
          </cell>
          <cell r="W129">
            <v>60.36</v>
          </cell>
          <cell r="X129" t="str">
            <v>Credit Card</v>
          </cell>
          <cell r="Z129">
            <v>1</v>
          </cell>
          <cell r="AA129" t="b">
            <v>0</v>
          </cell>
          <cell r="AC129" t="str">
            <v>Cancelled</v>
          </cell>
          <cell r="AE129">
            <v>5</v>
          </cell>
        </row>
        <row r="130">
          <cell r="C130">
            <v>45033</v>
          </cell>
          <cell r="D130" t="str">
            <v>CUST21931</v>
          </cell>
          <cell r="E130" t="str">
            <v>Kavya Mehta</v>
          </cell>
          <cell r="G130">
            <v>34.294220665499125</v>
          </cell>
          <cell r="H130" t="str">
            <v>Young Adult</v>
          </cell>
          <cell r="J130" t="str">
            <v>Female</v>
          </cell>
          <cell r="K130" t="str">
            <v>West</v>
          </cell>
          <cell r="L130" t="str">
            <v>Surat</v>
          </cell>
          <cell r="M130" t="str">
            <v>Books</v>
          </cell>
          <cell r="N130" t="str">
            <v>Textbook</v>
          </cell>
          <cell r="P130">
            <v>8</v>
          </cell>
          <cell r="Q130">
            <v>337.73</v>
          </cell>
          <cell r="S130">
            <v>0.38</v>
          </cell>
          <cell r="T130">
            <v>2495.0500000000002</v>
          </cell>
          <cell r="U130">
            <v>1142.99</v>
          </cell>
          <cell r="V130">
            <v>0.45810304402717378</v>
          </cell>
          <cell r="W130">
            <v>48.99</v>
          </cell>
          <cell r="X130" t="str">
            <v>Cash on Delivery</v>
          </cell>
          <cell r="Z130">
            <v>5</v>
          </cell>
          <cell r="AA130" t="b">
            <v>1</v>
          </cell>
          <cell r="AC130" t="str">
            <v>Returned</v>
          </cell>
          <cell r="AE130">
            <v>6</v>
          </cell>
        </row>
        <row r="131">
          <cell r="C131">
            <v>44260</v>
          </cell>
          <cell r="D131" t="str">
            <v>CUST85939</v>
          </cell>
          <cell r="E131" t="str">
            <v>Nikhil Patel</v>
          </cell>
          <cell r="G131">
            <v>47</v>
          </cell>
          <cell r="H131" t="str">
            <v>Adult</v>
          </cell>
          <cell r="J131" t="str">
            <v>Female</v>
          </cell>
          <cell r="K131" t="str">
            <v>North</v>
          </cell>
          <cell r="L131" t="str">
            <v>Amritsar</v>
          </cell>
          <cell r="M131" t="str">
            <v>Furniture</v>
          </cell>
          <cell r="N131" t="str">
            <v>Chair</v>
          </cell>
          <cell r="P131">
            <v>6</v>
          </cell>
          <cell r="Q131">
            <v>29194.28</v>
          </cell>
          <cell r="S131">
            <v>0.36</v>
          </cell>
          <cell r="T131">
            <v>144911.63</v>
          </cell>
          <cell r="U131">
            <v>54404.2</v>
          </cell>
          <cell r="V131">
            <v>0.37543018458904914</v>
          </cell>
          <cell r="W131">
            <v>64.14</v>
          </cell>
          <cell r="X131" t="str">
            <v>Credit Card</v>
          </cell>
          <cell r="Z131">
            <v>3</v>
          </cell>
          <cell r="AA131" t="b">
            <v>0</v>
          </cell>
          <cell r="AC131" t="str">
            <v>Delivered</v>
          </cell>
          <cell r="AE131">
            <v>9</v>
          </cell>
        </row>
        <row r="132">
          <cell r="C132">
            <v>45428</v>
          </cell>
          <cell r="D132" t="str">
            <v>CUST45890</v>
          </cell>
          <cell r="E132" t="str">
            <v>Ritu Patel</v>
          </cell>
          <cell r="G132">
            <v>16</v>
          </cell>
          <cell r="H132" t="str">
            <v>Teen</v>
          </cell>
          <cell r="J132" t="str">
            <v>Male</v>
          </cell>
          <cell r="K132" t="str">
            <v>West</v>
          </cell>
          <cell r="L132" t="str">
            <v>Mumbai</v>
          </cell>
          <cell r="M132" t="str">
            <v>Electronics</v>
          </cell>
          <cell r="N132" t="str">
            <v>Camera</v>
          </cell>
          <cell r="P132">
            <v>4</v>
          </cell>
          <cell r="Q132">
            <v>20489.54</v>
          </cell>
          <cell r="S132">
            <v>0.01</v>
          </cell>
          <cell r="T132">
            <v>161033.98000000001</v>
          </cell>
          <cell r="U132">
            <v>22669.85</v>
          </cell>
          <cell r="V132">
            <v>0.14077680996271716</v>
          </cell>
          <cell r="W132">
            <v>73.53</v>
          </cell>
          <cell r="X132" t="str">
            <v>Cash on Delivery</v>
          </cell>
          <cell r="Z132">
            <v>1</v>
          </cell>
          <cell r="AA132" t="b">
            <v>0</v>
          </cell>
          <cell r="AC132" t="str">
            <v>Pending</v>
          </cell>
          <cell r="AE132">
            <v>4</v>
          </cell>
        </row>
        <row r="133">
          <cell r="C133">
            <v>44419</v>
          </cell>
          <cell r="D133" t="str">
            <v>CUST84751</v>
          </cell>
          <cell r="E133" t="str">
            <v>Vikram Kumar</v>
          </cell>
          <cell r="G133">
            <v>14</v>
          </cell>
          <cell r="H133" t="str">
            <v>Teen</v>
          </cell>
          <cell r="J133" t="str">
            <v>Male</v>
          </cell>
          <cell r="K133" t="str">
            <v>South</v>
          </cell>
          <cell r="L133" t="str">
            <v>Kochi</v>
          </cell>
          <cell r="M133" t="str">
            <v>Sports</v>
          </cell>
          <cell r="N133" t="str">
            <v>Yoga Mat</v>
          </cell>
          <cell r="P133">
            <v>2</v>
          </cell>
          <cell r="Q133">
            <v>11904.59</v>
          </cell>
          <cell r="S133">
            <v>0.18</v>
          </cell>
          <cell r="T133">
            <v>25494.32</v>
          </cell>
          <cell r="U133">
            <v>6649.59</v>
          </cell>
          <cell r="V133">
            <v>0.26082633308125103</v>
          </cell>
          <cell r="W133">
            <v>66.45</v>
          </cell>
          <cell r="X133" t="str">
            <v>EMI</v>
          </cell>
          <cell r="Z133">
            <v>5</v>
          </cell>
          <cell r="AA133" t="b">
            <v>0</v>
          </cell>
          <cell r="AC133" t="str">
            <v>Delivered</v>
          </cell>
          <cell r="AE133">
            <v>2</v>
          </cell>
        </row>
        <row r="134">
          <cell r="C134">
            <v>44135</v>
          </cell>
          <cell r="D134" t="str">
            <v>CUST71562</v>
          </cell>
          <cell r="E134" t="str">
            <v>Rahul Bhat</v>
          </cell>
          <cell r="G134">
            <v>35</v>
          </cell>
          <cell r="H134" t="str">
            <v>Young Adult</v>
          </cell>
          <cell r="J134" t="str">
            <v>Female</v>
          </cell>
          <cell r="K134" t="str">
            <v>West</v>
          </cell>
          <cell r="L134" t="str">
            <v>Ahmedabad</v>
          </cell>
          <cell r="M134" t="str">
            <v>Electronics</v>
          </cell>
          <cell r="N134" t="str">
            <v>Camera</v>
          </cell>
          <cell r="P134">
            <v>5</v>
          </cell>
          <cell r="Q134">
            <v>49817.06</v>
          </cell>
          <cell r="S134">
            <v>0.28000000000000003</v>
          </cell>
          <cell r="T134">
            <v>167889.68</v>
          </cell>
          <cell r="U134">
            <v>16722.18</v>
          </cell>
          <cell r="V134">
            <v>9.9602191153142949E-2</v>
          </cell>
          <cell r="W134">
            <v>42.95</v>
          </cell>
          <cell r="X134" t="str">
            <v>UPI</v>
          </cell>
          <cell r="Z134">
            <v>3</v>
          </cell>
          <cell r="AA134" t="b">
            <v>0</v>
          </cell>
          <cell r="AC134" t="str">
            <v>Pending</v>
          </cell>
          <cell r="AE134">
            <v>3</v>
          </cell>
        </row>
        <row r="135">
          <cell r="C135">
            <v>45591</v>
          </cell>
          <cell r="D135" t="str">
            <v>CUST99521</v>
          </cell>
          <cell r="E135" t="str">
            <v>Kavya Pillai</v>
          </cell>
          <cell r="G135">
            <v>42</v>
          </cell>
          <cell r="H135" t="str">
            <v>Adult</v>
          </cell>
          <cell r="J135" t="str">
            <v>Other</v>
          </cell>
          <cell r="K135" t="str">
            <v>West</v>
          </cell>
          <cell r="L135" t="str">
            <v>Ahmedabad</v>
          </cell>
          <cell r="M135" t="str">
            <v>Furniture</v>
          </cell>
          <cell r="N135" t="str">
            <v>Sofa</v>
          </cell>
          <cell r="P135">
            <v>4</v>
          </cell>
          <cell r="Q135">
            <v>10887.68</v>
          </cell>
          <cell r="S135">
            <v>0.14000000000000001</v>
          </cell>
          <cell r="T135">
            <v>46926.73</v>
          </cell>
          <cell r="U135">
            <v>14349.22</v>
          </cell>
          <cell r="V135">
            <v>0.30577924351430408</v>
          </cell>
          <cell r="W135">
            <v>57.18</v>
          </cell>
          <cell r="X135" t="str">
            <v>EMI</v>
          </cell>
          <cell r="Z135">
            <v>3</v>
          </cell>
          <cell r="AA135" t="b">
            <v>0</v>
          </cell>
          <cell r="AC135" t="str">
            <v>Delivered</v>
          </cell>
          <cell r="AE135">
            <v>6</v>
          </cell>
        </row>
        <row r="136">
          <cell r="C136">
            <v>44713</v>
          </cell>
          <cell r="D136" t="str">
            <v>CUST48253</v>
          </cell>
          <cell r="E136" t="str">
            <v>Meera Kumar</v>
          </cell>
          <cell r="G136">
            <v>36</v>
          </cell>
          <cell r="H136" t="str">
            <v>Adult</v>
          </cell>
          <cell r="J136" t="str">
            <v>Male</v>
          </cell>
          <cell r="K136" t="str">
            <v>North</v>
          </cell>
          <cell r="L136" t="str">
            <v>Chandigarh</v>
          </cell>
          <cell r="M136" t="str">
            <v>Clothing</v>
          </cell>
          <cell r="N136" t="str">
            <v>Saree</v>
          </cell>
          <cell r="P136">
            <v>5</v>
          </cell>
          <cell r="Q136">
            <v>451.03</v>
          </cell>
          <cell r="S136">
            <v>0.19</v>
          </cell>
          <cell r="T136">
            <v>2632.07</v>
          </cell>
          <cell r="U136">
            <v>1165.8900000000001</v>
          </cell>
          <cell r="V136">
            <v>0.44295554449539715</v>
          </cell>
          <cell r="W136">
            <v>23.32</v>
          </cell>
          <cell r="X136" t="str">
            <v>Net Banking</v>
          </cell>
          <cell r="Z136">
            <v>5</v>
          </cell>
          <cell r="AA136" t="b">
            <v>0</v>
          </cell>
          <cell r="AC136" t="str">
            <v>Delivered</v>
          </cell>
          <cell r="AE136">
            <v>10</v>
          </cell>
        </row>
        <row r="137">
          <cell r="C137">
            <v>44539</v>
          </cell>
          <cell r="D137" t="str">
            <v>CUST51398</v>
          </cell>
          <cell r="E137" t="str">
            <v>Karan Bose</v>
          </cell>
          <cell r="G137">
            <v>36</v>
          </cell>
          <cell r="H137" t="str">
            <v>Adult</v>
          </cell>
          <cell r="J137" t="str">
            <v>Female</v>
          </cell>
          <cell r="K137" t="str">
            <v>North</v>
          </cell>
          <cell r="L137" t="str">
            <v>Delhi</v>
          </cell>
          <cell r="M137" t="str">
            <v>Books</v>
          </cell>
          <cell r="N137" t="str">
            <v>Self-Help Book</v>
          </cell>
          <cell r="P137">
            <v>3</v>
          </cell>
          <cell r="Q137">
            <v>586.88</v>
          </cell>
          <cell r="S137">
            <v>0.33</v>
          </cell>
          <cell r="T137">
            <v>916.67</v>
          </cell>
          <cell r="U137">
            <v>373.51</v>
          </cell>
          <cell r="V137">
            <v>0.40746397285828051</v>
          </cell>
          <cell r="W137">
            <v>36.450000000000003</v>
          </cell>
          <cell r="X137" t="str">
            <v>EMI</v>
          </cell>
          <cell r="Z137">
            <v>4</v>
          </cell>
          <cell r="AA137" t="b">
            <v>0</v>
          </cell>
          <cell r="AC137" t="str">
            <v>Delivered</v>
          </cell>
          <cell r="AE137">
            <v>1</v>
          </cell>
        </row>
        <row r="138">
          <cell r="C138">
            <v>44295</v>
          </cell>
          <cell r="D138" t="str">
            <v>CUST78889</v>
          </cell>
          <cell r="E138" t="str">
            <v>Nikhil Joshi</v>
          </cell>
          <cell r="G138">
            <v>24</v>
          </cell>
          <cell r="H138" t="str">
            <v>Young Adult</v>
          </cell>
          <cell r="J138" t="str">
            <v>Other</v>
          </cell>
          <cell r="K138" t="str">
            <v>South</v>
          </cell>
          <cell r="L138" t="str">
            <v>Chennai</v>
          </cell>
          <cell r="M138" t="str">
            <v>Sports</v>
          </cell>
          <cell r="N138" t="str">
            <v>Football</v>
          </cell>
          <cell r="P138">
            <v>10</v>
          </cell>
          <cell r="Q138">
            <v>6806.6</v>
          </cell>
          <cell r="S138">
            <v>0.36</v>
          </cell>
          <cell r="T138">
            <v>39614.949999999997</v>
          </cell>
          <cell r="U138">
            <v>7458.02</v>
          </cell>
          <cell r="V138">
            <v>0.18826276443615356</v>
          </cell>
          <cell r="W138">
            <v>66.290000000000006</v>
          </cell>
          <cell r="X138" t="str">
            <v>Credit Card</v>
          </cell>
          <cell r="Z138">
            <v>5</v>
          </cell>
          <cell r="AA138" t="b">
            <v>0</v>
          </cell>
          <cell r="AC138" t="str">
            <v>Delivered</v>
          </cell>
          <cell r="AE138">
            <v>7</v>
          </cell>
        </row>
        <row r="139">
          <cell r="C139">
            <v>45261</v>
          </cell>
          <cell r="D139" t="str">
            <v>CUST44030</v>
          </cell>
          <cell r="E139" t="str">
            <v>Aditya Iyer</v>
          </cell>
          <cell r="G139">
            <v>34.294220665499125</v>
          </cell>
          <cell r="H139" t="str">
            <v>Young Adult</v>
          </cell>
          <cell r="J139" t="str">
            <v>Male</v>
          </cell>
          <cell r="K139" t="str">
            <v>West</v>
          </cell>
          <cell r="L139" t="str">
            <v>Mumbai</v>
          </cell>
          <cell r="M139" t="str">
            <v>Clothing</v>
          </cell>
          <cell r="N139" t="str">
            <v>Jeans</v>
          </cell>
          <cell r="P139">
            <v>3</v>
          </cell>
          <cell r="Q139">
            <v>3608.42</v>
          </cell>
          <cell r="S139">
            <v>0.28999999999999998</v>
          </cell>
          <cell r="T139">
            <v>6927.13</v>
          </cell>
          <cell r="U139">
            <v>1997.74</v>
          </cell>
          <cell r="V139">
            <v>0.28839360600999259</v>
          </cell>
          <cell r="W139">
            <v>54.98</v>
          </cell>
          <cell r="X139" t="str">
            <v>Cash on Delivery</v>
          </cell>
          <cell r="Z139">
            <v>5</v>
          </cell>
          <cell r="AA139" t="b">
            <v>0</v>
          </cell>
          <cell r="AC139" t="str">
            <v>Delivered</v>
          </cell>
          <cell r="AE139">
            <v>9</v>
          </cell>
        </row>
        <row r="140">
          <cell r="C140">
            <v>44703</v>
          </cell>
          <cell r="D140" t="str">
            <v>CUST45923</v>
          </cell>
          <cell r="E140" t="str">
            <v>Ananya Rao</v>
          </cell>
          <cell r="G140">
            <v>22</v>
          </cell>
          <cell r="H140" t="str">
            <v>Young Adult</v>
          </cell>
          <cell r="J140" t="str">
            <v>Male</v>
          </cell>
          <cell r="K140" t="str">
            <v>West</v>
          </cell>
          <cell r="L140" t="str">
            <v>Ahmedabad</v>
          </cell>
          <cell r="M140" t="str">
            <v>Electronics</v>
          </cell>
          <cell r="N140" t="str">
            <v>Headphones</v>
          </cell>
          <cell r="P140">
            <v>2</v>
          </cell>
          <cell r="Q140">
            <v>72469.02</v>
          </cell>
          <cell r="S140">
            <v>0.38</v>
          </cell>
          <cell r="T140">
            <v>127833.79</v>
          </cell>
          <cell r="U140">
            <v>12280.09</v>
          </cell>
          <cell r="V140">
            <v>9.6062942356633568E-2</v>
          </cell>
          <cell r="W140">
            <v>49.21</v>
          </cell>
          <cell r="X140" t="str">
            <v>Net Banking</v>
          </cell>
          <cell r="Z140">
            <v>4</v>
          </cell>
          <cell r="AA140" t="b">
            <v>0</v>
          </cell>
          <cell r="AC140" t="str">
            <v>Cancelled</v>
          </cell>
          <cell r="AE140">
            <v>1</v>
          </cell>
        </row>
        <row r="141">
          <cell r="C141">
            <v>45297</v>
          </cell>
          <cell r="D141" t="str">
            <v>CUST51656</v>
          </cell>
          <cell r="E141" t="str">
            <v>Kavya Singh</v>
          </cell>
          <cell r="G141">
            <v>20</v>
          </cell>
          <cell r="H141" t="str">
            <v>Young Adult</v>
          </cell>
          <cell r="J141" t="str">
            <v>Other</v>
          </cell>
          <cell r="K141" t="str">
            <v>West</v>
          </cell>
          <cell r="L141" t="str">
            <v>Pune</v>
          </cell>
          <cell r="M141" t="str">
            <v>Electronics</v>
          </cell>
          <cell r="N141" t="str">
            <v>Laptop</v>
          </cell>
          <cell r="P141">
            <v>3</v>
          </cell>
          <cell r="Q141">
            <v>42514.99</v>
          </cell>
          <cell r="S141">
            <v>0.06</v>
          </cell>
          <cell r="T141">
            <v>111205.03</v>
          </cell>
          <cell r="U141">
            <v>13533.76</v>
          </cell>
          <cell r="V141">
            <v>0.12170096982123921</v>
          </cell>
          <cell r="W141">
            <v>59.07</v>
          </cell>
          <cell r="X141" t="str">
            <v>EMI</v>
          </cell>
          <cell r="Z141">
            <v>5</v>
          </cell>
          <cell r="AA141" t="b">
            <v>0</v>
          </cell>
          <cell r="AC141" t="str">
            <v>Cancelled</v>
          </cell>
          <cell r="AE141">
            <v>5</v>
          </cell>
        </row>
        <row r="142">
          <cell r="C142">
            <v>44069</v>
          </cell>
          <cell r="D142" t="str">
            <v>CUST59198</v>
          </cell>
          <cell r="E142" t="str">
            <v>Priya Das</v>
          </cell>
          <cell r="G142">
            <v>29</v>
          </cell>
          <cell r="H142" t="str">
            <v>Young Adult</v>
          </cell>
          <cell r="J142" t="str">
            <v>Other</v>
          </cell>
          <cell r="K142" t="str">
            <v>East</v>
          </cell>
          <cell r="L142" t="str">
            <v>Patna</v>
          </cell>
          <cell r="M142" t="str">
            <v>Beauty</v>
          </cell>
          <cell r="N142" t="str">
            <v>Face Cream</v>
          </cell>
          <cell r="P142">
            <v>7.0954861111111107</v>
          </cell>
          <cell r="Q142">
            <v>1644.33</v>
          </cell>
          <cell r="S142">
            <v>0.31</v>
          </cell>
          <cell r="T142">
            <v>1186.6600000000001</v>
          </cell>
          <cell r="U142">
            <v>470.96</v>
          </cell>
          <cell r="V142">
            <v>0.39687863414962998</v>
          </cell>
          <cell r="W142">
            <v>68.12</v>
          </cell>
          <cell r="X142" t="str">
            <v>Cash on Delivery</v>
          </cell>
          <cell r="Z142">
            <v>5</v>
          </cell>
          <cell r="AA142" t="b">
            <v>1</v>
          </cell>
          <cell r="AC142" t="str">
            <v>Returned</v>
          </cell>
          <cell r="AE142">
            <v>2</v>
          </cell>
        </row>
        <row r="143">
          <cell r="C143">
            <v>44672</v>
          </cell>
          <cell r="D143" t="str">
            <v>CUST28422</v>
          </cell>
          <cell r="E143" t="str">
            <v>Ananya Nair</v>
          </cell>
          <cell r="G143">
            <v>35</v>
          </cell>
          <cell r="H143" t="str">
            <v>Young Adult</v>
          </cell>
          <cell r="J143" t="str">
            <v>Female</v>
          </cell>
          <cell r="K143" t="str">
            <v>West</v>
          </cell>
          <cell r="L143" t="str">
            <v>Pune</v>
          </cell>
          <cell r="M143" t="str">
            <v>Books</v>
          </cell>
          <cell r="N143" t="str">
            <v>Cook Book</v>
          </cell>
          <cell r="P143">
            <v>5</v>
          </cell>
          <cell r="Q143">
            <v>540.77</v>
          </cell>
          <cell r="S143">
            <v>0.28000000000000003</v>
          </cell>
          <cell r="T143">
            <v>2814.83</v>
          </cell>
          <cell r="U143">
            <v>1625.95</v>
          </cell>
          <cell r="V143">
            <v>0.57763701537925916</v>
          </cell>
          <cell r="W143">
            <v>54.23</v>
          </cell>
          <cell r="X143" t="str">
            <v>EMI</v>
          </cell>
          <cell r="Z143">
            <v>5</v>
          </cell>
          <cell r="AA143" t="b">
            <v>0</v>
          </cell>
          <cell r="AC143" t="str">
            <v>Delivered</v>
          </cell>
          <cell r="AE143">
            <v>7</v>
          </cell>
        </row>
        <row r="144">
          <cell r="C144">
            <v>44018</v>
          </cell>
          <cell r="D144" t="str">
            <v>CUST44523</v>
          </cell>
          <cell r="E144" t="str">
            <v>Priya Sharma</v>
          </cell>
          <cell r="G144">
            <v>35</v>
          </cell>
          <cell r="H144" t="str">
            <v>Young Adult</v>
          </cell>
          <cell r="J144" t="str">
            <v>Other</v>
          </cell>
          <cell r="K144" t="str">
            <v>South</v>
          </cell>
          <cell r="L144" t="str">
            <v>Bangalore</v>
          </cell>
          <cell r="M144" t="str">
            <v>Clothing</v>
          </cell>
          <cell r="N144" t="str">
            <v>Jacket</v>
          </cell>
          <cell r="P144">
            <v>2</v>
          </cell>
          <cell r="Q144">
            <v>539.35</v>
          </cell>
          <cell r="S144">
            <v>0.23</v>
          </cell>
          <cell r="T144">
            <v>1124.22</v>
          </cell>
          <cell r="U144">
            <v>289.25</v>
          </cell>
          <cell r="V144">
            <v>0.25728949849673549</v>
          </cell>
          <cell r="W144">
            <v>64.959999999999994</v>
          </cell>
          <cell r="X144" t="str">
            <v>Cash on Delivery</v>
          </cell>
          <cell r="Z144">
            <v>5</v>
          </cell>
          <cell r="AA144" t="b">
            <v>0</v>
          </cell>
          <cell r="AC144" t="str">
            <v>Delivered</v>
          </cell>
          <cell r="AE144">
            <v>8</v>
          </cell>
        </row>
        <row r="145">
          <cell r="C145">
            <v>45289</v>
          </cell>
          <cell r="D145" t="str">
            <v>CUST03410</v>
          </cell>
          <cell r="E145" t="str">
            <v>Sunita Das</v>
          </cell>
          <cell r="G145">
            <v>34.294220665499125</v>
          </cell>
          <cell r="H145" t="str">
            <v>Young Adult</v>
          </cell>
          <cell r="J145" t="str">
            <v>Female</v>
          </cell>
          <cell r="K145" t="str">
            <v>East</v>
          </cell>
          <cell r="L145" t="str">
            <v>Patna</v>
          </cell>
          <cell r="M145" t="str">
            <v>Electronics</v>
          </cell>
          <cell r="N145" t="str">
            <v>Smartphone</v>
          </cell>
          <cell r="P145">
            <v>9</v>
          </cell>
          <cell r="Q145">
            <v>30674.09</v>
          </cell>
          <cell r="S145">
            <v>0.39</v>
          </cell>
          <cell r="T145">
            <v>159421.60999999999</v>
          </cell>
          <cell r="U145">
            <v>15597.31</v>
          </cell>
          <cell r="V145">
            <v>9.7836861640024836E-2</v>
          </cell>
          <cell r="W145">
            <v>76.430000000000007</v>
          </cell>
          <cell r="X145" t="str">
            <v>Cash on Delivery</v>
          </cell>
          <cell r="Z145">
            <v>3</v>
          </cell>
          <cell r="AA145" t="b">
            <v>0</v>
          </cell>
          <cell r="AC145" t="str">
            <v>Delivered</v>
          </cell>
          <cell r="AE145">
            <v>2</v>
          </cell>
        </row>
        <row r="146">
          <cell r="C146">
            <v>44744</v>
          </cell>
          <cell r="D146" t="str">
            <v>CUST03769</v>
          </cell>
          <cell r="E146" t="str">
            <v>Sunita Mishra</v>
          </cell>
          <cell r="G146">
            <v>32</v>
          </cell>
          <cell r="H146" t="str">
            <v>Young Adult</v>
          </cell>
          <cell r="J146" t="str">
            <v>Female</v>
          </cell>
          <cell r="K146" t="str">
            <v>South</v>
          </cell>
          <cell r="L146" t="str">
            <v>Kochi</v>
          </cell>
          <cell r="M146" t="str">
            <v>Clothing</v>
          </cell>
          <cell r="N146" t="str">
            <v>Saree</v>
          </cell>
          <cell r="P146">
            <v>8</v>
          </cell>
          <cell r="Q146">
            <v>3278.48</v>
          </cell>
          <cell r="S146">
            <v>0.19793402777777783</v>
          </cell>
          <cell r="T146">
            <v>39736.74</v>
          </cell>
          <cell r="U146">
            <v>15719.62</v>
          </cell>
          <cell r="V146">
            <v>0.39559410258617095</v>
          </cell>
          <cell r="W146">
            <v>80.959999999999994</v>
          </cell>
          <cell r="X146" t="str">
            <v>Credit Card</v>
          </cell>
          <cell r="Z146">
            <v>3</v>
          </cell>
          <cell r="AA146" t="b">
            <v>0</v>
          </cell>
          <cell r="AC146" t="str">
            <v>Delivered</v>
          </cell>
          <cell r="AE146">
            <v>1</v>
          </cell>
        </row>
        <row r="147">
          <cell r="C147">
            <v>45012</v>
          </cell>
          <cell r="D147" t="str">
            <v>CUST08867</v>
          </cell>
          <cell r="E147" t="str">
            <v>Nisha Kapoor</v>
          </cell>
          <cell r="G147">
            <v>12</v>
          </cell>
          <cell r="H147" t="str">
            <v>Child</v>
          </cell>
          <cell r="J147" t="str">
            <v>Other</v>
          </cell>
          <cell r="K147" t="str">
            <v>Central</v>
          </cell>
          <cell r="L147" t="str">
            <v>Raipur</v>
          </cell>
          <cell r="M147" t="str">
            <v>Electronics</v>
          </cell>
          <cell r="N147" t="str">
            <v>Tablet</v>
          </cell>
          <cell r="P147">
            <v>2</v>
          </cell>
          <cell r="Q147">
            <v>69342.570000000007</v>
          </cell>
          <cell r="S147">
            <v>0.08</v>
          </cell>
          <cell r="T147">
            <v>154630.39000000001</v>
          </cell>
          <cell r="U147">
            <v>18946.95</v>
          </cell>
          <cell r="V147">
            <v>0.12253057112511971</v>
          </cell>
          <cell r="W147">
            <v>47.74</v>
          </cell>
          <cell r="X147" t="str">
            <v>Net Banking</v>
          </cell>
          <cell r="Z147">
            <v>2</v>
          </cell>
          <cell r="AA147" t="b">
            <v>0</v>
          </cell>
          <cell r="AC147" t="str">
            <v>Delivered</v>
          </cell>
          <cell r="AE147">
            <v>6</v>
          </cell>
        </row>
        <row r="148">
          <cell r="C148">
            <v>43858</v>
          </cell>
          <cell r="D148" t="str">
            <v>CUST44662</v>
          </cell>
          <cell r="E148" t="str">
            <v>Ananya Nair</v>
          </cell>
          <cell r="G148">
            <v>34.294220665499125</v>
          </cell>
          <cell r="H148" t="str">
            <v>Young Adult</v>
          </cell>
          <cell r="J148" t="str">
            <v>Male</v>
          </cell>
          <cell r="K148" t="str">
            <v>North</v>
          </cell>
          <cell r="L148" t="str">
            <v>Delhi</v>
          </cell>
          <cell r="M148" t="str">
            <v>Sports</v>
          </cell>
          <cell r="N148" t="str">
            <v>Dumbbells</v>
          </cell>
          <cell r="P148">
            <v>4</v>
          </cell>
          <cell r="Q148">
            <v>12945.28</v>
          </cell>
          <cell r="S148">
            <v>0.13</v>
          </cell>
          <cell r="T148">
            <v>31129.56</v>
          </cell>
          <cell r="U148">
            <v>7042.29</v>
          </cell>
          <cell r="V148">
            <v>0.22622516990281905</v>
          </cell>
          <cell r="W148">
            <v>65.38</v>
          </cell>
          <cell r="X148" t="str">
            <v>Credit Card</v>
          </cell>
          <cell r="Z148">
            <v>5</v>
          </cell>
          <cell r="AA148" t="b">
            <v>0</v>
          </cell>
          <cell r="AC148" t="str">
            <v>Delivered</v>
          </cell>
          <cell r="AE148">
            <v>4</v>
          </cell>
        </row>
        <row r="149">
          <cell r="C149">
            <v>44914</v>
          </cell>
          <cell r="D149" t="str">
            <v>CUST57740</v>
          </cell>
          <cell r="E149" t="str">
            <v>Sunita Verma</v>
          </cell>
          <cell r="G149">
            <v>19</v>
          </cell>
          <cell r="H149" t="str">
            <v>Teen</v>
          </cell>
          <cell r="J149" t="str">
            <v>Male</v>
          </cell>
          <cell r="K149" t="str">
            <v>East</v>
          </cell>
          <cell r="L149" t="str">
            <v>Kolkata</v>
          </cell>
          <cell r="M149" t="str">
            <v>Furniture</v>
          </cell>
          <cell r="N149" t="str">
            <v>Bookshelf</v>
          </cell>
          <cell r="P149">
            <v>5</v>
          </cell>
          <cell r="Q149">
            <v>29767.34</v>
          </cell>
          <cell r="S149">
            <v>0.16</v>
          </cell>
          <cell r="T149">
            <v>92126.76</v>
          </cell>
          <cell r="U149">
            <v>24089.4</v>
          </cell>
          <cell r="V149">
            <v>0.26148102896487407</v>
          </cell>
          <cell r="W149">
            <v>72.23</v>
          </cell>
          <cell r="X149" t="str">
            <v>Cash on Delivery</v>
          </cell>
          <cell r="Z149">
            <v>3</v>
          </cell>
          <cell r="AA149" t="b">
            <v>0</v>
          </cell>
          <cell r="AC149" t="str">
            <v>Cancelled</v>
          </cell>
          <cell r="AE149">
            <v>6</v>
          </cell>
        </row>
        <row r="150">
          <cell r="C150">
            <v>45200</v>
          </cell>
          <cell r="D150" t="str">
            <v>CUST87976</v>
          </cell>
          <cell r="E150" t="str">
            <v>Amit Singh</v>
          </cell>
          <cell r="G150">
            <v>29</v>
          </cell>
          <cell r="H150" t="str">
            <v>Young Adult</v>
          </cell>
          <cell r="J150" t="str">
            <v>Male</v>
          </cell>
          <cell r="K150" t="str">
            <v>North</v>
          </cell>
          <cell r="L150" t="str">
            <v>Chandigarh</v>
          </cell>
          <cell r="M150" t="str">
            <v>Sports</v>
          </cell>
          <cell r="N150" t="str">
            <v>Cricket Bat</v>
          </cell>
          <cell r="P150">
            <v>3</v>
          </cell>
          <cell r="Q150">
            <v>14810.59</v>
          </cell>
          <cell r="S150">
            <v>0.08</v>
          </cell>
          <cell r="T150">
            <v>44578.62</v>
          </cell>
          <cell r="U150">
            <v>10260.620000000001</v>
          </cell>
          <cell r="V150">
            <v>0.2301690810527558</v>
          </cell>
          <cell r="W150">
            <v>65.69</v>
          </cell>
          <cell r="X150" t="str">
            <v>Cash on Delivery</v>
          </cell>
          <cell r="Z150">
            <v>3</v>
          </cell>
          <cell r="AA150" t="b">
            <v>0</v>
          </cell>
          <cell r="AC150" t="str">
            <v>Delivered</v>
          </cell>
          <cell r="AE150">
            <v>5</v>
          </cell>
        </row>
        <row r="151">
          <cell r="C151">
            <v>45557</v>
          </cell>
          <cell r="D151" t="str">
            <v>CUST57164</v>
          </cell>
          <cell r="E151" t="str">
            <v>Karan Reddy</v>
          </cell>
          <cell r="G151">
            <v>36</v>
          </cell>
          <cell r="H151" t="str">
            <v>Adult</v>
          </cell>
          <cell r="J151" t="str">
            <v>Male</v>
          </cell>
          <cell r="K151" t="str">
            <v>East</v>
          </cell>
          <cell r="L151" t="str">
            <v>Bhubaneswar</v>
          </cell>
          <cell r="M151" t="str">
            <v>Beauty</v>
          </cell>
          <cell r="N151" t="str">
            <v>Sunscreen</v>
          </cell>
          <cell r="P151">
            <v>4</v>
          </cell>
          <cell r="Q151">
            <v>2333.1</v>
          </cell>
          <cell r="S151">
            <v>0.22</v>
          </cell>
          <cell r="T151">
            <v>11296.75</v>
          </cell>
          <cell r="U151">
            <v>4828.37</v>
          </cell>
          <cell r="V151">
            <v>0.42741230884989045</v>
          </cell>
          <cell r="W151">
            <v>72.08</v>
          </cell>
          <cell r="X151" t="str">
            <v>UPI</v>
          </cell>
          <cell r="Z151">
            <v>3</v>
          </cell>
          <cell r="AA151" t="b">
            <v>1</v>
          </cell>
          <cell r="AC151" t="str">
            <v>Returned</v>
          </cell>
          <cell r="AE151">
            <v>10</v>
          </cell>
        </row>
        <row r="152">
          <cell r="C152">
            <v>44818</v>
          </cell>
          <cell r="D152" t="str">
            <v>CUST89600</v>
          </cell>
          <cell r="E152" t="str">
            <v>Aarav Joshi</v>
          </cell>
          <cell r="G152">
            <v>51</v>
          </cell>
          <cell r="H152" t="str">
            <v>Senior</v>
          </cell>
          <cell r="J152" t="str">
            <v>Male</v>
          </cell>
          <cell r="K152" t="str">
            <v>South</v>
          </cell>
          <cell r="L152" t="str">
            <v>Chennai</v>
          </cell>
          <cell r="M152" t="str">
            <v>Sports</v>
          </cell>
          <cell r="N152" t="str">
            <v>Football</v>
          </cell>
          <cell r="P152">
            <v>2</v>
          </cell>
          <cell r="Q152">
            <v>13833.36</v>
          </cell>
          <cell r="S152">
            <v>0.06</v>
          </cell>
          <cell r="T152">
            <v>30150.799999999999</v>
          </cell>
          <cell r="U152">
            <v>8534.61</v>
          </cell>
          <cell r="V152">
            <v>0.28306413096833255</v>
          </cell>
          <cell r="W152">
            <v>40.57</v>
          </cell>
          <cell r="X152" t="str">
            <v>Net Banking</v>
          </cell>
          <cell r="Z152">
            <v>3</v>
          </cell>
          <cell r="AA152" t="b">
            <v>0</v>
          </cell>
          <cell r="AC152" t="str">
            <v>Delivered</v>
          </cell>
          <cell r="AE152">
            <v>8</v>
          </cell>
        </row>
        <row r="153">
          <cell r="C153">
            <v>44519</v>
          </cell>
          <cell r="D153" t="str">
            <v>CUST92130</v>
          </cell>
          <cell r="E153" t="str">
            <v>Sunita Shah</v>
          </cell>
          <cell r="G153">
            <v>34.294220665499125</v>
          </cell>
          <cell r="H153" t="str">
            <v>Young Adult</v>
          </cell>
          <cell r="J153" t="str">
            <v>Other</v>
          </cell>
          <cell r="K153" t="str">
            <v>Central</v>
          </cell>
          <cell r="L153" t="str">
            <v>Nagpur</v>
          </cell>
          <cell r="M153" t="str">
            <v>Furniture</v>
          </cell>
          <cell r="N153" t="str">
            <v>Chair</v>
          </cell>
          <cell r="P153">
            <v>5</v>
          </cell>
          <cell r="Q153">
            <v>9804.75</v>
          </cell>
          <cell r="S153">
            <v>0.09</v>
          </cell>
          <cell r="T153">
            <v>36117.01</v>
          </cell>
          <cell r="U153">
            <v>8077.49</v>
          </cell>
          <cell r="V153">
            <v>0.22364780473245152</v>
          </cell>
          <cell r="W153">
            <v>70.12</v>
          </cell>
          <cell r="X153" t="str">
            <v>UPI</v>
          </cell>
          <cell r="Z153">
            <v>1</v>
          </cell>
          <cell r="AA153" t="b">
            <v>0</v>
          </cell>
          <cell r="AC153" t="str">
            <v>Delivered</v>
          </cell>
          <cell r="AE153">
            <v>5</v>
          </cell>
        </row>
        <row r="154">
          <cell r="C154">
            <v>44926</v>
          </cell>
          <cell r="D154" t="str">
            <v>CUST79852</v>
          </cell>
          <cell r="E154" t="str">
            <v>Nisha Kapoor</v>
          </cell>
          <cell r="G154">
            <v>26</v>
          </cell>
          <cell r="H154" t="str">
            <v>Young Adult</v>
          </cell>
          <cell r="J154" t="str">
            <v>Male</v>
          </cell>
          <cell r="K154" t="str">
            <v>West</v>
          </cell>
          <cell r="L154" t="str">
            <v>Pune</v>
          </cell>
          <cell r="M154" t="str">
            <v>Books</v>
          </cell>
          <cell r="N154" t="str">
            <v>Textbook</v>
          </cell>
          <cell r="P154">
            <v>3</v>
          </cell>
          <cell r="Q154">
            <v>1379.58</v>
          </cell>
          <cell r="S154">
            <v>0.06</v>
          </cell>
          <cell r="T154">
            <v>3040.53</v>
          </cell>
          <cell r="U154">
            <v>976.28</v>
          </cell>
          <cell r="V154">
            <v>0.32108875755213728</v>
          </cell>
          <cell r="W154">
            <v>64.67</v>
          </cell>
          <cell r="X154" t="str">
            <v>Net Banking</v>
          </cell>
          <cell r="Z154">
            <v>4</v>
          </cell>
          <cell r="AA154" t="b">
            <v>0</v>
          </cell>
          <cell r="AC154" t="str">
            <v>Shipped</v>
          </cell>
          <cell r="AE154">
            <v>4</v>
          </cell>
        </row>
        <row r="155">
          <cell r="C155">
            <v>44850</v>
          </cell>
          <cell r="D155" t="str">
            <v>CUST40158</v>
          </cell>
          <cell r="E155" t="str">
            <v>Kavya Pillai</v>
          </cell>
          <cell r="G155">
            <v>36</v>
          </cell>
          <cell r="H155" t="str">
            <v>Adult</v>
          </cell>
          <cell r="J155" t="str">
            <v>Male</v>
          </cell>
          <cell r="K155" t="str">
            <v>South</v>
          </cell>
          <cell r="L155" t="str">
            <v>Chennai</v>
          </cell>
          <cell r="M155" t="str">
            <v>Furniture</v>
          </cell>
          <cell r="N155" t="str">
            <v>Chair</v>
          </cell>
          <cell r="P155">
            <v>8</v>
          </cell>
          <cell r="Q155">
            <v>33543.43</v>
          </cell>
          <cell r="S155">
            <v>0.22</v>
          </cell>
          <cell r="T155">
            <v>218733.7</v>
          </cell>
          <cell r="U155">
            <v>59861.82</v>
          </cell>
          <cell r="V155">
            <v>0.27367442694015598</v>
          </cell>
          <cell r="W155">
            <v>56.8</v>
          </cell>
          <cell r="X155" t="str">
            <v>EMI</v>
          </cell>
          <cell r="Z155">
            <v>2</v>
          </cell>
          <cell r="AA155" t="b">
            <v>0</v>
          </cell>
          <cell r="AC155" t="str">
            <v>Delivered</v>
          </cell>
          <cell r="AE155">
            <v>8</v>
          </cell>
        </row>
        <row r="156">
          <cell r="C156">
            <v>45401</v>
          </cell>
          <cell r="D156" t="str">
            <v>CUST69333</v>
          </cell>
          <cell r="E156" t="str">
            <v>Pooja Iyer</v>
          </cell>
          <cell r="G156">
            <v>31</v>
          </cell>
          <cell r="H156" t="str">
            <v>Young Adult</v>
          </cell>
          <cell r="J156" t="str">
            <v>Female</v>
          </cell>
          <cell r="K156" t="str">
            <v>South</v>
          </cell>
          <cell r="L156" t="str">
            <v>Bangalore</v>
          </cell>
          <cell r="M156" t="str">
            <v>Beauty</v>
          </cell>
          <cell r="N156" t="str">
            <v>Perfume</v>
          </cell>
          <cell r="P156">
            <v>6</v>
          </cell>
          <cell r="Q156">
            <v>1423.12</v>
          </cell>
          <cell r="S156">
            <v>0.11</v>
          </cell>
          <cell r="T156">
            <v>10606.52</v>
          </cell>
          <cell r="U156">
            <v>4315.91</v>
          </cell>
          <cell r="V156">
            <v>0.40691103208215323</v>
          </cell>
          <cell r="W156">
            <v>75.2</v>
          </cell>
          <cell r="X156" t="str">
            <v>Cash on Delivery</v>
          </cell>
          <cell r="Z156">
            <v>4</v>
          </cell>
          <cell r="AA156" t="b">
            <v>1</v>
          </cell>
          <cell r="AC156" t="str">
            <v>Returned</v>
          </cell>
          <cell r="AE156">
            <v>4</v>
          </cell>
        </row>
        <row r="157">
          <cell r="C157">
            <v>44655</v>
          </cell>
          <cell r="D157" t="str">
            <v>CUST05359</v>
          </cell>
          <cell r="E157" t="str">
            <v>Aditya Mehta</v>
          </cell>
          <cell r="G157">
            <v>26</v>
          </cell>
          <cell r="H157" t="str">
            <v>Young Adult</v>
          </cell>
          <cell r="J157" t="str">
            <v>Female</v>
          </cell>
          <cell r="K157" t="str">
            <v>East</v>
          </cell>
          <cell r="L157" t="str">
            <v>Kolkata</v>
          </cell>
          <cell r="M157" t="str">
            <v>Electronics</v>
          </cell>
          <cell r="N157" t="str">
            <v>Camera</v>
          </cell>
          <cell r="P157">
            <v>8</v>
          </cell>
          <cell r="Q157">
            <v>64439.74</v>
          </cell>
          <cell r="S157">
            <v>0.23</v>
          </cell>
          <cell r="T157">
            <v>542100.67000000004</v>
          </cell>
          <cell r="U157">
            <v>80671.009999999995</v>
          </cell>
          <cell r="V157">
            <v>0.1488118618263283</v>
          </cell>
          <cell r="W157">
            <v>103.41</v>
          </cell>
          <cell r="X157" t="str">
            <v>Debit Card</v>
          </cell>
          <cell r="Z157">
            <v>1</v>
          </cell>
          <cell r="AA157" t="b">
            <v>0</v>
          </cell>
          <cell r="AC157" t="str">
            <v>Delivered</v>
          </cell>
          <cell r="AE157">
            <v>3</v>
          </cell>
        </row>
        <row r="158">
          <cell r="C158">
            <v>44231</v>
          </cell>
          <cell r="D158" t="str">
            <v>CUST27547</v>
          </cell>
          <cell r="E158" t="str">
            <v>Shreya Gupta</v>
          </cell>
          <cell r="G158">
            <v>49</v>
          </cell>
          <cell r="H158" t="str">
            <v>Adult</v>
          </cell>
          <cell r="J158" t="str">
            <v>Male</v>
          </cell>
          <cell r="K158" t="str">
            <v>South</v>
          </cell>
          <cell r="L158" t="str">
            <v>Chennai</v>
          </cell>
          <cell r="M158" t="str">
            <v>Electronics</v>
          </cell>
          <cell r="N158" t="str">
            <v>Smartwatch</v>
          </cell>
          <cell r="P158">
            <v>10</v>
          </cell>
          <cell r="Q158">
            <v>72812.39</v>
          </cell>
          <cell r="S158">
            <v>0.28999999999999998</v>
          </cell>
          <cell r="T158">
            <v>520084.41</v>
          </cell>
          <cell r="U158">
            <v>94437.03</v>
          </cell>
          <cell r="V158">
            <v>0.18158019772213516</v>
          </cell>
          <cell r="W158">
            <v>76.77</v>
          </cell>
          <cell r="X158" t="str">
            <v>Net Banking</v>
          </cell>
          <cell r="Z158">
            <v>2</v>
          </cell>
          <cell r="AA158" t="b">
            <v>1</v>
          </cell>
          <cell r="AC158" t="str">
            <v>Returned</v>
          </cell>
          <cell r="AE158">
            <v>10</v>
          </cell>
        </row>
        <row r="159">
          <cell r="C159">
            <v>44376</v>
          </cell>
          <cell r="D159" t="str">
            <v>CUST72453</v>
          </cell>
          <cell r="E159" t="str">
            <v>Arjun Joshi</v>
          </cell>
          <cell r="G159">
            <v>31</v>
          </cell>
          <cell r="H159" t="str">
            <v>Young Adult</v>
          </cell>
          <cell r="J159" t="str">
            <v>Male</v>
          </cell>
          <cell r="K159" t="str">
            <v>South</v>
          </cell>
          <cell r="L159" t="str">
            <v>Hyderabad</v>
          </cell>
          <cell r="M159" t="str">
            <v>Furniture</v>
          </cell>
          <cell r="N159" t="str">
            <v>Chair</v>
          </cell>
          <cell r="P159">
            <v>6</v>
          </cell>
          <cell r="Q159">
            <v>3208.32</v>
          </cell>
          <cell r="S159">
            <v>0.25</v>
          </cell>
          <cell r="T159">
            <v>24685.74</v>
          </cell>
          <cell r="U159">
            <v>5146.1000000000004</v>
          </cell>
          <cell r="V159">
            <v>0.20846448192357206</v>
          </cell>
          <cell r="W159">
            <v>81.25</v>
          </cell>
          <cell r="X159" t="str">
            <v>UPI</v>
          </cell>
          <cell r="Z159">
            <v>4</v>
          </cell>
          <cell r="AA159" t="b">
            <v>0</v>
          </cell>
          <cell r="AC159" t="str">
            <v>Pending</v>
          </cell>
          <cell r="AE159">
            <v>5</v>
          </cell>
        </row>
        <row r="160">
          <cell r="C160">
            <v>45030</v>
          </cell>
          <cell r="D160" t="str">
            <v>CUST00213</v>
          </cell>
          <cell r="E160" t="str">
            <v>Ritu Reddy</v>
          </cell>
          <cell r="G160">
            <v>47</v>
          </cell>
          <cell r="H160" t="str">
            <v>Adult</v>
          </cell>
          <cell r="J160" t="str">
            <v>Male</v>
          </cell>
          <cell r="K160" t="str">
            <v>East</v>
          </cell>
          <cell r="L160" t="str">
            <v>Kolkata</v>
          </cell>
          <cell r="M160" t="str">
            <v>Beauty</v>
          </cell>
          <cell r="N160" t="str">
            <v>Sunscreen</v>
          </cell>
          <cell r="P160">
            <v>8</v>
          </cell>
          <cell r="Q160">
            <v>415.72</v>
          </cell>
          <cell r="S160">
            <v>0.01</v>
          </cell>
          <cell r="T160">
            <v>4769.26</v>
          </cell>
          <cell r="U160">
            <v>1796.21</v>
          </cell>
          <cell r="V160">
            <v>0.37662236908870556</v>
          </cell>
          <cell r="W160">
            <v>54.55</v>
          </cell>
          <cell r="X160" t="str">
            <v>EMI</v>
          </cell>
          <cell r="Z160">
            <v>3</v>
          </cell>
          <cell r="AA160" t="b">
            <v>0</v>
          </cell>
          <cell r="AC160" t="str">
            <v>Delivered</v>
          </cell>
          <cell r="AE160">
            <v>5</v>
          </cell>
        </row>
        <row r="161">
          <cell r="C161">
            <v>44095</v>
          </cell>
          <cell r="D161" t="str">
            <v>CUST49777</v>
          </cell>
          <cell r="E161" t="str">
            <v>Pooja Shah</v>
          </cell>
          <cell r="G161">
            <v>33</v>
          </cell>
          <cell r="H161" t="str">
            <v>Young Adult</v>
          </cell>
          <cell r="J161" t="str">
            <v>Female</v>
          </cell>
          <cell r="K161" t="str">
            <v>South</v>
          </cell>
          <cell r="L161" t="str">
            <v>Hyderabad</v>
          </cell>
          <cell r="M161" t="str">
            <v>Groceries</v>
          </cell>
          <cell r="N161" t="str">
            <v>Tea</v>
          </cell>
          <cell r="P161">
            <v>1</v>
          </cell>
          <cell r="Q161">
            <v>389.24</v>
          </cell>
          <cell r="S161">
            <v>0.23</v>
          </cell>
          <cell r="T161">
            <v>313.86</v>
          </cell>
          <cell r="U161">
            <v>22.71</v>
          </cell>
          <cell r="V161">
            <v>7.2357101892563558E-2</v>
          </cell>
          <cell r="W161">
            <v>66.8</v>
          </cell>
          <cell r="X161" t="str">
            <v>Net Banking</v>
          </cell>
          <cell r="Z161">
            <v>5</v>
          </cell>
          <cell r="AA161" t="b">
            <v>0</v>
          </cell>
          <cell r="AC161" t="str">
            <v>Delivered</v>
          </cell>
          <cell r="AE161">
            <v>10</v>
          </cell>
        </row>
        <row r="162">
          <cell r="C162">
            <v>45474</v>
          </cell>
          <cell r="D162" t="str">
            <v>CUST77207</v>
          </cell>
          <cell r="E162" t="str">
            <v>Sanjay Joshi</v>
          </cell>
          <cell r="G162">
            <v>25</v>
          </cell>
          <cell r="H162" t="str">
            <v>Young Adult</v>
          </cell>
          <cell r="J162" t="str">
            <v>Female</v>
          </cell>
          <cell r="K162" t="str">
            <v>North</v>
          </cell>
          <cell r="L162" t="str">
            <v>Ludhiana</v>
          </cell>
          <cell r="M162" t="str">
            <v>Books</v>
          </cell>
          <cell r="N162" t="str">
            <v>Self-Help Book</v>
          </cell>
          <cell r="P162">
            <v>7.0954861111111107</v>
          </cell>
          <cell r="Q162">
            <v>1486.09</v>
          </cell>
          <cell r="S162">
            <v>0.11</v>
          </cell>
          <cell r="T162">
            <v>1967.1</v>
          </cell>
          <cell r="U162">
            <v>719.18</v>
          </cell>
          <cell r="V162">
            <v>0.36560418890752883</v>
          </cell>
          <cell r="W162">
            <v>43.92</v>
          </cell>
          <cell r="X162" t="str">
            <v>Cash on Delivery</v>
          </cell>
          <cell r="Z162">
            <v>1</v>
          </cell>
          <cell r="AA162" t="b">
            <v>0</v>
          </cell>
          <cell r="AC162" t="str">
            <v>Delivered</v>
          </cell>
          <cell r="AE162">
            <v>1</v>
          </cell>
        </row>
        <row r="163">
          <cell r="C163">
            <v>45330</v>
          </cell>
          <cell r="D163" t="str">
            <v>CUST58295</v>
          </cell>
          <cell r="E163" t="str">
            <v>Sunita Iyer</v>
          </cell>
          <cell r="G163">
            <v>38</v>
          </cell>
          <cell r="H163" t="str">
            <v>Adult</v>
          </cell>
          <cell r="J163" t="str">
            <v>Male</v>
          </cell>
          <cell r="K163" t="str">
            <v>East</v>
          </cell>
          <cell r="L163" t="str">
            <v>Kolkata</v>
          </cell>
          <cell r="M163" t="str">
            <v>Electronics</v>
          </cell>
          <cell r="N163" t="str">
            <v>Smartwatch</v>
          </cell>
          <cell r="P163">
            <v>4</v>
          </cell>
          <cell r="Q163">
            <v>15346.11</v>
          </cell>
          <cell r="S163">
            <v>0.06</v>
          </cell>
          <cell r="T163">
            <v>67060.7</v>
          </cell>
          <cell r="U163">
            <v>9998.89</v>
          </cell>
          <cell r="V163">
            <v>0.14910208214349088</v>
          </cell>
          <cell r="W163">
            <v>93.55</v>
          </cell>
          <cell r="X163" t="str">
            <v>Cash on Delivery</v>
          </cell>
          <cell r="Z163">
            <v>2</v>
          </cell>
          <cell r="AA163" t="b">
            <v>0</v>
          </cell>
          <cell r="AC163" t="str">
            <v>Delivered</v>
          </cell>
          <cell r="AE163">
            <v>6</v>
          </cell>
        </row>
        <row r="164">
          <cell r="C164">
            <v>45477</v>
          </cell>
          <cell r="D164" t="str">
            <v>CUST59409</v>
          </cell>
          <cell r="E164" t="str">
            <v>Sanjay Rao</v>
          </cell>
          <cell r="G164">
            <v>49</v>
          </cell>
          <cell r="H164" t="str">
            <v>Adult</v>
          </cell>
          <cell r="J164" t="str">
            <v>Male</v>
          </cell>
          <cell r="K164" t="str">
            <v>Central</v>
          </cell>
          <cell r="L164" t="str">
            <v>Raipur</v>
          </cell>
          <cell r="M164" t="str">
            <v>Books</v>
          </cell>
          <cell r="N164" t="str">
            <v>Biography</v>
          </cell>
          <cell r="P164">
            <v>8</v>
          </cell>
          <cell r="Q164">
            <v>1499.77</v>
          </cell>
          <cell r="S164">
            <v>0.37</v>
          </cell>
          <cell r="T164">
            <v>11632.7</v>
          </cell>
          <cell r="U164">
            <v>4863.95</v>
          </cell>
          <cell r="V164">
            <v>0.41812734790719264</v>
          </cell>
          <cell r="W164">
            <v>68.319999999999993</v>
          </cell>
          <cell r="X164" t="str">
            <v>UPI</v>
          </cell>
          <cell r="Z164">
            <v>5</v>
          </cell>
          <cell r="AA164" t="b">
            <v>0</v>
          </cell>
          <cell r="AC164" t="str">
            <v>Delivered</v>
          </cell>
          <cell r="AE164">
            <v>5</v>
          </cell>
        </row>
        <row r="165">
          <cell r="C165">
            <v>44297</v>
          </cell>
          <cell r="D165" t="str">
            <v>CUST25835</v>
          </cell>
          <cell r="E165" t="str">
            <v>Pooja Shah</v>
          </cell>
          <cell r="G165">
            <v>26</v>
          </cell>
          <cell r="H165" t="str">
            <v>Young Adult</v>
          </cell>
          <cell r="J165" t="str">
            <v>Male</v>
          </cell>
          <cell r="K165" t="str">
            <v>South</v>
          </cell>
          <cell r="L165" t="str">
            <v>Bangalore</v>
          </cell>
          <cell r="M165" t="str">
            <v>Books</v>
          </cell>
          <cell r="N165" t="str">
            <v>Fiction Novel</v>
          </cell>
          <cell r="P165">
            <v>9</v>
          </cell>
          <cell r="Q165">
            <v>816.35</v>
          </cell>
          <cell r="S165">
            <v>0.12</v>
          </cell>
          <cell r="T165">
            <v>7711.33</v>
          </cell>
          <cell r="U165">
            <v>3255</v>
          </cell>
          <cell r="V165">
            <v>0.42210617364319775</v>
          </cell>
          <cell r="W165">
            <v>81.14</v>
          </cell>
          <cell r="X165" t="str">
            <v>UPI</v>
          </cell>
          <cell r="Z165">
            <v>5</v>
          </cell>
          <cell r="AA165" t="b">
            <v>1</v>
          </cell>
          <cell r="AC165" t="str">
            <v>Returned</v>
          </cell>
          <cell r="AE165">
            <v>3</v>
          </cell>
        </row>
        <row r="166">
          <cell r="C166">
            <v>45217</v>
          </cell>
          <cell r="D166" t="str">
            <v>CUST12676</v>
          </cell>
          <cell r="E166" t="str">
            <v>Meera Iyer</v>
          </cell>
          <cell r="G166">
            <v>40</v>
          </cell>
          <cell r="H166" t="str">
            <v>Adult</v>
          </cell>
          <cell r="J166" t="str">
            <v>Male</v>
          </cell>
          <cell r="K166" t="str">
            <v>East</v>
          </cell>
          <cell r="L166" t="str">
            <v>Bhubaneswar</v>
          </cell>
          <cell r="M166" t="str">
            <v>Sports</v>
          </cell>
          <cell r="N166" t="str">
            <v>Dumbbells</v>
          </cell>
          <cell r="P166">
            <v>7</v>
          </cell>
          <cell r="Q166">
            <v>12597.24</v>
          </cell>
          <cell r="S166">
            <v>0.11</v>
          </cell>
          <cell r="T166">
            <v>77124.12</v>
          </cell>
          <cell r="U166">
            <v>20197.939999999999</v>
          </cell>
          <cell r="V166">
            <v>0.26188875801759554</v>
          </cell>
          <cell r="W166">
            <v>79.69</v>
          </cell>
          <cell r="X166" t="str">
            <v>Net Banking</v>
          </cell>
          <cell r="Z166">
            <v>4</v>
          </cell>
          <cell r="AA166" t="b">
            <v>0</v>
          </cell>
          <cell r="AC166" t="str">
            <v>Delivered</v>
          </cell>
          <cell r="AE166">
            <v>8</v>
          </cell>
        </row>
        <row r="167">
          <cell r="C167">
            <v>45271</v>
          </cell>
          <cell r="D167" t="str">
            <v>CUST18271</v>
          </cell>
          <cell r="E167" t="str">
            <v>Pooja Chatterjee</v>
          </cell>
          <cell r="G167">
            <v>34.294220665499125</v>
          </cell>
          <cell r="H167" t="str">
            <v>Young Adult</v>
          </cell>
          <cell r="J167" t="str">
            <v>Male</v>
          </cell>
          <cell r="K167" t="str">
            <v>West</v>
          </cell>
          <cell r="L167" t="str">
            <v>Pune</v>
          </cell>
          <cell r="M167" t="str">
            <v>Clothing</v>
          </cell>
          <cell r="N167" t="str">
            <v>Jeans</v>
          </cell>
          <cell r="P167">
            <v>3</v>
          </cell>
          <cell r="Q167">
            <v>1850.1</v>
          </cell>
          <cell r="S167">
            <v>0.03</v>
          </cell>
          <cell r="T167">
            <v>4811.57</v>
          </cell>
          <cell r="U167">
            <v>1286.23</v>
          </cell>
          <cell r="V167">
            <v>0.26732023019513385</v>
          </cell>
          <cell r="W167">
            <v>78.13</v>
          </cell>
          <cell r="X167" t="str">
            <v>EMI</v>
          </cell>
          <cell r="Z167">
            <v>2</v>
          </cell>
          <cell r="AA167" t="b">
            <v>0</v>
          </cell>
          <cell r="AC167" t="str">
            <v>Delivered</v>
          </cell>
          <cell r="AE167">
            <v>10</v>
          </cell>
        </row>
        <row r="168">
          <cell r="C168">
            <v>45196</v>
          </cell>
          <cell r="D168" t="str">
            <v>CUST52921</v>
          </cell>
          <cell r="E168" t="str">
            <v>Vikram Nair</v>
          </cell>
          <cell r="G168">
            <v>18</v>
          </cell>
          <cell r="H168" t="str">
            <v>Teen</v>
          </cell>
          <cell r="J168" t="str">
            <v>Female</v>
          </cell>
          <cell r="K168" t="str">
            <v>East</v>
          </cell>
          <cell r="L168" t="str">
            <v>Patna</v>
          </cell>
          <cell r="M168" t="str">
            <v>Clothing</v>
          </cell>
          <cell r="N168" t="str">
            <v>Dress</v>
          </cell>
          <cell r="P168">
            <v>10</v>
          </cell>
          <cell r="Q168">
            <v>2309.23</v>
          </cell>
          <cell r="S168">
            <v>0.02</v>
          </cell>
          <cell r="T168">
            <v>28827.02</v>
          </cell>
          <cell r="U168">
            <v>8270.7999999999993</v>
          </cell>
          <cell r="V168">
            <v>0.28691137689570406</v>
          </cell>
          <cell r="W168">
            <v>94.75</v>
          </cell>
          <cell r="X168" t="str">
            <v>Cash on Delivery</v>
          </cell>
          <cell r="Z168">
            <v>3</v>
          </cell>
          <cell r="AA168" t="b">
            <v>0</v>
          </cell>
          <cell r="AC168" t="str">
            <v>Delivered</v>
          </cell>
          <cell r="AE168">
            <v>5</v>
          </cell>
        </row>
        <row r="169">
          <cell r="C169">
            <v>44047</v>
          </cell>
          <cell r="D169" t="str">
            <v>CUST00642</v>
          </cell>
          <cell r="E169" t="str">
            <v>Kavya Das</v>
          </cell>
          <cell r="G169">
            <v>40</v>
          </cell>
          <cell r="H169" t="str">
            <v>Adult</v>
          </cell>
          <cell r="J169" t="str">
            <v>Male</v>
          </cell>
          <cell r="K169" t="str">
            <v>South</v>
          </cell>
          <cell r="L169" t="str">
            <v>Chennai</v>
          </cell>
          <cell r="M169" t="str">
            <v>Furniture</v>
          </cell>
          <cell r="N169" t="str">
            <v>Wardrobe</v>
          </cell>
          <cell r="P169">
            <v>5</v>
          </cell>
          <cell r="Q169">
            <v>12250.19</v>
          </cell>
          <cell r="S169">
            <v>0.32</v>
          </cell>
          <cell r="T169">
            <v>45443.23</v>
          </cell>
          <cell r="U169">
            <v>11573.16</v>
          </cell>
          <cell r="V169">
            <v>0.25467291827627569</v>
          </cell>
          <cell r="W169">
            <v>71.75</v>
          </cell>
          <cell r="X169" t="str">
            <v>EMI</v>
          </cell>
          <cell r="Z169">
            <v>3</v>
          </cell>
          <cell r="AA169" t="b">
            <v>0</v>
          </cell>
          <cell r="AC169" t="str">
            <v>Delivered</v>
          </cell>
          <cell r="AE169">
            <v>6</v>
          </cell>
        </row>
        <row r="170">
          <cell r="C170">
            <v>44124</v>
          </cell>
          <cell r="D170" t="str">
            <v>CUST35559</v>
          </cell>
          <cell r="E170" t="str">
            <v>Ritu Nair</v>
          </cell>
          <cell r="G170">
            <v>22</v>
          </cell>
          <cell r="H170" t="str">
            <v>Young Adult</v>
          </cell>
          <cell r="J170" t="str">
            <v>Female</v>
          </cell>
          <cell r="K170" t="str">
            <v>Central</v>
          </cell>
          <cell r="L170" t="str">
            <v>Nagpur</v>
          </cell>
          <cell r="M170" t="str">
            <v>Books</v>
          </cell>
          <cell r="N170" t="str">
            <v>Textbook</v>
          </cell>
          <cell r="P170">
            <v>3</v>
          </cell>
          <cell r="Q170">
            <v>835.42</v>
          </cell>
          <cell r="S170">
            <v>0.33</v>
          </cell>
          <cell r="T170">
            <v>1423.3</v>
          </cell>
          <cell r="U170">
            <v>458.44</v>
          </cell>
          <cell r="V170">
            <v>0.32209653621864681</v>
          </cell>
          <cell r="W170">
            <v>55.32</v>
          </cell>
          <cell r="X170" t="str">
            <v>Cash on Delivery</v>
          </cell>
          <cell r="Z170">
            <v>5</v>
          </cell>
          <cell r="AA170" t="b">
            <v>0</v>
          </cell>
          <cell r="AC170" t="str">
            <v>Delivered</v>
          </cell>
          <cell r="AE170">
            <v>1</v>
          </cell>
        </row>
        <row r="171">
          <cell r="C171">
            <v>44491</v>
          </cell>
          <cell r="D171" t="str">
            <v>CUST96946</v>
          </cell>
          <cell r="E171" t="str">
            <v>Sunita Sharma</v>
          </cell>
          <cell r="G171">
            <v>53</v>
          </cell>
          <cell r="H171" t="str">
            <v>Senior</v>
          </cell>
          <cell r="J171" t="str">
            <v>Other</v>
          </cell>
          <cell r="K171" t="str">
            <v>South</v>
          </cell>
          <cell r="L171" t="str">
            <v>Chennai</v>
          </cell>
          <cell r="M171" t="str">
            <v>Electronics</v>
          </cell>
          <cell r="N171" t="str">
            <v>Headphones</v>
          </cell>
          <cell r="P171">
            <v>9</v>
          </cell>
          <cell r="Q171">
            <v>62284.37</v>
          </cell>
          <cell r="S171">
            <v>0.36</v>
          </cell>
          <cell r="T171">
            <v>295233.56</v>
          </cell>
          <cell r="U171">
            <v>40519.72</v>
          </cell>
          <cell r="V171">
            <v>0.13724632118381122</v>
          </cell>
          <cell r="W171">
            <v>81.150000000000006</v>
          </cell>
          <cell r="X171" t="str">
            <v>Credit Card</v>
          </cell>
          <cell r="Z171">
            <v>3</v>
          </cell>
          <cell r="AA171" t="b">
            <v>0</v>
          </cell>
          <cell r="AC171" t="str">
            <v>Delivered</v>
          </cell>
          <cell r="AE171">
            <v>8</v>
          </cell>
        </row>
        <row r="172">
          <cell r="C172">
            <v>45475</v>
          </cell>
          <cell r="D172" t="str">
            <v>CUST68889</v>
          </cell>
          <cell r="E172" t="str">
            <v>Vikram Chatterjee</v>
          </cell>
          <cell r="G172">
            <v>56</v>
          </cell>
          <cell r="H172" t="str">
            <v>Senior</v>
          </cell>
          <cell r="J172" t="str">
            <v>Other</v>
          </cell>
          <cell r="K172" t="str">
            <v>North</v>
          </cell>
          <cell r="L172" t="str">
            <v>Ludhiana</v>
          </cell>
          <cell r="M172" t="str">
            <v>Books</v>
          </cell>
          <cell r="N172" t="str">
            <v>Fiction Novel</v>
          </cell>
          <cell r="P172">
            <v>2</v>
          </cell>
          <cell r="Q172">
            <v>493.07</v>
          </cell>
          <cell r="S172">
            <v>0.4</v>
          </cell>
          <cell r="T172">
            <v>1034.25</v>
          </cell>
          <cell r="U172">
            <v>466.16</v>
          </cell>
          <cell r="V172">
            <v>0.4507227459511724</v>
          </cell>
          <cell r="W172">
            <v>79.959999999999994</v>
          </cell>
          <cell r="X172" t="str">
            <v>Net Banking</v>
          </cell>
          <cell r="Z172">
            <v>5</v>
          </cell>
          <cell r="AA172" t="b">
            <v>0</v>
          </cell>
          <cell r="AC172" t="str">
            <v>Delivered</v>
          </cell>
          <cell r="AE172">
            <v>5</v>
          </cell>
        </row>
        <row r="173">
          <cell r="C173">
            <v>44544</v>
          </cell>
          <cell r="D173" t="str">
            <v>CUST72370</v>
          </cell>
          <cell r="E173" t="str">
            <v>Priya Verma</v>
          </cell>
          <cell r="G173">
            <v>34</v>
          </cell>
          <cell r="H173" t="str">
            <v>Young Adult</v>
          </cell>
          <cell r="J173" t="str">
            <v>Other</v>
          </cell>
          <cell r="K173" t="str">
            <v>North</v>
          </cell>
          <cell r="L173" t="str">
            <v>Delhi</v>
          </cell>
          <cell r="M173" t="str">
            <v>Sports</v>
          </cell>
          <cell r="N173" t="str">
            <v>Dumbbells</v>
          </cell>
          <cell r="P173">
            <v>2</v>
          </cell>
          <cell r="Q173">
            <v>4486.05</v>
          </cell>
          <cell r="S173">
            <v>0.19793402777777783</v>
          </cell>
          <cell r="T173">
            <v>5037.7700000000004</v>
          </cell>
          <cell r="U173">
            <v>1061.82</v>
          </cell>
          <cell r="V173">
            <v>0.21077182959920757</v>
          </cell>
          <cell r="W173">
            <v>70.400000000000006</v>
          </cell>
          <cell r="X173" t="str">
            <v>UPI</v>
          </cell>
          <cell r="Z173">
            <v>4</v>
          </cell>
          <cell r="AA173" t="b">
            <v>0</v>
          </cell>
          <cell r="AC173" t="str">
            <v>Delivered</v>
          </cell>
          <cell r="AE173">
            <v>5</v>
          </cell>
        </row>
        <row r="174">
          <cell r="C174">
            <v>44250</v>
          </cell>
          <cell r="D174" t="str">
            <v>CUST88225</v>
          </cell>
          <cell r="E174" t="str">
            <v>Pooja Mishra</v>
          </cell>
          <cell r="G174">
            <v>37</v>
          </cell>
          <cell r="H174" t="str">
            <v>Adult</v>
          </cell>
          <cell r="J174" t="str">
            <v>Female</v>
          </cell>
          <cell r="K174" t="str">
            <v>South</v>
          </cell>
          <cell r="L174" t="str">
            <v>Hyderabad</v>
          </cell>
          <cell r="M174" t="str">
            <v>Clothing</v>
          </cell>
          <cell r="N174" t="str">
            <v>Dress</v>
          </cell>
          <cell r="P174">
            <v>2</v>
          </cell>
          <cell r="Q174">
            <v>2323.11</v>
          </cell>
          <cell r="S174">
            <v>0.1</v>
          </cell>
          <cell r="T174">
            <v>3708.79</v>
          </cell>
          <cell r="U174">
            <v>1138.78</v>
          </cell>
          <cell r="V174">
            <v>0.30704892970483633</v>
          </cell>
          <cell r="W174">
            <v>85.32</v>
          </cell>
          <cell r="X174" t="str">
            <v>Net Banking</v>
          </cell>
          <cell r="Z174">
            <v>2</v>
          </cell>
          <cell r="AA174" t="b">
            <v>0</v>
          </cell>
          <cell r="AC174" t="str">
            <v>Delivered</v>
          </cell>
          <cell r="AE174">
            <v>7</v>
          </cell>
        </row>
        <row r="175">
          <cell r="C175">
            <v>44154</v>
          </cell>
          <cell r="D175" t="str">
            <v>CUST57843</v>
          </cell>
          <cell r="E175" t="str">
            <v>Meera Nair</v>
          </cell>
          <cell r="G175">
            <v>51</v>
          </cell>
          <cell r="H175" t="str">
            <v>Senior</v>
          </cell>
          <cell r="J175" t="str">
            <v>Female</v>
          </cell>
          <cell r="K175" t="str">
            <v>East</v>
          </cell>
          <cell r="L175" t="str">
            <v>Bhubaneswar</v>
          </cell>
          <cell r="M175" t="str">
            <v>Books</v>
          </cell>
          <cell r="N175" t="str">
            <v>Fiction Novel</v>
          </cell>
          <cell r="P175">
            <v>10</v>
          </cell>
          <cell r="Q175">
            <v>331.1</v>
          </cell>
          <cell r="S175">
            <v>0.39</v>
          </cell>
          <cell r="T175">
            <v>1477.96</v>
          </cell>
          <cell r="U175">
            <v>435.14</v>
          </cell>
          <cell r="V175">
            <v>0.29441933475872145</v>
          </cell>
          <cell r="W175">
            <v>84.94</v>
          </cell>
          <cell r="X175" t="str">
            <v>Cash on Delivery</v>
          </cell>
          <cell r="Z175">
            <v>5</v>
          </cell>
          <cell r="AA175" t="b">
            <v>0</v>
          </cell>
          <cell r="AC175" t="str">
            <v>Delivered</v>
          </cell>
          <cell r="AE175">
            <v>7</v>
          </cell>
        </row>
        <row r="176">
          <cell r="C176">
            <v>45558</v>
          </cell>
          <cell r="D176" t="str">
            <v>CUST81465</v>
          </cell>
          <cell r="E176" t="str">
            <v>Rohan Pillai</v>
          </cell>
          <cell r="G176">
            <v>38</v>
          </cell>
          <cell r="H176" t="str">
            <v>Adult</v>
          </cell>
          <cell r="J176" t="str">
            <v>Male</v>
          </cell>
          <cell r="K176" t="str">
            <v>Central</v>
          </cell>
          <cell r="L176" t="str">
            <v>Indore</v>
          </cell>
          <cell r="M176" t="str">
            <v>Groceries</v>
          </cell>
          <cell r="N176" t="str">
            <v>Flour</v>
          </cell>
          <cell r="P176">
            <v>5</v>
          </cell>
          <cell r="Q176">
            <v>195.29</v>
          </cell>
          <cell r="S176">
            <v>0.16</v>
          </cell>
          <cell r="T176">
            <v>1055.0999999999999</v>
          </cell>
          <cell r="U176">
            <v>81.38</v>
          </cell>
          <cell r="V176">
            <v>7.7130129845512277E-2</v>
          </cell>
          <cell r="W176">
            <v>32.28</v>
          </cell>
          <cell r="X176" t="str">
            <v>Credit Card</v>
          </cell>
          <cell r="Z176">
            <v>3</v>
          </cell>
          <cell r="AA176" t="b">
            <v>0</v>
          </cell>
          <cell r="AC176" t="str">
            <v>Cancelled</v>
          </cell>
          <cell r="AE176">
            <v>5</v>
          </cell>
        </row>
        <row r="177">
          <cell r="C177">
            <v>44520</v>
          </cell>
          <cell r="D177" t="str">
            <v>CUST55972</v>
          </cell>
          <cell r="E177" t="str">
            <v>Rohan Kumar</v>
          </cell>
          <cell r="G177">
            <v>47</v>
          </cell>
          <cell r="H177" t="str">
            <v>Adult</v>
          </cell>
          <cell r="J177" t="str">
            <v>Male</v>
          </cell>
          <cell r="K177" t="str">
            <v>West</v>
          </cell>
          <cell r="L177" t="str">
            <v>Surat</v>
          </cell>
          <cell r="M177" t="str">
            <v>Clothing</v>
          </cell>
          <cell r="N177" t="str">
            <v>Kurta</v>
          </cell>
          <cell r="P177">
            <v>10</v>
          </cell>
          <cell r="Q177">
            <v>1224.47</v>
          </cell>
          <cell r="S177">
            <v>0.4</v>
          </cell>
          <cell r="T177">
            <v>5546.22</v>
          </cell>
          <cell r="U177">
            <v>2019.44</v>
          </cell>
          <cell r="V177">
            <v>0.36411105221213724</v>
          </cell>
          <cell r="W177">
            <v>52.99</v>
          </cell>
          <cell r="X177" t="str">
            <v>Debit Card</v>
          </cell>
          <cell r="Z177">
            <v>1</v>
          </cell>
          <cell r="AA177" t="b">
            <v>0</v>
          </cell>
          <cell r="AC177" t="str">
            <v>Delivered</v>
          </cell>
          <cell r="AE177">
            <v>6</v>
          </cell>
        </row>
        <row r="178">
          <cell r="C178">
            <v>45291</v>
          </cell>
          <cell r="D178" t="str">
            <v>CUST86469</v>
          </cell>
          <cell r="E178" t="str">
            <v>Aarav Mehta</v>
          </cell>
          <cell r="G178">
            <v>43</v>
          </cell>
          <cell r="H178" t="str">
            <v>Adult</v>
          </cell>
          <cell r="J178" t="str">
            <v>Other</v>
          </cell>
          <cell r="K178" t="str">
            <v>South</v>
          </cell>
          <cell r="L178" t="str">
            <v>Hyderabad</v>
          </cell>
          <cell r="M178" t="str">
            <v>Beauty</v>
          </cell>
          <cell r="N178" t="str">
            <v>Lipstick</v>
          </cell>
          <cell r="P178">
            <v>7</v>
          </cell>
          <cell r="Q178">
            <v>1828.2</v>
          </cell>
          <cell r="S178">
            <v>0.21</v>
          </cell>
          <cell r="T178">
            <v>9118.6299999999992</v>
          </cell>
          <cell r="U178">
            <v>3919.89</v>
          </cell>
          <cell r="V178">
            <v>0.42987707583266349</v>
          </cell>
          <cell r="W178">
            <v>72.63</v>
          </cell>
          <cell r="X178" t="str">
            <v>Credit Card</v>
          </cell>
          <cell r="Z178">
            <v>4</v>
          </cell>
          <cell r="AA178" t="b">
            <v>0</v>
          </cell>
          <cell r="AC178" t="str">
            <v>Delivered</v>
          </cell>
          <cell r="AE178">
            <v>1</v>
          </cell>
        </row>
        <row r="179">
          <cell r="C179">
            <v>44072</v>
          </cell>
          <cell r="D179" t="str">
            <v>CUST19508</v>
          </cell>
          <cell r="E179" t="str">
            <v>Arjun Rao</v>
          </cell>
          <cell r="G179">
            <v>28</v>
          </cell>
          <cell r="H179" t="str">
            <v>Young Adult</v>
          </cell>
          <cell r="J179" t="str">
            <v>Male</v>
          </cell>
          <cell r="K179" t="str">
            <v>West</v>
          </cell>
          <cell r="L179" t="str">
            <v>Pune</v>
          </cell>
          <cell r="M179" t="str">
            <v>Electronics</v>
          </cell>
          <cell r="N179" t="str">
            <v>Smartwatch</v>
          </cell>
          <cell r="P179">
            <v>7.0954861111111107</v>
          </cell>
          <cell r="Q179">
            <v>9189.44</v>
          </cell>
          <cell r="S179">
            <v>0.19</v>
          </cell>
          <cell r="T179">
            <v>8306.2900000000009</v>
          </cell>
          <cell r="U179">
            <v>916.95</v>
          </cell>
          <cell r="V179">
            <v>0.11039224491319229</v>
          </cell>
          <cell r="W179">
            <v>59.91</v>
          </cell>
          <cell r="X179" t="str">
            <v>Debit Card</v>
          </cell>
          <cell r="Z179">
            <v>4</v>
          </cell>
          <cell r="AA179" t="b">
            <v>0</v>
          </cell>
          <cell r="AC179" t="str">
            <v>Delivered</v>
          </cell>
          <cell r="AE179">
            <v>5</v>
          </cell>
        </row>
        <row r="180">
          <cell r="C180">
            <v>43952</v>
          </cell>
          <cell r="D180" t="str">
            <v>CUST92554</v>
          </cell>
          <cell r="E180" t="str">
            <v>Nisha Joshi</v>
          </cell>
          <cell r="G180">
            <v>34</v>
          </cell>
          <cell r="H180" t="str">
            <v>Young Adult</v>
          </cell>
          <cell r="J180" t="str">
            <v>Other</v>
          </cell>
          <cell r="K180" t="str">
            <v>West</v>
          </cell>
          <cell r="L180" t="str">
            <v>Pune</v>
          </cell>
          <cell r="M180" t="str">
            <v>Electronics</v>
          </cell>
          <cell r="N180" t="str">
            <v>Laptop</v>
          </cell>
          <cell r="P180">
            <v>8</v>
          </cell>
          <cell r="Q180">
            <v>74156.479999999996</v>
          </cell>
          <cell r="S180">
            <v>0.02</v>
          </cell>
          <cell r="T180">
            <v>789939.57</v>
          </cell>
          <cell r="U180">
            <v>58250.48</v>
          </cell>
          <cell r="V180">
            <v>7.3740425485964711E-2</v>
          </cell>
          <cell r="W180">
            <v>75.8</v>
          </cell>
          <cell r="X180" t="str">
            <v>Credit Card</v>
          </cell>
          <cell r="Z180">
            <v>5</v>
          </cell>
          <cell r="AA180" t="b">
            <v>0</v>
          </cell>
          <cell r="AC180" t="str">
            <v>Delivered</v>
          </cell>
          <cell r="AE180">
            <v>2</v>
          </cell>
        </row>
        <row r="181">
          <cell r="C181">
            <v>45494</v>
          </cell>
          <cell r="D181" t="str">
            <v>CUST65889</v>
          </cell>
          <cell r="E181" t="str">
            <v>Priya Verma</v>
          </cell>
          <cell r="G181">
            <v>52</v>
          </cell>
          <cell r="H181" t="str">
            <v>Senior</v>
          </cell>
          <cell r="J181" t="str">
            <v>Female</v>
          </cell>
          <cell r="K181" t="str">
            <v>Central</v>
          </cell>
          <cell r="L181" t="str">
            <v>Indore</v>
          </cell>
          <cell r="M181" t="str">
            <v>Groceries</v>
          </cell>
          <cell r="N181" t="str">
            <v>Sugar</v>
          </cell>
          <cell r="P181">
            <v>6</v>
          </cell>
          <cell r="Q181">
            <v>462.8</v>
          </cell>
          <cell r="S181">
            <v>0.2</v>
          </cell>
          <cell r="T181">
            <v>3702.45</v>
          </cell>
          <cell r="U181">
            <v>265.27999999999997</v>
          </cell>
          <cell r="V181">
            <v>7.1649853475401426E-2</v>
          </cell>
          <cell r="W181">
            <v>81.010000000000005</v>
          </cell>
          <cell r="X181" t="str">
            <v>Cash on Delivery</v>
          </cell>
          <cell r="Z181">
            <v>4</v>
          </cell>
          <cell r="AA181" t="b">
            <v>0</v>
          </cell>
          <cell r="AC181" t="str">
            <v>Delivered</v>
          </cell>
          <cell r="AE181">
            <v>7</v>
          </cell>
        </row>
        <row r="182">
          <cell r="C182">
            <v>44715</v>
          </cell>
          <cell r="D182" t="str">
            <v>CUST71669</v>
          </cell>
          <cell r="E182" t="str">
            <v>Nikhil Singh</v>
          </cell>
          <cell r="G182">
            <v>17</v>
          </cell>
          <cell r="H182" t="str">
            <v>Teen</v>
          </cell>
          <cell r="J182" t="str">
            <v>Other</v>
          </cell>
          <cell r="K182" t="str">
            <v>West</v>
          </cell>
          <cell r="L182" t="str">
            <v>Mumbai</v>
          </cell>
          <cell r="M182" t="str">
            <v>Books</v>
          </cell>
          <cell r="N182" t="str">
            <v>Self-Help Book</v>
          </cell>
          <cell r="P182">
            <v>4</v>
          </cell>
          <cell r="Q182">
            <v>664.43</v>
          </cell>
          <cell r="S182">
            <v>0.18</v>
          </cell>
          <cell r="T182">
            <v>2827.28</v>
          </cell>
          <cell r="U182">
            <v>858.56</v>
          </cell>
          <cell r="V182">
            <v>0.30366995840525163</v>
          </cell>
          <cell r="W182">
            <v>89.26</v>
          </cell>
          <cell r="X182" t="str">
            <v>Net Banking</v>
          </cell>
          <cell r="Z182">
            <v>3</v>
          </cell>
          <cell r="AA182" t="b">
            <v>0</v>
          </cell>
          <cell r="AC182" t="str">
            <v>Delivered</v>
          </cell>
          <cell r="AE182">
            <v>8</v>
          </cell>
        </row>
        <row r="183">
          <cell r="C183">
            <v>45566</v>
          </cell>
          <cell r="D183" t="str">
            <v>CUST50530</v>
          </cell>
          <cell r="E183" t="str">
            <v>Nikhil Patel</v>
          </cell>
          <cell r="G183">
            <v>36</v>
          </cell>
          <cell r="H183" t="str">
            <v>Adult</v>
          </cell>
          <cell r="J183" t="str">
            <v>Male</v>
          </cell>
          <cell r="K183" t="str">
            <v>North</v>
          </cell>
          <cell r="L183" t="str">
            <v>Amritsar</v>
          </cell>
          <cell r="M183" t="str">
            <v>Furniture</v>
          </cell>
          <cell r="N183" t="str">
            <v>Bed Frame</v>
          </cell>
          <cell r="P183">
            <v>5</v>
          </cell>
          <cell r="Q183">
            <v>16493.240000000002</v>
          </cell>
          <cell r="S183">
            <v>0.1</v>
          </cell>
          <cell r="T183">
            <v>95102.09</v>
          </cell>
          <cell r="U183">
            <v>29222.3</v>
          </cell>
          <cell r="V183">
            <v>0.30727295267643434</v>
          </cell>
          <cell r="W183">
            <v>63.55</v>
          </cell>
          <cell r="X183" t="str">
            <v>Cash on Delivery</v>
          </cell>
          <cell r="Z183">
            <v>5</v>
          </cell>
          <cell r="AA183" t="b">
            <v>0</v>
          </cell>
          <cell r="AC183" t="str">
            <v>Delivered</v>
          </cell>
          <cell r="AE183">
            <v>5</v>
          </cell>
        </row>
        <row r="184">
          <cell r="C184">
            <v>44520</v>
          </cell>
          <cell r="D184" t="str">
            <v>CUST28110</v>
          </cell>
          <cell r="E184" t="str">
            <v>Kavya Rao</v>
          </cell>
          <cell r="G184">
            <v>28</v>
          </cell>
          <cell r="H184" t="str">
            <v>Young Adult</v>
          </cell>
          <cell r="J184" t="str">
            <v>Male</v>
          </cell>
          <cell r="K184" t="str">
            <v>North</v>
          </cell>
          <cell r="L184" t="str">
            <v>Delhi</v>
          </cell>
          <cell r="M184" t="str">
            <v>Clothing</v>
          </cell>
          <cell r="N184" t="str">
            <v>Jeans</v>
          </cell>
          <cell r="P184">
            <v>9</v>
          </cell>
          <cell r="Q184">
            <v>577.16</v>
          </cell>
          <cell r="S184">
            <v>0.35</v>
          </cell>
          <cell r="T184">
            <v>2706.28</v>
          </cell>
          <cell r="U184">
            <v>896.42</v>
          </cell>
          <cell r="V184">
            <v>0.33123697474023378</v>
          </cell>
          <cell r="W184">
            <v>45.41</v>
          </cell>
          <cell r="X184" t="str">
            <v>UPI</v>
          </cell>
          <cell r="Z184">
            <v>3</v>
          </cell>
          <cell r="AA184" t="b">
            <v>1</v>
          </cell>
          <cell r="AC184" t="str">
            <v>Returned</v>
          </cell>
          <cell r="AE184">
            <v>2</v>
          </cell>
        </row>
        <row r="185">
          <cell r="C185">
            <v>45168</v>
          </cell>
          <cell r="D185" t="str">
            <v>CUST98803</v>
          </cell>
          <cell r="E185" t="str">
            <v>Vikram Joshi</v>
          </cell>
          <cell r="G185">
            <v>42</v>
          </cell>
          <cell r="H185" t="str">
            <v>Adult</v>
          </cell>
          <cell r="J185" t="str">
            <v>Male</v>
          </cell>
          <cell r="K185" t="str">
            <v>South</v>
          </cell>
          <cell r="L185" t="str">
            <v>Kochi</v>
          </cell>
          <cell r="M185" t="str">
            <v>Furniture</v>
          </cell>
          <cell r="N185" t="str">
            <v>Bed Frame</v>
          </cell>
          <cell r="P185">
            <v>6</v>
          </cell>
          <cell r="Q185">
            <v>21712.77</v>
          </cell>
          <cell r="S185">
            <v>0.14000000000000001</v>
          </cell>
          <cell r="T185">
            <v>157859.91</v>
          </cell>
          <cell r="U185">
            <v>48496.37</v>
          </cell>
          <cell r="V185">
            <v>0.30721143829361108</v>
          </cell>
          <cell r="W185">
            <v>62.68</v>
          </cell>
          <cell r="X185" t="str">
            <v>EMI</v>
          </cell>
          <cell r="Z185">
            <v>2</v>
          </cell>
          <cell r="AA185" t="b">
            <v>0</v>
          </cell>
          <cell r="AC185" t="str">
            <v>Cancelled</v>
          </cell>
          <cell r="AE185">
            <v>9</v>
          </cell>
        </row>
        <row r="186">
          <cell r="C186">
            <v>45507</v>
          </cell>
          <cell r="D186" t="str">
            <v>CUST22956</v>
          </cell>
          <cell r="E186" t="str">
            <v>Deepa Chatterjee</v>
          </cell>
          <cell r="G186">
            <v>32</v>
          </cell>
          <cell r="H186" t="str">
            <v>Young Adult</v>
          </cell>
          <cell r="J186" t="str">
            <v>Other</v>
          </cell>
          <cell r="K186" t="str">
            <v>West</v>
          </cell>
          <cell r="L186" t="str">
            <v>Surat</v>
          </cell>
          <cell r="M186" t="str">
            <v>Beauty</v>
          </cell>
          <cell r="N186" t="str">
            <v>Hair Oil</v>
          </cell>
          <cell r="P186">
            <v>5</v>
          </cell>
          <cell r="Q186">
            <v>2341.12</v>
          </cell>
          <cell r="S186">
            <v>7.0000000000000007E-2</v>
          </cell>
          <cell r="T186">
            <v>14424.73</v>
          </cell>
          <cell r="U186">
            <v>7388.44</v>
          </cell>
          <cell r="V186">
            <v>0.51220646764272193</v>
          </cell>
          <cell r="W186">
            <v>70.78</v>
          </cell>
          <cell r="X186" t="str">
            <v>Credit Card</v>
          </cell>
          <cell r="Z186">
            <v>3</v>
          </cell>
          <cell r="AA186" t="b">
            <v>1</v>
          </cell>
          <cell r="AC186" t="str">
            <v>Returned</v>
          </cell>
          <cell r="AE186">
            <v>3</v>
          </cell>
        </row>
        <row r="187">
          <cell r="C187">
            <v>44652</v>
          </cell>
          <cell r="D187" t="str">
            <v>CUST08538</v>
          </cell>
          <cell r="E187" t="str">
            <v>Shreya Kapoor</v>
          </cell>
          <cell r="G187">
            <v>33</v>
          </cell>
          <cell r="H187" t="str">
            <v>Young Adult</v>
          </cell>
          <cell r="J187" t="str">
            <v>Male</v>
          </cell>
          <cell r="K187" t="str">
            <v>West</v>
          </cell>
          <cell r="L187" t="str">
            <v>Surat</v>
          </cell>
          <cell r="M187" t="str">
            <v>Beauty</v>
          </cell>
          <cell r="N187" t="str">
            <v>Lipstick</v>
          </cell>
          <cell r="P187">
            <v>3</v>
          </cell>
          <cell r="Q187">
            <v>992.1</v>
          </cell>
          <cell r="S187">
            <v>0.25</v>
          </cell>
          <cell r="T187">
            <v>3344.42</v>
          </cell>
          <cell r="U187">
            <v>1765.61</v>
          </cell>
          <cell r="V187">
            <v>0.52792711441744755</v>
          </cell>
          <cell r="W187">
            <v>59.26</v>
          </cell>
          <cell r="X187" t="str">
            <v>Credit Card</v>
          </cell>
          <cell r="Z187">
            <v>3</v>
          </cell>
          <cell r="AA187" t="b">
            <v>0</v>
          </cell>
          <cell r="AC187" t="str">
            <v>Cancelled</v>
          </cell>
          <cell r="AE187">
            <v>4</v>
          </cell>
        </row>
        <row r="188">
          <cell r="C188">
            <v>44773</v>
          </cell>
          <cell r="D188" t="str">
            <v>CUST10089</v>
          </cell>
          <cell r="E188" t="str">
            <v>Vikram Bhat</v>
          </cell>
          <cell r="G188">
            <v>47</v>
          </cell>
          <cell r="H188" t="str">
            <v>Adult</v>
          </cell>
          <cell r="J188" t="str">
            <v>Other</v>
          </cell>
          <cell r="K188" t="str">
            <v>East</v>
          </cell>
          <cell r="L188" t="str">
            <v>Patna</v>
          </cell>
          <cell r="M188" t="str">
            <v>Clothing</v>
          </cell>
          <cell r="N188" t="str">
            <v>Saree</v>
          </cell>
          <cell r="P188">
            <v>2</v>
          </cell>
          <cell r="Q188">
            <v>3551.33</v>
          </cell>
          <cell r="S188">
            <v>0.03</v>
          </cell>
          <cell r="T188">
            <v>9440.7800000000007</v>
          </cell>
          <cell r="U188">
            <v>3804.23</v>
          </cell>
          <cell r="V188">
            <v>0.4029571709117255</v>
          </cell>
          <cell r="W188">
            <v>97.74</v>
          </cell>
          <cell r="X188" t="str">
            <v>Net Banking</v>
          </cell>
          <cell r="Z188">
            <v>3</v>
          </cell>
          <cell r="AA188" t="b">
            <v>0</v>
          </cell>
          <cell r="AC188" t="str">
            <v>Delivered</v>
          </cell>
          <cell r="AE188">
            <v>8</v>
          </cell>
        </row>
        <row r="189">
          <cell r="C189">
            <v>45327</v>
          </cell>
          <cell r="D189" t="str">
            <v>CUST47815</v>
          </cell>
          <cell r="E189" t="str">
            <v>Aditya Shah</v>
          </cell>
          <cell r="G189">
            <v>34.294220665499125</v>
          </cell>
          <cell r="H189" t="str">
            <v>Young Adult</v>
          </cell>
          <cell r="J189" t="str">
            <v>Female</v>
          </cell>
          <cell r="K189" t="str">
            <v>North</v>
          </cell>
          <cell r="L189" t="str">
            <v>Delhi</v>
          </cell>
          <cell r="M189" t="str">
            <v>Sports</v>
          </cell>
          <cell r="N189" t="str">
            <v>Tennis Racket</v>
          </cell>
          <cell r="P189">
            <v>2</v>
          </cell>
          <cell r="Q189">
            <v>9159.84</v>
          </cell>
          <cell r="S189">
            <v>0.21</v>
          </cell>
          <cell r="T189">
            <v>17159.150000000001</v>
          </cell>
          <cell r="U189">
            <v>4525.93</v>
          </cell>
          <cell r="V189">
            <v>0.26376189962789531</v>
          </cell>
          <cell r="W189">
            <v>58.04</v>
          </cell>
          <cell r="X189" t="str">
            <v>EMI</v>
          </cell>
          <cell r="Z189">
            <v>4</v>
          </cell>
          <cell r="AA189" t="b">
            <v>0</v>
          </cell>
          <cell r="AC189" t="str">
            <v>Delivered</v>
          </cell>
          <cell r="AE189">
            <v>4</v>
          </cell>
        </row>
        <row r="190">
          <cell r="C190">
            <v>44561</v>
          </cell>
          <cell r="D190" t="str">
            <v>CUST78194</v>
          </cell>
          <cell r="E190" t="str">
            <v>Shreya Mishra</v>
          </cell>
          <cell r="G190">
            <v>58</v>
          </cell>
          <cell r="H190" t="str">
            <v>Senior</v>
          </cell>
          <cell r="J190" t="str">
            <v>Male</v>
          </cell>
          <cell r="K190" t="str">
            <v>West</v>
          </cell>
          <cell r="L190" t="str">
            <v>Mumbai</v>
          </cell>
          <cell r="M190" t="str">
            <v>Sports</v>
          </cell>
          <cell r="N190" t="str">
            <v>Yoga Mat</v>
          </cell>
          <cell r="P190">
            <v>3</v>
          </cell>
          <cell r="Q190">
            <v>726.67</v>
          </cell>
          <cell r="S190">
            <v>0.34</v>
          </cell>
          <cell r="T190">
            <v>1042.72</v>
          </cell>
          <cell r="U190">
            <v>281.95</v>
          </cell>
          <cell r="V190">
            <v>0.27039857296301978</v>
          </cell>
          <cell r="W190">
            <v>34.18</v>
          </cell>
          <cell r="X190" t="str">
            <v>Cash on Delivery</v>
          </cell>
          <cell r="Z190">
            <v>1</v>
          </cell>
          <cell r="AA190" t="b">
            <v>0</v>
          </cell>
          <cell r="AC190" t="str">
            <v>Shipped</v>
          </cell>
          <cell r="AE190">
            <v>9</v>
          </cell>
        </row>
        <row r="191">
          <cell r="C191">
            <v>44991</v>
          </cell>
          <cell r="D191" t="str">
            <v>CUST75386</v>
          </cell>
          <cell r="E191" t="str">
            <v>Rohan Mishra</v>
          </cell>
          <cell r="G191">
            <v>14</v>
          </cell>
          <cell r="H191" t="str">
            <v>Teen</v>
          </cell>
          <cell r="J191" t="str">
            <v>Male</v>
          </cell>
          <cell r="K191" t="str">
            <v>East</v>
          </cell>
          <cell r="L191" t="str">
            <v>Guwahati</v>
          </cell>
          <cell r="M191" t="str">
            <v>Electronics</v>
          </cell>
          <cell r="N191" t="str">
            <v>Headphones</v>
          </cell>
          <cell r="P191">
            <v>3</v>
          </cell>
          <cell r="Q191">
            <v>65257.11</v>
          </cell>
          <cell r="S191">
            <v>0.2</v>
          </cell>
          <cell r="T191">
            <v>196362.97</v>
          </cell>
          <cell r="U191">
            <v>27495.56</v>
          </cell>
          <cell r="V191">
            <v>0.14002416035976642</v>
          </cell>
          <cell r="W191">
            <v>51.41</v>
          </cell>
          <cell r="X191" t="str">
            <v>UPI</v>
          </cell>
          <cell r="Z191">
            <v>1</v>
          </cell>
          <cell r="AA191" t="b">
            <v>1</v>
          </cell>
          <cell r="AC191" t="str">
            <v>Returned</v>
          </cell>
          <cell r="AE191">
            <v>4</v>
          </cell>
        </row>
        <row r="192">
          <cell r="C192">
            <v>45518</v>
          </cell>
          <cell r="D192" t="str">
            <v>CUST28307</v>
          </cell>
          <cell r="E192" t="str">
            <v>Nisha Bhat</v>
          </cell>
          <cell r="G192">
            <v>48</v>
          </cell>
          <cell r="H192" t="str">
            <v>Adult</v>
          </cell>
          <cell r="J192" t="str">
            <v>Other</v>
          </cell>
          <cell r="K192" t="str">
            <v>Central</v>
          </cell>
          <cell r="L192" t="str">
            <v>Indore</v>
          </cell>
          <cell r="M192" t="str">
            <v>Books</v>
          </cell>
          <cell r="N192" t="str">
            <v>Self-Help Book</v>
          </cell>
          <cell r="P192">
            <v>6</v>
          </cell>
          <cell r="Q192">
            <v>797.16</v>
          </cell>
          <cell r="S192">
            <v>0.34</v>
          </cell>
          <cell r="T192">
            <v>4735.21</v>
          </cell>
          <cell r="U192">
            <v>1174.5899999999999</v>
          </cell>
          <cell r="V192">
            <v>0.24805446854521762</v>
          </cell>
          <cell r="W192">
            <v>15.7</v>
          </cell>
          <cell r="X192" t="str">
            <v>Cash on Delivery</v>
          </cell>
          <cell r="Z192">
            <v>4</v>
          </cell>
          <cell r="AA192" t="b">
            <v>0</v>
          </cell>
          <cell r="AC192" t="str">
            <v>Shipped</v>
          </cell>
          <cell r="AE192">
            <v>2</v>
          </cell>
        </row>
        <row r="193">
          <cell r="C193">
            <v>45262</v>
          </cell>
          <cell r="D193" t="str">
            <v>CUST44114</v>
          </cell>
          <cell r="E193" t="str">
            <v>Aditya Mehta</v>
          </cell>
          <cell r="G193">
            <v>36</v>
          </cell>
          <cell r="H193" t="str">
            <v>Adult</v>
          </cell>
          <cell r="J193" t="str">
            <v>Female</v>
          </cell>
          <cell r="K193" t="str">
            <v>North</v>
          </cell>
          <cell r="L193" t="str">
            <v>Ludhiana</v>
          </cell>
          <cell r="M193" t="str">
            <v>Sports</v>
          </cell>
          <cell r="N193" t="str">
            <v>Cricket Bat</v>
          </cell>
          <cell r="P193">
            <v>7.0954861111111107</v>
          </cell>
          <cell r="Q193">
            <v>11000.34</v>
          </cell>
          <cell r="S193">
            <v>0.04</v>
          </cell>
          <cell r="T193">
            <v>9272.7099999999991</v>
          </cell>
          <cell r="U193">
            <v>1339.4</v>
          </cell>
          <cell r="V193">
            <v>0.14444536710411521</v>
          </cell>
          <cell r="W193">
            <v>62.5</v>
          </cell>
          <cell r="X193" t="str">
            <v>Net Banking</v>
          </cell>
          <cell r="Z193">
            <v>1</v>
          </cell>
          <cell r="AA193" t="b">
            <v>0</v>
          </cell>
          <cell r="AC193" t="str">
            <v>Cancelled</v>
          </cell>
          <cell r="AE193">
            <v>2</v>
          </cell>
        </row>
        <row r="194">
          <cell r="C194">
            <v>43954</v>
          </cell>
          <cell r="D194" t="str">
            <v>CUST00544</v>
          </cell>
          <cell r="E194" t="str">
            <v>Sanjay Joshi</v>
          </cell>
          <cell r="G194">
            <v>26</v>
          </cell>
          <cell r="H194" t="str">
            <v>Young Adult</v>
          </cell>
          <cell r="J194" t="str">
            <v>Male</v>
          </cell>
          <cell r="K194" t="str">
            <v>North</v>
          </cell>
          <cell r="L194" t="str">
            <v>Ludhiana</v>
          </cell>
          <cell r="M194" t="str">
            <v>Books</v>
          </cell>
          <cell r="N194" t="str">
            <v>Textbook</v>
          </cell>
          <cell r="P194">
            <v>10</v>
          </cell>
          <cell r="Q194">
            <v>1346.41</v>
          </cell>
          <cell r="S194">
            <v>0.24</v>
          </cell>
          <cell r="T194">
            <v>12502.33</v>
          </cell>
          <cell r="U194">
            <v>5924.88</v>
          </cell>
          <cell r="V194">
            <v>0.47390206465514828</v>
          </cell>
          <cell r="W194">
            <v>55.15</v>
          </cell>
          <cell r="X194" t="str">
            <v>UPI</v>
          </cell>
          <cell r="Z194">
            <v>1</v>
          </cell>
          <cell r="AA194" t="b">
            <v>0</v>
          </cell>
          <cell r="AC194" t="str">
            <v>Pending</v>
          </cell>
          <cell r="AE194">
            <v>2</v>
          </cell>
        </row>
        <row r="195">
          <cell r="C195">
            <v>45458</v>
          </cell>
          <cell r="D195" t="str">
            <v>CUST93241</v>
          </cell>
          <cell r="E195" t="str">
            <v>Nikhil Patel</v>
          </cell>
          <cell r="G195">
            <v>31</v>
          </cell>
          <cell r="H195" t="str">
            <v>Young Adult</v>
          </cell>
          <cell r="J195" t="str">
            <v>Female</v>
          </cell>
          <cell r="K195" t="str">
            <v>North</v>
          </cell>
          <cell r="L195" t="str">
            <v>Chandigarh</v>
          </cell>
          <cell r="M195" t="str">
            <v>Clothing</v>
          </cell>
          <cell r="N195" t="str">
            <v>Jeans</v>
          </cell>
          <cell r="P195">
            <v>10</v>
          </cell>
          <cell r="Q195">
            <v>1828.09</v>
          </cell>
          <cell r="S195">
            <v>0.4</v>
          </cell>
          <cell r="T195">
            <v>18651.13</v>
          </cell>
          <cell r="U195">
            <v>4543.72</v>
          </cell>
          <cell r="V195">
            <v>0.24361633852747797</v>
          </cell>
          <cell r="W195">
            <v>54.66</v>
          </cell>
          <cell r="X195" t="str">
            <v>UPI</v>
          </cell>
          <cell r="Z195">
            <v>5</v>
          </cell>
          <cell r="AA195" t="b">
            <v>0</v>
          </cell>
          <cell r="AC195" t="str">
            <v>Delivered</v>
          </cell>
          <cell r="AE195">
            <v>10</v>
          </cell>
        </row>
        <row r="196">
          <cell r="C196">
            <v>44365</v>
          </cell>
          <cell r="D196" t="str">
            <v>CUST64503</v>
          </cell>
          <cell r="E196" t="str">
            <v>Vikram Gupta</v>
          </cell>
          <cell r="G196">
            <v>27</v>
          </cell>
          <cell r="H196" t="str">
            <v>Young Adult</v>
          </cell>
          <cell r="J196" t="str">
            <v>Other</v>
          </cell>
          <cell r="K196" t="str">
            <v>Central</v>
          </cell>
          <cell r="L196" t="str">
            <v>Raipur</v>
          </cell>
          <cell r="M196" t="str">
            <v>Furniture</v>
          </cell>
          <cell r="N196" t="str">
            <v>Wardrobe</v>
          </cell>
          <cell r="P196">
            <v>5</v>
          </cell>
          <cell r="Q196">
            <v>27399.66</v>
          </cell>
          <cell r="S196">
            <v>0.38</v>
          </cell>
          <cell r="T196">
            <v>132575.91</v>
          </cell>
          <cell r="U196">
            <v>31097.38</v>
          </cell>
          <cell r="V196">
            <v>0.23456282517691185</v>
          </cell>
          <cell r="W196">
            <v>50.34</v>
          </cell>
          <cell r="X196" t="str">
            <v>Net Banking</v>
          </cell>
          <cell r="Z196">
            <v>3</v>
          </cell>
          <cell r="AA196" t="b">
            <v>0</v>
          </cell>
          <cell r="AC196" t="str">
            <v>Delivered</v>
          </cell>
          <cell r="AE196">
            <v>4</v>
          </cell>
        </row>
        <row r="197">
          <cell r="C197">
            <v>45019</v>
          </cell>
          <cell r="D197" t="str">
            <v>CUST71887</v>
          </cell>
          <cell r="E197" t="str">
            <v>Nisha Kapoor</v>
          </cell>
          <cell r="G197">
            <v>30</v>
          </cell>
          <cell r="H197" t="str">
            <v>Young Adult</v>
          </cell>
          <cell r="J197" t="str">
            <v>Other</v>
          </cell>
          <cell r="K197" t="str">
            <v>East</v>
          </cell>
          <cell r="L197" t="str">
            <v>Bhubaneswar</v>
          </cell>
          <cell r="M197" t="str">
            <v>Books</v>
          </cell>
          <cell r="N197" t="str">
            <v>Textbook</v>
          </cell>
          <cell r="P197">
            <v>10</v>
          </cell>
          <cell r="Q197">
            <v>1221.02</v>
          </cell>
          <cell r="S197">
            <v>0.17</v>
          </cell>
          <cell r="T197">
            <v>15191.82</v>
          </cell>
          <cell r="U197">
            <v>5083.3</v>
          </cell>
          <cell r="V197">
            <v>0.33460770335614826</v>
          </cell>
          <cell r="W197">
            <v>86.46</v>
          </cell>
          <cell r="X197" t="str">
            <v>EMI</v>
          </cell>
          <cell r="Z197">
            <v>5</v>
          </cell>
          <cell r="AA197" t="b">
            <v>0</v>
          </cell>
          <cell r="AC197" t="str">
            <v>Pending</v>
          </cell>
          <cell r="AE197">
            <v>4</v>
          </cell>
        </row>
        <row r="198">
          <cell r="C198">
            <v>45077</v>
          </cell>
          <cell r="D198" t="str">
            <v>CUST88518</v>
          </cell>
          <cell r="E198" t="str">
            <v>Aditya Bose</v>
          </cell>
          <cell r="G198">
            <v>58</v>
          </cell>
          <cell r="H198" t="str">
            <v>Senior</v>
          </cell>
          <cell r="J198" t="str">
            <v>Female</v>
          </cell>
          <cell r="K198" t="str">
            <v>South</v>
          </cell>
          <cell r="L198" t="str">
            <v>Hyderabad</v>
          </cell>
          <cell r="M198" t="str">
            <v>Electronics</v>
          </cell>
          <cell r="N198" t="str">
            <v>Headphones</v>
          </cell>
          <cell r="P198">
            <v>5</v>
          </cell>
          <cell r="Q198">
            <v>26851.1</v>
          </cell>
          <cell r="S198">
            <v>0.03</v>
          </cell>
          <cell r="T198">
            <v>218111.79</v>
          </cell>
          <cell r="U198">
            <v>24902.1</v>
          </cell>
          <cell r="V198">
            <v>0.11417126969614984</v>
          </cell>
          <cell r="W198">
            <v>72.55</v>
          </cell>
          <cell r="X198" t="str">
            <v>UPI</v>
          </cell>
          <cell r="Z198">
            <v>2</v>
          </cell>
          <cell r="AA198" t="b">
            <v>0</v>
          </cell>
          <cell r="AC198" t="str">
            <v>Delivered</v>
          </cell>
          <cell r="AE198">
            <v>2</v>
          </cell>
        </row>
        <row r="199">
          <cell r="C199">
            <v>45256</v>
          </cell>
          <cell r="D199" t="str">
            <v>CUST82100</v>
          </cell>
          <cell r="E199" t="str">
            <v>Pooja Kapoor</v>
          </cell>
          <cell r="G199">
            <v>34.294220665499125</v>
          </cell>
          <cell r="H199" t="str">
            <v>Young Adult</v>
          </cell>
          <cell r="J199" t="str">
            <v>Female</v>
          </cell>
          <cell r="K199" t="str">
            <v>West</v>
          </cell>
          <cell r="L199" t="str">
            <v>Surat</v>
          </cell>
          <cell r="M199" t="str">
            <v>Sports</v>
          </cell>
          <cell r="N199" t="str">
            <v>Football</v>
          </cell>
          <cell r="P199">
            <v>3</v>
          </cell>
          <cell r="Q199">
            <v>11118.32</v>
          </cell>
          <cell r="S199">
            <v>0.3</v>
          </cell>
          <cell r="T199">
            <v>22974.82</v>
          </cell>
          <cell r="U199">
            <v>4866.53</v>
          </cell>
          <cell r="V199">
            <v>0.21182015789459938</v>
          </cell>
          <cell r="W199">
            <v>53.21</v>
          </cell>
          <cell r="X199" t="str">
            <v>Net Banking</v>
          </cell>
          <cell r="Z199">
            <v>4</v>
          </cell>
          <cell r="AA199" t="b">
            <v>1</v>
          </cell>
          <cell r="AC199" t="str">
            <v>Returned</v>
          </cell>
          <cell r="AE199">
            <v>9</v>
          </cell>
        </row>
        <row r="200">
          <cell r="C200">
            <v>44144</v>
          </cell>
          <cell r="D200" t="str">
            <v>CUST90563</v>
          </cell>
          <cell r="E200" t="str">
            <v>Rahul Kumar</v>
          </cell>
          <cell r="G200">
            <v>31</v>
          </cell>
          <cell r="H200" t="str">
            <v>Young Adult</v>
          </cell>
          <cell r="J200" t="str">
            <v>Male</v>
          </cell>
          <cell r="K200" t="str">
            <v>North</v>
          </cell>
          <cell r="L200" t="str">
            <v>Delhi</v>
          </cell>
          <cell r="M200" t="str">
            <v>Beauty</v>
          </cell>
          <cell r="N200" t="str">
            <v>Hair Oil</v>
          </cell>
          <cell r="P200">
            <v>10</v>
          </cell>
          <cell r="Q200">
            <v>1973.78</v>
          </cell>
          <cell r="S200">
            <v>7.0000000000000007E-2</v>
          </cell>
          <cell r="T200">
            <v>14584.96</v>
          </cell>
          <cell r="U200">
            <v>5325.39</v>
          </cell>
          <cell r="V200">
            <v>0.365128872482338</v>
          </cell>
          <cell r="W200">
            <v>34.79</v>
          </cell>
          <cell r="X200" t="str">
            <v>Credit Card</v>
          </cell>
          <cell r="Z200">
            <v>4</v>
          </cell>
          <cell r="AA200" t="b">
            <v>0</v>
          </cell>
          <cell r="AC200" t="str">
            <v>Delivered</v>
          </cell>
          <cell r="AE200">
            <v>8</v>
          </cell>
        </row>
        <row r="201">
          <cell r="C201">
            <v>45107</v>
          </cell>
          <cell r="D201" t="str">
            <v>CUST19434</v>
          </cell>
          <cell r="E201" t="str">
            <v>Aarav Das</v>
          </cell>
          <cell r="G201">
            <v>28</v>
          </cell>
          <cell r="H201" t="str">
            <v>Young Adult</v>
          </cell>
          <cell r="J201" t="str">
            <v>Other</v>
          </cell>
          <cell r="K201" t="str">
            <v>East</v>
          </cell>
          <cell r="L201" t="str">
            <v>Guwahati</v>
          </cell>
          <cell r="M201" t="str">
            <v>Furniture</v>
          </cell>
          <cell r="N201" t="str">
            <v>Bed Frame</v>
          </cell>
          <cell r="P201">
            <v>9</v>
          </cell>
          <cell r="Q201">
            <v>12800.64</v>
          </cell>
          <cell r="S201">
            <v>0.3</v>
          </cell>
          <cell r="T201">
            <v>120310.49</v>
          </cell>
          <cell r="U201">
            <v>28867.05</v>
          </cell>
          <cell r="V201">
            <v>0.23993793059940158</v>
          </cell>
          <cell r="W201">
            <v>77.17</v>
          </cell>
          <cell r="X201" t="str">
            <v>Cash on Delivery</v>
          </cell>
          <cell r="Z201">
            <v>5</v>
          </cell>
          <cell r="AA201" t="b">
            <v>0</v>
          </cell>
          <cell r="AC201" t="str">
            <v>Delivered</v>
          </cell>
          <cell r="AE201">
            <v>7</v>
          </cell>
        </row>
        <row r="202">
          <cell r="C202">
            <v>43959</v>
          </cell>
          <cell r="D202" t="str">
            <v>CUST36091</v>
          </cell>
          <cell r="E202" t="str">
            <v>Meera Mehta</v>
          </cell>
          <cell r="G202">
            <v>43</v>
          </cell>
          <cell r="H202" t="str">
            <v>Adult</v>
          </cell>
          <cell r="J202" t="str">
            <v>Other</v>
          </cell>
          <cell r="K202" t="str">
            <v>North</v>
          </cell>
          <cell r="L202" t="str">
            <v>Delhi</v>
          </cell>
          <cell r="M202" t="str">
            <v>Electronics</v>
          </cell>
          <cell r="N202" t="str">
            <v>Laptop</v>
          </cell>
          <cell r="P202">
            <v>5</v>
          </cell>
          <cell r="Q202">
            <v>16919.29</v>
          </cell>
          <cell r="S202">
            <v>0.06</v>
          </cell>
          <cell r="T202">
            <v>117489.88</v>
          </cell>
          <cell r="U202">
            <v>14930.93</v>
          </cell>
          <cell r="V202">
            <v>0.12708269001551453</v>
          </cell>
          <cell r="W202">
            <v>59.99</v>
          </cell>
          <cell r="X202" t="str">
            <v>UPI</v>
          </cell>
          <cell r="Z202">
            <v>5</v>
          </cell>
          <cell r="AA202" t="b">
            <v>1</v>
          </cell>
          <cell r="AC202" t="str">
            <v>Returned</v>
          </cell>
          <cell r="AE202">
            <v>10</v>
          </cell>
        </row>
        <row r="203">
          <cell r="C203">
            <v>45100</v>
          </cell>
          <cell r="D203" t="str">
            <v>CUST81737</v>
          </cell>
          <cell r="E203" t="str">
            <v>Ananya Joshi</v>
          </cell>
          <cell r="G203">
            <v>36</v>
          </cell>
          <cell r="H203" t="str">
            <v>Adult</v>
          </cell>
          <cell r="J203" t="str">
            <v>Other</v>
          </cell>
          <cell r="K203" t="str">
            <v>West</v>
          </cell>
          <cell r="L203" t="str">
            <v>Surat</v>
          </cell>
          <cell r="M203" t="str">
            <v>Beauty</v>
          </cell>
          <cell r="N203" t="str">
            <v>Shampoo</v>
          </cell>
          <cell r="P203">
            <v>8</v>
          </cell>
          <cell r="Q203">
            <v>1976.85</v>
          </cell>
          <cell r="S203">
            <v>0.3</v>
          </cell>
          <cell r="T203">
            <v>17609.099999999999</v>
          </cell>
          <cell r="U203">
            <v>8544.51</v>
          </cell>
          <cell r="V203">
            <v>0.48523263539874273</v>
          </cell>
          <cell r="W203">
            <v>81.44</v>
          </cell>
          <cell r="X203" t="str">
            <v>Debit Card</v>
          </cell>
          <cell r="Z203">
            <v>4</v>
          </cell>
          <cell r="AA203" t="b">
            <v>0</v>
          </cell>
          <cell r="AC203" t="str">
            <v>Delivered</v>
          </cell>
          <cell r="AE203">
            <v>6</v>
          </cell>
        </row>
        <row r="204">
          <cell r="C204">
            <v>44065</v>
          </cell>
          <cell r="D204" t="str">
            <v>CUST91144</v>
          </cell>
          <cell r="E204" t="str">
            <v>Sanjay Iyer</v>
          </cell>
          <cell r="G204">
            <v>29</v>
          </cell>
          <cell r="H204" t="str">
            <v>Young Adult</v>
          </cell>
          <cell r="J204" t="str">
            <v>Male</v>
          </cell>
          <cell r="K204" t="str">
            <v>East</v>
          </cell>
          <cell r="L204" t="str">
            <v>Patna</v>
          </cell>
          <cell r="M204" t="str">
            <v>Beauty</v>
          </cell>
          <cell r="N204" t="str">
            <v>Lipstick</v>
          </cell>
          <cell r="P204">
            <v>1</v>
          </cell>
          <cell r="Q204">
            <v>357.7</v>
          </cell>
          <cell r="S204">
            <v>0.24</v>
          </cell>
          <cell r="T204">
            <v>286.61</v>
          </cell>
          <cell r="U204">
            <v>137.44999999999999</v>
          </cell>
          <cell r="V204">
            <v>0.47957154321203022</v>
          </cell>
          <cell r="W204">
            <v>95.23</v>
          </cell>
          <cell r="X204" t="str">
            <v>Credit Card</v>
          </cell>
          <cell r="Z204">
            <v>3</v>
          </cell>
          <cell r="AA204" t="b">
            <v>0</v>
          </cell>
          <cell r="AC204" t="str">
            <v>Delivered</v>
          </cell>
          <cell r="AE204">
            <v>1</v>
          </cell>
        </row>
        <row r="205">
          <cell r="C205">
            <v>44680</v>
          </cell>
          <cell r="D205" t="str">
            <v>CUST28329</v>
          </cell>
          <cell r="E205" t="str">
            <v>Vikram Sharma</v>
          </cell>
          <cell r="G205">
            <v>28</v>
          </cell>
          <cell r="H205" t="str">
            <v>Young Adult</v>
          </cell>
          <cell r="J205" t="str">
            <v>Male</v>
          </cell>
          <cell r="K205" t="str">
            <v>West</v>
          </cell>
          <cell r="L205" t="str">
            <v>Mumbai</v>
          </cell>
          <cell r="M205" t="str">
            <v>Groceries</v>
          </cell>
          <cell r="N205" t="str">
            <v>Sugar</v>
          </cell>
          <cell r="P205">
            <v>10</v>
          </cell>
          <cell r="Q205">
            <v>321.33999999999997</v>
          </cell>
          <cell r="S205">
            <v>0.16</v>
          </cell>
          <cell r="T205">
            <v>4232.71</v>
          </cell>
          <cell r="U205">
            <v>408.89</v>
          </cell>
          <cell r="V205">
            <v>9.6602413111221891E-2</v>
          </cell>
          <cell r="W205">
            <v>47.89</v>
          </cell>
          <cell r="X205" t="str">
            <v>Credit Card</v>
          </cell>
          <cell r="Z205">
            <v>1</v>
          </cell>
          <cell r="AA205" t="b">
            <v>0</v>
          </cell>
          <cell r="AC205" t="str">
            <v>Delivered</v>
          </cell>
          <cell r="AE205">
            <v>9</v>
          </cell>
        </row>
        <row r="206">
          <cell r="C206">
            <v>45560</v>
          </cell>
          <cell r="D206" t="str">
            <v>CUST45019</v>
          </cell>
          <cell r="E206" t="str">
            <v>Nikhil Mishra</v>
          </cell>
          <cell r="G206">
            <v>27</v>
          </cell>
          <cell r="H206" t="str">
            <v>Young Adult</v>
          </cell>
          <cell r="J206" t="str">
            <v>Other</v>
          </cell>
          <cell r="K206" t="str">
            <v>North</v>
          </cell>
          <cell r="L206" t="str">
            <v>Amritsar</v>
          </cell>
          <cell r="M206" t="str">
            <v>Clothing</v>
          </cell>
          <cell r="N206" t="str">
            <v>Dress</v>
          </cell>
          <cell r="P206">
            <v>1</v>
          </cell>
          <cell r="Q206">
            <v>2472.06</v>
          </cell>
          <cell r="S206">
            <v>0.23</v>
          </cell>
          <cell r="T206">
            <v>2559.11</v>
          </cell>
          <cell r="U206">
            <v>756.36</v>
          </cell>
          <cell r="V206">
            <v>0.29555587684781037</v>
          </cell>
          <cell r="W206">
            <v>57.21</v>
          </cell>
          <cell r="X206" t="str">
            <v>Net Banking</v>
          </cell>
          <cell r="Z206">
            <v>5</v>
          </cell>
          <cell r="AA206" t="b">
            <v>0</v>
          </cell>
          <cell r="AC206" t="str">
            <v>Delivered</v>
          </cell>
          <cell r="AE206">
            <v>10</v>
          </cell>
        </row>
        <row r="207">
          <cell r="C207">
            <v>45075</v>
          </cell>
          <cell r="D207" t="str">
            <v>CUST53780</v>
          </cell>
          <cell r="E207" t="str">
            <v>Meera Joshi</v>
          </cell>
          <cell r="G207">
            <v>28</v>
          </cell>
          <cell r="H207" t="str">
            <v>Young Adult</v>
          </cell>
          <cell r="J207" t="str">
            <v>Female</v>
          </cell>
          <cell r="K207" t="str">
            <v>North</v>
          </cell>
          <cell r="L207" t="str">
            <v>Chandigarh</v>
          </cell>
          <cell r="M207" t="str">
            <v>Furniture</v>
          </cell>
          <cell r="N207" t="str">
            <v>Bed Frame</v>
          </cell>
          <cell r="P207">
            <v>4</v>
          </cell>
          <cell r="Q207">
            <v>25915.33</v>
          </cell>
          <cell r="S207">
            <v>0.11</v>
          </cell>
          <cell r="T207">
            <v>132743.41</v>
          </cell>
          <cell r="U207">
            <v>29427.55</v>
          </cell>
          <cell r="V207">
            <v>0.22168746456038757</v>
          </cell>
          <cell r="W207">
            <v>58.32</v>
          </cell>
          <cell r="X207" t="str">
            <v>Debit Card</v>
          </cell>
          <cell r="Z207">
            <v>5</v>
          </cell>
          <cell r="AA207" t="b">
            <v>0</v>
          </cell>
          <cell r="AC207" t="str">
            <v>Delivered</v>
          </cell>
          <cell r="AE207">
            <v>10</v>
          </cell>
        </row>
        <row r="208">
          <cell r="C208">
            <v>44004</v>
          </cell>
          <cell r="D208" t="str">
            <v>CUST52549</v>
          </cell>
          <cell r="E208" t="str">
            <v>Pooja Rao</v>
          </cell>
          <cell r="G208">
            <v>32</v>
          </cell>
          <cell r="H208" t="str">
            <v>Young Adult</v>
          </cell>
          <cell r="J208" t="str">
            <v>Other</v>
          </cell>
          <cell r="K208" t="str">
            <v>North</v>
          </cell>
          <cell r="L208" t="str">
            <v>Delhi</v>
          </cell>
          <cell r="M208" t="str">
            <v>Clothing</v>
          </cell>
          <cell r="N208" t="str">
            <v>T-Shirt</v>
          </cell>
          <cell r="P208">
            <v>7</v>
          </cell>
          <cell r="Q208">
            <v>2701.8</v>
          </cell>
          <cell r="S208">
            <v>0.09</v>
          </cell>
          <cell r="T208">
            <v>22364.16</v>
          </cell>
          <cell r="U208">
            <v>8609.23</v>
          </cell>
          <cell r="V208">
            <v>0.38495655548878205</v>
          </cell>
          <cell r="W208">
            <v>56.32</v>
          </cell>
          <cell r="X208" t="str">
            <v>Cash on Delivery</v>
          </cell>
          <cell r="Z208">
            <v>5</v>
          </cell>
          <cell r="AA208" t="b">
            <v>1</v>
          </cell>
          <cell r="AC208" t="str">
            <v>Returned</v>
          </cell>
          <cell r="AE208">
            <v>2</v>
          </cell>
        </row>
        <row r="209">
          <cell r="C209">
            <v>45462</v>
          </cell>
          <cell r="D209" t="str">
            <v>CUST11870</v>
          </cell>
          <cell r="E209" t="str">
            <v>Arjun Iyer</v>
          </cell>
          <cell r="G209">
            <v>28</v>
          </cell>
          <cell r="H209" t="str">
            <v>Young Adult</v>
          </cell>
          <cell r="J209" t="str">
            <v>Other</v>
          </cell>
          <cell r="K209" t="str">
            <v>East</v>
          </cell>
          <cell r="L209" t="str">
            <v>Kolkata</v>
          </cell>
          <cell r="M209" t="str">
            <v>Clothing</v>
          </cell>
          <cell r="N209" t="str">
            <v>Jacket</v>
          </cell>
          <cell r="P209">
            <v>4</v>
          </cell>
          <cell r="Q209">
            <v>2577.39</v>
          </cell>
          <cell r="S209">
            <v>0.11</v>
          </cell>
          <cell r="T209">
            <v>15407.9</v>
          </cell>
          <cell r="U209">
            <v>5412.09</v>
          </cell>
          <cell r="V209">
            <v>0.3512542267278474</v>
          </cell>
          <cell r="W209">
            <v>58.52</v>
          </cell>
          <cell r="X209" t="str">
            <v>UPI</v>
          </cell>
          <cell r="Z209">
            <v>2</v>
          </cell>
          <cell r="AA209" t="b">
            <v>0</v>
          </cell>
          <cell r="AC209" t="str">
            <v>Delivered</v>
          </cell>
          <cell r="AE209">
            <v>1</v>
          </cell>
        </row>
        <row r="210">
          <cell r="C210">
            <v>45203</v>
          </cell>
          <cell r="D210" t="str">
            <v>CUST73615</v>
          </cell>
          <cell r="E210" t="str">
            <v>Sanjay Gupta</v>
          </cell>
          <cell r="G210">
            <v>45</v>
          </cell>
          <cell r="H210" t="str">
            <v>Adult</v>
          </cell>
          <cell r="J210" t="str">
            <v>Male</v>
          </cell>
          <cell r="K210" t="str">
            <v>West</v>
          </cell>
          <cell r="L210" t="str">
            <v>Surat</v>
          </cell>
          <cell r="M210" t="str">
            <v>Groceries</v>
          </cell>
          <cell r="N210" t="str">
            <v>Dal (1kg)</v>
          </cell>
          <cell r="P210">
            <v>4</v>
          </cell>
          <cell r="Q210">
            <v>309.85000000000002</v>
          </cell>
          <cell r="S210">
            <v>0.04</v>
          </cell>
          <cell r="T210">
            <v>1375.7</v>
          </cell>
          <cell r="U210">
            <v>128.93</v>
          </cell>
          <cell r="V210">
            <v>9.3719560950788691E-2</v>
          </cell>
          <cell r="W210">
            <v>73.63</v>
          </cell>
          <cell r="X210" t="str">
            <v>UPI</v>
          </cell>
          <cell r="Z210">
            <v>4</v>
          </cell>
          <cell r="AA210" t="b">
            <v>1</v>
          </cell>
          <cell r="AC210" t="str">
            <v>Returned</v>
          </cell>
          <cell r="AE210">
            <v>5</v>
          </cell>
        </row>
        <row r="211">
          <cell r="C211">
            <v>44171</v>
          </cell>
          <cell r="D211" t="str">
            <v>CUST43010</v>
          </cell>
          <cell r="E211" t="str">
            <v>Priya Gupta</v>
          </cell>
          <cell r="G211">
            <v>33</v>
          </cell>
          <cell r="H211" t="str">
            <v>Young Adult</v>
          </cell>
          <cell r="J211" t="str">
            <v>Other</v>
          </cell>
          <cell r="K211" t="str">
            <v>Central</v>
          </cell>
          <cell r="L211" t="str">
            <v>Nagpur</v>
          </cell>
          <cell r="M211" t="str">
            <v>Clothing</v>
          </cell>
          <cell r="N211" t="str">
            <v>Dress</v>
          </cell>
          <cell r="P211">
            <v>8</v>
          </cell>
          <cell r="Q211">
            <v>2574.11</v>
          </cell>
          <cell r="S211">
            <v>0.12</v>
          </cell>
          <cell r="T211">
            <v>12273.11</v>
          </cell>
          <cell r="U211">
            <v>5629.65</v>
          </cell>
          <cell r="V211">
            <v>0.45869791764271645</v>
          </cell>
          <cell r="W211">
            <v>67.94</v>
          </cell>
          <cell r="X211" t="str">
            <v>Credit Card</v>
          </cell>
          <cell r="Z211">
            <v>5</v>
          </cell>
          <cell r="AA211" t="b">
            <v>1</v>
          </cell>
          <cell r="AC211" t="str">
            <v>Returned</v>
          </cell>
          <cell r="AE211">
            <v>10</v>
          </cell>
        </row>
        <row r="212">
          <cell r="C212">
            <v>43851</v>
          </cell>
          <cell r="D212" t="str">
            <v>CUST07190</v>
          </cell>
          <cell r="E212" t="str">
            <v>Deepa Kapoor</v>
          </cell>
          <cell r="G212">
            <v>33</v>
          </cell>
          <cell r="H212" t="str">
            <v>Young Adult</v>
          </cell>
          <cell r="J212" t="str">
            <v>Other</v>
          </cell>
          <cell r="K212" t="str">
            <v>East</v>
          </cell>
          <cell r="L212" t="str">
            <v>Guwahati</v>
          </cell>
          <cell r="M212" t="str">
            <v>Beauty</v>
          </cell>
          <cell r="N212" t="str">
            <v>Lipstick</v>
          </cell>
          <cell r="P212">
            <v>9</v>
          </cell>
          <cell r="Q212">
            <v>1931.61</v>
          </cell>
          <cell r="S212">
            <v>0.35</v>
          </cell>
          <cell r="T212">
            <v>10532.18</v>
          </cell>
          <cell r="U212">
            <v>5257.88</v>
          </cell>
          <cell r="V212">
            <v>0.49922048426821419</v>
          </cell>
          <cell r="W212">
            <v>98.73</v>
          </cell>
          <cell r="X212" t="str">
            <v>Net Banking</v>
          </cell>
          <cell r="Z212">
            <v>5</v>
          </cell>
          <cell r="AA212" t="b">
            <v>0</v>
          </cell>
          <cell r="AC212" t="str">
            <v>Delivered</v>
          </cell>
          <cell r="AE212">
            <v>3</v>
          </cell>
        </row>
        <row r="213">
          <cell r="C213">
            <v>44470</v>
          </cell>
          <cell r="D213" t="str">
            <v>CUST26109</v>
          </cell>
          <cell r="E213" t="str">
            <v>Aditya Gupta</v>
          </cell>
          <cell r="G213">
            <v>52</v>
          </cell>
          <cell r="H213" t="str">
            <v>Senior</v>
          </cell>
          <cell r="J213" t="str">
            <v>Male</v>
          </cell>
          <cell r="K213" t="str">
            <v>Central</v>
          </cell>
          <cell r="L213" t="str">
            <v>Raipur</v>
          </cell>
          <cell r="M213" t="str">
            <v>Sports</v>
          </cell>
          <cell r="N213" t="str">
            <v>Cycle</v>
          </cell>
          <cell r="P213">
            <v>3</v>
          </cell>
          <cell r="Q213">
            <v>13585.06</v>
          </cell>
          <cell r="S213">
            <v>0.33</v>
          </cell>
          <cell r="T213">
            <v>26055.86</v>
          </cell>
          <cell r="U213">
            <v>5488.23</v>
          </cell>
          <cell r="V213">
            <v>0.21063323183345317</v>
          </cell>
          <cell r="W213">
            <v>62.01</v>
          </cell>
          <cell r="X213" t="str">
            <v>EMI</v>
          </cell>
          <cell r="Z213">
            <v>5</v>
          </cell>
          <cell r="AA213" t="b">
            <v>0</v>
          </cell>
          <cell r="AC213" t="str">
            <v>Cancelled</v>
          </cell>
          <cell r="AE213">
            <v>2</v>
          </cell>
        </row>
        <row r="214">
          <cell r="C214">
            <v>45362</v>
          </cell>
          <cell r="D214" t="str">
            <v>CUST89020</v>
          </cell>
          <cell r="E214" t="str">
            <v>Meera Patel</v>
          </cell>
          <cell r="G214">
            <v>11</v>
          </cell>
          <cell r="H214" t="str">
            <v>Child</v>
          </cell>
          <cell r="J214" t="str">
            <v>Male</v>
          </cell>
          <cell r="K214" t="str">
            <v>East</v>
          </cell>
          <cell r="L214" t="str">
            <v>Guwahati</v>
          </cell>
          <cell r="M214" t="str">
            <v>Clothing</v>
          </cell>
          <cell r="N214" t="str">
            <v>T-Shirt</v>
          </cell>
          <cell r="P214">
            <v>2</v>
          </cell>
          <cell r="Q214">
            <v>1543.23</v>
          </cell>
          <cell r="S214">
            <v>0.26</v>
          </cell>
          <cell r="T214">
            <v>3196.43</v>
          </cell>
          <cell r="U214">
            <v>1291.0999999999999</v>
          </cell>
          <cell r="V214">
            <v>0.4039193725500011</v>
          </cell>
          <cell r="W214">
            <v>71.02</v>
          </cell>
          <cell r="X214" t="str">
            <v>UPI</v>
          </cell>
          <cell r="Z214">
            <v>5</v>
          </cell>
          <cell r="AA214" t="b">
            <v>0</v>
          </cell>
          <cell r="AC214" t="str">
            <v>Delivered</v>
          </cell>
          <cell r="AE214">
            <v>6</v>
          </cell>
        </row>
        <row r="215">
          <cell r="C215">
            <v>44862</v>
          </cell>
          <cell r="D215" t="str">
            <v>CUST54015</v>
          </cell>
          <cell r="E215" t="str">
            <v>Shreya Rao</v>
          </cell>
          <cell r="G215">
            <v>48</v>
          </cell>
          <cell r="H215" t="str">
            <v>Adult</v>
          </cell>
          <cell r="J215" t="str">
            <v>Female</v>
          </cell>
          <cell r="K215" t="str">
            <v>West</v>
          </cell>
          <cell r="L215" t="str">
            <v>Pune</v>
          </cell>
          <cell r="M215" t="str">
            <v>Sports</v>
          </cell>
          <cell r="N215" t="str">
            <v>Dumbbells</v>
          </cell>
          <cell r="P215">
            <v>1</v>
          </cell>
          <cell r="Q215">
            <v>14172.12</v>
          </cell>
          <cell r="S215">
            <v>0.14000000000000001</v>
          </cell>
          <cell r="T215">
            <v>12312.75</v>
          </cell>
          <cell r="U215">
            <v>2055.13</v>
          </cell>
          <cell r="V215">
            <v>0.16691072262492132</v>
          </cell>
          <cell r="W215">
            <v>79.52</v>
          </cell>
          <cell r="X215" t="str">
            <v>EMI</v>
          </cell>
          <cell r="Z215">
            <v>5</v>
          </cell>
          <cell r="AA215" t="b">
            <v>0</v>
          </cell>
          <cell r="AC215" t="str">
            <v>Delivered</v>
          </cell>
          <cell r="AE215">
            <v>6</v>
          </cell>
        </row>
        <row r="216">
          <cell r="C216">
            <v>44099</v>
          </cell>
          <cell r="D216" t="str">
            <v>CUST39660</v>
          </cell>
          <cell r="E216" t="str">
            <v>Priya Pillai</v>
          </cell>
          <cell r="G216">
            <v>53</v>
          </cell>
          <cell r="H216" t="str">
            <v>Senior</v>
          </cell>
          <cell r="J216" t="str">
            <v>Male</v>
          </cell>
          <cell r="K216" t="str">
            <v>South</v>
          </cell>
          <cell r="L216" t="str">
            <v>Kochi</v>
          </cell>
          <cell r="M216" t="str">
            <v>Books</v>
          </cell>
          <cell r="N216" t="str">
            <v>Textbook</v>
          </cell>
          <cell r="P216">
            <v>7</v>
          </cell>
          <cell r="Q216">
            <v>298.01</v>
          </cell>
          <cell r="S216">
            <v>0.2</v>
          </cell>
          <cell r="T216">
            <v>1735.77</v>
          </cell>
          <cell r="U216">
            <v>683.51</v>
          </cell>
          <cell r="V216">
            <v>0.39377912972340806</v>
          </cell>
          <cell r="W216">
            <v>71.67</v>
          </cell>
          <cell r="X216" t="str">
            <v>EMI</v>
          </cell>
          <cell r="Z216">
            <v>2</v>
          </cell>
          <cell r="AA216" t="b">
            <v>1</v>
          </cell>
          <cell r="AC216" t="str">
            <v>Returned</v>
          </cell>
          <cell r="AE216">
            <v>2</v>
          </cell>
        </row>
        <row r="217">
          <cell r="C217">
            <v>43978</v>
          </cell>
          <cell r="D217" t="str">
            <v>CUST65020</v>
          </cell>
          <cell r="E217" t="str">
            <v>Pooja Bhat</v>
          </cell>
          <cell r="G217">
            <v>28</v>
          </cell>
          <cell r="H217" t="str">
            <v>Young Adult</v>
          </cell>
          <cell r="J217" t="str">
            <v>Other</v>
          </cell>
          <cell r="K217" t="str">
            <v>West</v>
          </cell>
          <cell r="L217" t="str">
            <v>Pune</v>
          </cell>
          <cell r="M217" t="str">
            <v>Furniture</v>
          </cell>
          <cell r="N217" t="str">
            <v>Wardrobe</v>
          </cell>
          <cell r="P217">
            <v>10</v>
          </cell>
          <cell r="Q217">
            <v>2690.93</v>
          </cell>
          <cell r="S217">
            <v>0.35</v>
          </cell>
          <cell r="T217">
            <v>23373.24</v>
          </cell>
          <cell r="U217">
            <v>7410.64</v>
          </cell>
          <cell r="V217">
            <v>0.31705659976965112</v>
          </cell>
          <cell r="W217">
            <v>43.86</v>
          </cell>
          <cell r="X217" t="str">
            <v>UPI</v>
          </cell>
          <cell r="Z217">
            <v>4</v>
          </cell>
          <cell r="AA217" t="b">
            <v>1</v>
          </cell>
          <cell r="AC217" t="str">
            <v>Returned</v>
          </cell>
          <cell r="AE217">
            <v>4</v>
          </cell>
        </row>
        <row r="218">
          <cell r="C218">
            <v>45058</v>
          </cell>
          <cell r="D218" t="str">
            <v>CUST40911</v>
          </cell>
          <cell r="E218" t="str">
            <v>Ritu Gupta</v>
          </cell>
          <cell r="G218">
            <v>51</v>
          </cell>
          <cell r="H218" t="str">
            <v>Senior</v>
          </cell>
          <cell r="J218" t="str">
            <v>Other</v>
          </cell>
          <cell r="K218" t="str">
            <v>Central</v>
          </cell>
          <cell r="L218" t="str">
            <v>Raipur</v>
          </cell>
          <cell r="M218" t="str">
            <v>Groceries</v>
          </cell>
          <cell r="N218" t="str">
            <v>Rice (5kg)</v>
          </cell>
          <cell r="P218">
            <v>1</v>
          </cell>
          <cell r="Q218">
            <v>380.33</v>
          </cell>
          <cell r="S218">
            <v>0.2</v>
          </cell>
          <cell r="T218">
            <v>506.19</v>
          </cell>
          <cell r="U218">
            <v>44.82</v>
          </cell>
          <cell r="V218">
            <v>8.8543827416582704E-2</v>
          </cell>
          <cell r="W218">
            <v>61.88</v>
          </cell>
          <cell r="X218" t="str">
            <v>UPI</v>
          </cell>
          <cell r="Z218">
            <v>3</v>
          </cell>
          <cell r="AA218" t="b">
            <v>0</v>
          </cell>
          <cell r="AC218" t="str">
            <v>Delivered</v>
          </cell>
          <cell r="AE218">
            <v>5</v>
          </cell>
        </row>
        <row r="219">
          <cell r="C219">
            <v>44414</v>
          </cell>
          <cell r="D219" t="str">
            <v>CUST14859</v>
          </cell>
          <cell r="E219" t="str">
            <v>Vikram Mehta</v>
          </cell>
          <cell r="G219">
            <v>21</v>
          </cell>
          <cell r="H219" t="str">
            <v>Young Adult</v>
          </cell>
          <cell r="J219" t="str">
            <v>Female</v>
          </cell>
          <cell r="K219" t="str">
            <v>West</v>
          </cell>
          <cell r="L219" t="str">
            <v>Surat</v>
          </cell>
          <cell r="M219" t="str">
            <v>Beauty</v>
          </cell>
          <cell r="N219" t="str">
            <v>Lipstick</v>
          </cell>
          <cell r="P219">
            <v>3</v>
          </cell>
          <cell r="Q219">
            <v>1302.9000000000001</v>
          </cell>
          <cell r="S219">
            <v>0.23</v>
          </cell>
          <cell r="T219">
            <v>4258.29</v>
          </cell>
          <cell r="U219">
            <v>1724.59</v>
          </cell>
          <cell r="V219">
            <v>0.40499590211094122</v>
          </cell>
          <cell r="W219">
            <v>82.26</v>
          </cell>
          <cell r="X219" t="str">
            <v>UPI</v>
          </cell>
          <cell r="Z219">
            <v>2</v>
          </cell>
          <cell r="AA219" t="b">
            <v>0</v>
          </cell>
          <cell r="AC219" t="str">
            <v>Cancelled</v>
          </cell>
          <cell r="AE219">
            <v>5</v>
          </cell>
        </row>
        <row r="220">
          <cell r="C220">
            <v>45300</v>
          </cell>
          <cell r="D220" t="str">
            <v>CUST94721</v>
          </cell>
          <cell r="E220" t="str">
            <v>Nisha Reddy</v>
          </cell>
          <cell r="G220">
            <v>26</v>
          </cell>
          <cell r="H220" t="str">
            <v>Young Adult</v>
          </cell>
          <cell r="J220" t="str">
            <v>Male</v>
          </cell>
          <cell r="K220" t="str">
            <v>North</v>
          </cell>
          <cell r="L220" t="str">
            <v>Ludhiana</v>
          </cell>
          <cell r="M220" t="str">
            <v>Electronics</v>
          </cell>
          <cell r="N220" t="str">
            <v>Smartwatch</v>
          </cell>
          <cell r="P220">
            <v>4</v>
          </cell>
          <cell r="Q220">
            <v>13215.16</v>
          </cell>
          <cell r="S220">
            <v>0.15</v>
          </cell>
          <cell r="T220">
            <v>41177.25</v>
          </cell>
          <cell r="U220">
            <v>3874.92</v>
          </cell>
          <cell r="V220">
            <v>9.4103418756716392E-2</v>
          </cell>
          <cell r="W220">
            <v>36.17</v>
          </cell>
          <cell r="X220" t="str">
            <v>Net Banking</v>
          </cell>
          <cell r="Z220">
            <v>2</v>
          </cell>
          <cell r="AA220" t="b">
            <v>0</v>
          </cell>
          <cell r="AC220" t="str">
            <v>Delivered</v>
          </cell>
          <cell r="AE220">
            <v>3</v>
          </cell>
        </row>
        <row r="221">
          <cell r="C221">
            <v>45346</v>
          </cell>
          <cell r="D221" t="str">
            <v>CUST56798</v>
          </cell>
          <cell r="E221" t="str">
            <v>Meera Pillai</v>
          </cell>
          <cell r="G221">
            <v>28</v>
          </cell>
          <cell r="H221" t="str">
            <v>Young Adult</v>
          </cell>
          <cell r="J221" t="str">
            <v>Female</v>
          </cell>
          <cell r="K221" t="str">
            <v>East</v>
          </cell>
          <cell r="L221" t="str">
            <v>Guwahati</v>
          </cell>
          <cell r="M221" t="str">
            <v>Clothing</v>
          </cell>
          <cell r="N221" t="str">
            <v>Saree</v>
          </cell>
          <cell r="P221">
            <v>5</v>
          </cell>
          <cell r="Q221">
            <v>3018.53</v>
          </cell>
          <cell r="S221">
            <v>0.26</v>
          </cell>
          <cell r="T221">
            <v>13152.75</v>
          </cell>
          <cell r="U221">
            <v>5208.9399999999996</v>
          </cell>
          <cell r="V221">
            <v>0.39603428940715818</v>
          </cell>
          <cell r="W221">
            <v>73.33</v>
          </cell>
          <cell r="X221" t="str">
            <v>Credit Card</v>
          </cell>
          <cell r="Z221">
            <v>1</v>
          </cell>
          <cell r="AA221" t="b">
            <v>0</v>
          </cell>
          <cell r="AC221" t="str">
            <v>Shipped</v>
          </cell>
          <cell r="AE221">
            <v>4</v>
          </cell>
        </row>
        <row r="222">
          <cell r="C222">
            <v>45212</v>
          </cell>
          <cell r="D222" t="str">
            <v>CUST15190</v>
          </cell>
          <cell r="E222" t="str">
            <v>Aditya Shah</v>
          </cell>
          <cell r="G222">
            <v>37</v>
          </cell>
          <cell r="H222" t="str">
            <v>Adult</v>
          </cell>
          <cell r="J222" t="str">
            <v>Male</v>
          </cell>
          <cell r="K222" t="str">
            <v>South</v>
          </cell>
          <cell r="L222" t="str">
            <v>Hyderabad</v>
          </cell>
          <cell r="M222" t="str">
            <v>Beauty</v>
          </cell>
          <cell r="N222" t="str">
            <v>Shampoo</v>
          </cell>
          <cell r="P222">
            <v>4</v>
          </cell>
          <cell r="Q222">
            <v>817.47</v>
          </cell>
          <cell r="S222">
            <v>0.24</v>
          </cell>
          <cell r="T222">
            <v>2848.99</v>
          </cell>
          <cell r="U222">
            <v>1431.62</v>
          </cell>
          <cell r="V222">
            <v>0.50250088627899714</v>
          </cell>
          <cell r="W222">
            <v>61.6</v>
          </cell>
          <cell r="X222" t="str">
            <v>Debit Card</v>
          </cell>
          <cell r="Z222">
            <v>5</v>
          </cell>
          <cell r="AA222" t="b">
            <v>0</v>
          </cell>
          <cell r="AC222" t="str">
            <v>Cancelled</v>
          </cell>
          <cell r="AE222">
            <v>2</v>
          </cell>
        </row>
        <row r="223">
          <cell r="C223">
            <v>43912</v>
          </cell>
          <cell r="D223" t="str">
            <v>CUST16395</v>
          </cell>
          <cell r="E223" t="str">
            <v>Sunita Pillai</v>
          </cell>
          <cell r="G223">
            <v>19</v>
          </cell>
          <cell r="H223" t="str">
            <v>Teen</v>
          </cell>
          <cell r="J223" t="str">
            <v>Other</v>
          </cell>
          <cell r="K223" t="str">
            <v>Central</v>
          </cell>
          <cell r="L223" t="str">
            <v>Raipur</v>
          </cell>
          <cell r="M223" t="str">
            <v>Beauty</v>
          </cell>
          <cell r="N223" t="str">
            <v>Sunscreen</v>
          </cell>
          <cell r="P223">
            <v>9</v>
          </cell>
          <cell r="Q223">
            <v>646.01</v>
          </cell>
          <cell r="S223">
            <v>0.38</v>
          </cell>
          <cell r="T223">
            <v>3807.56</v>
          </cell>
          <cell r="U223">
            <v>1281.8399999999999</v>
          </cell>
          <cell r="V223">
            <v>0.33665654644969478</v>
          </cell>
          <cell r="W223">
            <v>51.72</v>
          </cell>
          <cell r="X223" t="str">
            <v>Credit Card</v>
          </cell>
          <cell r="Z223">
            <v>2</v>
          </cell>
          <cell r="AA223" t="b">
            <v>0</v>
          </cell>
          <cell r="AC223" t="str">
            <v>Pending</v>
          </cell>
          <cell r="AE223">
            <v>3</v>
          </cell>
        </row>
        <row r="224">
          <cell r="C224">
            <v>45034</v>
          </cell>
          <cell r="D224" t="str">
            <v>CUST66673</v>
          </cell>
          <cell r="E224" t="str">
            <v>Pooja Mehta</v>
          </cell>
          <cell r="G224">
            <v>32</v>
          </cell>
          <cell r="H224" t="str">
            <v>Young Adult</v>
          </cell>
          <cell r="J224" t="str">
            <v>Female</v>
          </cell>
          <cell r="K224" t="str">
            <v>East</v>
          </cell>
          <cell r="L224" t="str">
            <v>Bhubaneswar</v>
          </cell>
          <cell r="M224" t="str">
            <v>Beauty</v>
          </cell>
          <cell r="N224" t="str">
            <v>Face Cream</v>
          </cell>
          <cell r="P224">
            <v>1</v>
          </cell>
          <cell r="Q224">
            <v>588.9</v>
          </cell>
          <cell r="S224">
            <v>0.03</v>
          </cell>
          <cell r="T224">
            <v>804.15</v>
          </cell>
          <cell r="U224">
            <v>359.5</v>
          </cell>
          <cell r="V224">
            <v>0.44705589753155506</v>
          </cell>
          <cell r="W224">
            <v>76.290000000000006</v>
          </cell>
          <cell r="X224" t="str">
            <v>Net Banking</v>
          </cell>
          <cell r="Z224">
            <v>5</v>
          </cell>
          <cell r="AA224" t="b">
            <v>0</v>
          </cell>
          <cell r="AC224" t="str">
            <v>Delivered</v>
          </cell>
          <cell r="AE224">
            <v>5</v>
          </cell>
        </row>
        <row r="225">
          <cell r="C225">
            <v>44383</v>
          </cell>
          <cell r="D225" t="str">
            <v>CUST34079</v>
          </cell>
          <cell r="E225" t="str">
            <v>Nisha Das</v>
          </cell>
          <cell r="G225">
            <v>40</v>
          </cell>
          <cell r="H225" t="str">
            <v>Adult</v>
          </cell>
          <cell r="J225" t="str">
            <v>Male</v>
          </cell>
          <cell r="K225" t="str">
            <v>Central</v>
          </cell>
          <cell r="L225" t="str">
            <v>Bhopal</v>
          </cell>
          <cell r="M225" t="str">
            <v>Clothing</v>
          </cell>
          <cell r="N225" t="str">
            <v>T-Shirt</v>
          </cell>
          <cell r="P225">
            <v>6</v>
          </cell>
          <cell r="Q225">
            <v>3032.93</v>
          </cell>
          <cell r="S225">
            <v>0.08</v>
          </cell>
          <cell r="T225">
            <v>25322.69</v>
          </cell>
          <cell r="U225">
            <v>10654.04</v>
          </cell>
          <cell r="V225">
            <v>0.42073097289426997</v>
          </cell>
          <cell r="W225">
            <v>27.7</v>
          </cell>
          <cell r="X225" t="str">
            <v>EMI</v>
          </cell>
          <cell r="Z225">
            <v>1</v>
          </cell>
          <cell r="AA225" t="b">
            <v>0</v>
          </cell>
          <cell r="AC225" t="str">
            <v>Delivered</v>
          </cell>
          <cell r="AE225">
            <v>4</v>
          </cell>
        </row>
        <row r="226">
          <cell r="C226">
            <v>45248</v>
          </cell>
          <cell r="D226" t="str">
            <v>CUST30266</v>
          </cell>
          <cell r="E226" t="str">
            <v>Deepa Bose</v>
          </cell>
          <cell r="G226">
            <v>34</v>
          </cell>
          <cell r="H226" t="str">
            <v>Young Adult</v>
          </cell>
          <cell r="J226" t="str">
            <v>Female</v>
          </cell>
          <cell r="K226" t="str">
            <v>West</v>
          </cell>
          <cell r="L226" t="str">
            <v>Surat</v>
          </cell>
          <cell r="M226" t="str">
            <v>Sports</v>
          </cell>
          <cell r="N226" t="str">
            <v>Yoga Mat</v>
          </cell>
          <cell r="P226">
            <v>3</v>
          </cell>
          <cell r="Q226">
            <v>14108.02</v>
          </cell>
          <cell r="S226">
            <v>0.12</v>
          </cell>
          <cell r="T226">
            <v>36649.85</v>
          </cell>
          <cell r="U226">
            <v>6203.2</v>
          </cell>
          <cell r="V226">
            <v>0.16925580868680226</v>
          </cell>
          <cell r="W226">
            <v>56.58</v>
          </cell>
          <cell r="X226" t="str">
            <v>EMI</v>
          </cell>
          <cell r="Z226">
            <v>2</v>
          </cell>
          <cell r="AA226" t="b">
            <v>0</v>
          </cell>
          <cell r="AC226" t="str">
            <v>Delivered</v>
          </cell>
          <cell r="AE226">
            <v>10</v>
          </cell>
        </row>
        <row r="227">
          <cell r="C227">
            <v>45238</v>
          </cell>
          <cell r="D227" t="str">
            <v>CUST28855</v>
          </cell>
          <cell r="E227" t="str">
            <v>Kavya Kumar</v>
          </cell>
          <cell r="G227">
            <v>26</v>
          </cell>
          <cell r="H227" t="str">
            <v>Young Adult</v>
          </cell>
          <cell r="J227" t="str">
            <v>Female</v>
          </cell>
          <cell r="K227" t="str">
            <v>South</v>
          </cell>
          <cell r="L227" t="str">
            <v>Chennai</v>
          </cell>
          <cell r="M227" t="str">
            <v>Groceries</v>
          </cell>
          <cell r="N227" t="str">
            <v>Cooking Oil</v>
          </cell>
          <cell r="P227">
            <v>9</v>
          </cell>
          <cell r="Q227">
            <v>165.39</v>
          </cell>
          <cell r="S227">
            <v>0.22</v>
          </cell>
          <cell r="T227">
            <v>1080.19</v>
          </cell>
          <cell r="U227">
            <v>98.81</v>
          </cell>
          <cell r="V227">
            <v>9.1474647978596349E-2</v>
          </cell>
          <cell r="W227">
            <v>71.09</v>
          </cell>
          <cell r="X227" t="str">
            <v>Cash on Delivery</v>
          </cell>
          <cell r="Z227">
            <v>3</v>
          </cell>
          <cell r="AA227" t="b">
            <v>0</v>
          </cell>
          <cell r="AC227" t="str">
            <v>Delivered</v>
          </cell>
          <cell r="AE227">
            <v>6</v>
          </cell>
        </row>
        <row r="228">
          <cell r="C228">
            <v>44032</v>
          </cell>
          <cell r="D228" t="str">
            <v>CUST53954</v>
          </cell>
          <cell r="E228" t="str">
            <v>Amit Kapoor</v>
          </cell>
          <cell r="G228">
            <v>40</v>
          </cell>
          <cell r="H228" t="str">
            <v>Adult</v>
          </cell>
          <cell r="J228" t="str">
            <v>Other</v>
          </cell>
          <cell r="K228" t="str">
            <v>Central</v>
          </cell>
          <cell r="L228" t="str">
            <v>Nagpur</v>
          </cell>
          <cell r="M228" t="str">
            <v>Books</v>
          </cell>
          <cell r="N228" t="str">
            <v>Cook Book</v>
          </cell>
          <cell r="P228">
            <v>4</v>
          </cell>
          <cell r="Q228">
            <v>313.79000000000002</v>
          </cell>
          <cell r="S228">
            <v>0.37</v>
          </cell>
          <cell r="T228">
            <v>885.78</v>
          </cell>
          <cell r="U228">
            <v>369.77</v>
          </cell>
          <cell r="V228">
            <v>0.41745128587233848</v>
          </cell>
          <cell r="W228">
            <v>43.26</v>
          </cell>
          <cell r="X228" t="str">
            <v>Net Banking</v>
          </cell>
          <cell r="Z228">
            <v>2</v>
          </cell>
          <cell r="AA228" t="b">
            <v>0</v>
          </cell>
          <cell r="AC228" t="str">
            <v>Delivered</v>
          </cell>
          <cell r="AE228">
            <v>5</v>
          </cell>
        </row>
        <row r="229">
          <cell r="C229">
            <v>44838</v>
          </cell>
          <cell r="D229" t="str">
            <v>CUST62789</v>
          </cell>
          <cell r="E229" t="str">
            <v>Ananya Gupta</v>
          </cell>
          <cell r="G229">
            <v>40</v>
          </cell>
          <cell r="H229" t="str">
            <v>Adult</v>
          </cell>
          <cell r="J229" t="str">
            <v>Other</v>
          </cell>
          <cell r="K229" t="str">
            <v>South</v>
          </cell>
          <cell r="L229" t="str">
            <v>Kochi</v>
          </cell>
          <cell r="M229" t="str">
            <v>Groceries</v>
          </cell>
          <cell r="N229" t="str">
            <v>Dal (1kg)</v>
          </cell>
          <cell r="P229">
            <v>4</v>
          </cell>
          <cell r="Q229">
            <v>314.73</v>
          </cell>
          <cell r="S229">
            <v>0.15</v>
          </cell>
          <cell r="T229">
            <v>998.21</v>
          </cell>
          <cell r="U229">
            <v>61.22</v>
          </cell>
          <cell r="V229">
            <v>6.1329780306749078E-2</v>
          </cell>
          <cell r="W229">
            <v>79</v>
          </cell>
          <cell r="X229" t="str">
            <v>Cash on Delivery</v>
          </cell>
          <cell r="Z229">
            <v>3</v>
          </cell>
          <cell r="AA229" t="b">
            <v>0</v>
          </cell>
          <cell r="AC229" t="str">
            <v>Delivered</v>
          </cell>
          <cell r="AE229">
            <v>8</v>
          </cell>
        </row>
        <row r="230">
          <cell r="C230">
            <v>44716</v>
          </cell>
          <cell r="D230" t="str">
            <v>CUST96054</v>
          </cell>
          <cell r="E230" t="str">
            <v>Ritu Nair</v>
          </cell>
          <cell r="G230">
            <v>40</v>
          </cell>
          <cell r="H230" t="str">
            <v>Adult</v>
          </cell>
          <cell r="J230" t="str">
            <v>Other</v>
          </cell>
          <cell r="K230" t="str">
            <v>East</v>
          </cell>
          <cell r="L230" t="str">
            <v>Bhubaneswar</v>
          </cell>
          <cell r="M230" t="str">
            <v>Electronics</v>
          </cell>
          <cell r="N230" t="str">
            <v>Smartphone</v>
          </cell>
          <cell r="P230">
            <v>7</v>
          </cell>
          <cell r="Q230">
            <v>21000.78</v>
          </cell>
          <cell r="S230">
            <v>0.3</v>
          </cell>
          <cell r="T230">
            <v>174189.34</v>
          </cell>
          <cell r="U230">
            <v>24923.4</v>
          </cell>
          <cell r="V230">
            <v>0.14308223453857741</v>
          </cell>
          <cell r="W230">
            <v>115.73</v>
          </cell>
          <cell r="X230" t="str">
            <v>UPI</v>
          </cell>
          <cell r="Z230">
            <v>5</v>
          </cell>
          <cell r="AA230" t="b">
            <v>0</v>
          </cell>
          <cell r="AC230" t="str">
            <v>Delivered</v>
          </cell>
          <cell r="AE230">
            <v>6</v>
          </cell>
        </row>
        <row r="231">
          <cell r="C231">
            <v>44869</v>
          </cell>
          <cell r="D231" t="str">
            <v>CUST21465</v>
          </cell>
          <cell r="E231" t="str">
            <v>Pooja Kumar</v>
          </cell>
          <cell r="G231">
            <v>33</v>
          </cell>
          <cell r="H231" t="str">
            <v>Young Adult</v>
          </cell>
          <cell r="J231" t="str">
            <v>Female</v>
          </cell>
          <cell r="K231" t="str">
            <v>West</v>
          </cell>
          <cell r="L231" t="str">
            <v>Ahmedabad</v>
          </cell>
          <cell r="M231" t="str">
            <v>Clothing</v>
          </cell>
          <cell r="N231" t="str">
            <v>Saree</v>
          </cell>
          <cell r="P231">
            <v>7</v>
          </cell>
          <cell r="Q231">
            <v>525.25</v>
          </cell>
          <cell r="S231">
            <v>0.03</v>
          </cell>
          <cell r="T231">
            <v>3229.98</v>
          </cell>
          <cell r="U231">
            <v>1218.3900000000001</v>
          </cell>
          <cell r="V231">
            <v>0.37721286199914555</v>
          </cell>
          <cell r="W231">
            <v>48.82</v>
          </cell>
          <cell r="X231" t="str">
            <v>UPI</v>
          </cell>
          <cell r="Z231">
            <v>4</v>
          </cell>
          <cell r="AA231" t="b">
            <v>0</v>
          </cell>
          <cell r="AC231" t="str">
            <v>Delivered</v>
          </cell>
          <cell r="AE231">
            <v>8</v>
          </cell>
        </row>
        <row r="232">
          <cell r="C232">
            <v>45117</v>
          </cell>
          <cell r="D232" t="str">
            <v>CUST95419</v>
          </cell>
          <cell r="E232" t="str">
            <v>Deepa Joshi</v>
          </cell>
          <cell r="G232">
            <v>37</v>
          </cell>
          <cell r="H232" t="str">
            <v>Adult</v>
          </cell>
          <cell r="J232" t="str">
            <v>Male</v>
          </cell>
          <cell r="K232" t="str">
            <v>West</v>
          </cell>
          <cell r="L232" t="str">
            <v>Pune</v>
          </cell>
          <cell r="M232" t="str">
            <v>Beauty</v>
          </cell>
          <cell r="N232" t="str">
            <v>Face Cream</v>
          </cell>
          <cell r="P232">
            <v>9</v>
          </cell>
          <cell r="Q232">
            <v>108.24</v>
          </cell>
          <cell r="S232">
            <v>0.18</v>
          </cell>
          <cell r="T232">
            <v>1201.96</v>
          </cell>
          <cell r="U232">
            <v>569.48</v>
          </cell>
          <cell r="V232">
            <v>0.4737928050850278</v>
          </cell>
          <cell r="W232">
            <v>55.36</v>
          </cell>
          <cell r="X232" t="str">
            <v>UPI</v>
          </cell>
          <cell r="Z232">
            <v>4</v>
          </cell>
          <cell r="AA232" t="b">
            <v>0</v>
          </cell>
          <cell r="AC232" t="str">
            <v>Delivered</v>
          </cell>
          <cell r="AE232">
            <v>5</v>
          </cell>
        </row>
        <row r="233">
          <cell r="C233">
            <v>45406</v>
          </cell>
          <cell r="D233" t="str">
            <v>CUST32129</v>
          </cell>
          <cell r="E233" t="str">
            <v>Sunita Iyer</v>
          </cell>
          <cell r="G233">
            <v>39</v>
          </cell>
          <cell r="H233" t="str">
            <v>Adult</v>
          </cell>
          <cell r="J233" t="str">
            <v>Other</v>
          </cell>
          <cell r="K233" t="str">
            <v>South</v>
          </cell>
          <cell r="L233" t="str">
            <v>Hyderabad</v>
          </cell>
          <cell r="M233" t="str">
            <v>Electronics</v>
          </cell>
          <cell r="N233" t="str">
            <v>Smartwatch</v>
          </cell>
          <cell r="P233">
            <v>7</v>
          </cell>
          <cell r="Q233">
            <v>45364.52</v>
          </cell>
          <cell r="S233">
            <v>0.08</v>
          </cell>
          <cell r="T233">
            <v>465179.21</v>
          </cell>
          <cell r="U233">
            <v>56612.46</v>
          </cell>
          <cell r="V233">
            <v>0.12170032276377957</v>
          </cell>
          <cell r="W233">
            <v>59.16</v>
          </cell>
          <cell r="X233" t="str">
            <v>EMI</v>
          </cell>
          <cell r="Z233">
            <v>1</v>
          </cell>
          <cell r="AA233" t="b">
            <v>1</v>
          </cell>
          <cell r="AC233" t="str">
            <v>Returned</v>
          </cell>
          <cell r="AE233">
            <v>8</v>
          </cell>
        </row>
        <row r="234">
          <cell r="C234">
            <v>43920</v>
          </cell>
          <cell r="D234" t="str">
            <v>CUST79644</v>
          </cell>
          <cell r="E234" t="str">
            <v>Aarav Verma</v>
          </cell>
          <cell r="G234">
            <v>23</v>
          </cell>
          <cell r="H234" t="str">
            <v>Young Adult</v>
          </cell>
          <cell r="J234" t="str">
            <v>Female</v>
          </cell>
          <cell r="K234" t="str">
            <v>West</v>
          </cell>
          <cell r="L234" t="str">
            <v>Mumbai</v>
          </cell>
          <cell r="M234" t="str">
            <v>Sports</v>
          </cell>
          <cell r="N234" t="str">
            <v>Cycle</v>
          </cell>
          <cell r="P234">
            <v>5</v>
          </cell>
          <cell r="Q234">
            <v>9009.65</v>
          </cell>
          <cell r="S234">
            <v>0.08</v>
          </cell>
          <cell r="T234">
            <v>44971.39</v>
          </cell>
          <cell r="U234">
            <v>10004.34</v>
          </cell>
          <cell r="V234">
            <v>0.22246010185586881</v>
          </cell>
          <cell r="W234">
            <v>58.16</v>
          </cell>
          <cell r="X234" t="str">
            <v>EMI</v>
          </cell>
          <cell r="Z234">
            <v>3</v>
          </cell>
          <cell r="AA234" t="b">
            <v>0</v>
          </cell>
          <cell r="AC234" t="str">
            <v>Delivered</v>
          </cell>
          <cell r="AE234">
            <v>4</v>
          </cell>
        </row>
        <row r="235">
          <cell r="C235">
            <v>45590</v>
          </cell>
          <cell r="D235" t="str">
            <v>CUST95307</v>
          </cell>
          <cell r="E235" t="str">
            <v>Nisha Mehta</v>
          </cell>
          <cell r="G235">
            <v>28</v>
          </cell>
          <cell r="H235" t="str">
            <v>Young Adult</v>
          </cell>
          <cell r="J235" t="str">
            <v>Female</v>
          </cell>
          <cell r="K235" t="str">
            <v>Central</v>
          </cell>
          <cell r="L235" t="str">
            <v>Raipur</v>
          </cell>
          <cell r="M235" t="str">
            <v>Electronics</v>
          </cell>
          <cell r="N235" t="str">
            <v>Headphones</v>
          </cell>
          <cell r="P235">
            <v>3</v>
          </cell>
          <cell r="Q235">
            <v>9261.39</v>
          </cell>
          <cell r="S235">
            <v>0.24</v>
          </cell>
          <cell r="T235">
            <v>25255.17</v>
          </cell>
          <cell r="U235">
            <v>3570.94</v>
          </cell>
          <cell r="V235">
            <v>0.14139441548007795</v>
          </cell>
          <cell r="W235">
            <v>42.63</v>
          </cell>
          <cell r="X235" t="str">
            <v>EMI</v>
          </cell>
          <cell r="Z235">
            <v>3</v>
          </cell>
          <cell r="AA235" t="b">
            <v>0</v>
          </cell>
          <cell r="AC235" t="str">
            <v>Cancelled</v>
          </cell>
          <cell r="AE235">
            <v>4</v>
          </cell>
        </row>
        <row r="236">
          <cell r="C236">
            <v>44967</v>
          </cell>
          <cell r="D236" t="str">
            <v>CUST54344</v>
          </cell>
          <cell r="E236" t="str">
            <v>Nisha Reddy</v>
          </cell>
          <cell r="G236">
            <v>41</v>
          </cell>
          <cell r="H236" t="str">
            <v>Adult</v>
          </cell>
          <cell r="J236" t="str">
            <v>Female</v>
          </cell>
          <cell r="K236" t="str">
            <v>North</v>
          </cell>
          <cell r="L236" t="str">
            <v>Delhi</v>
          </cell>
          <cell r="M236" t="str">
            <v>Clothing</v>
          </cell>
          <cell r="N236" t="str">
            <v>Saree</v>
          </cell>
          <cell r="P236">
            <v>5</v>
          </cell>
          <cell r="Q236">
            <v>2531.54</v>
          </cell>
          <cell r="S236">
            <v>0.19793402777777783</v>
          </cell>
          <cell r="T236">
            <v>13540.41</v>
          </cell>
          <cell r="U236">
            <v>5111.1099999999997</v>
          </cell>
          <cell r="V236">
            <v>0.37747084467900155</v>
          </cell>
          <cell r="W236">
            <v>49.22</v>
          </cell>
          <cell r="X236" t="str">
            <v>Net Banking</v>
          </cell>
          <cell r="Z236">
            <v>3</v>
          </cell>
          <cell r="AA236" t="b">
            <v>0</v>
          </cell>
          <cell r="AC236" t="str">
            <v>Shipped</v>
          </cell>
          <cell r="AE236">
            <v>4</v>
          </cell>
        </row>
        <row r="237">
          <cell r="C237">
            <v>45017</v>
          </cell>
          <cell r="D237" t="str">
            <v>CUST34359</v>
          </cell>
          <cell r="E237" t="str">
            <v>Shreya Kumar</v>
          </cell>
          <cell r="G237">
            <v>27</v>
          </cell>
          <cell r="H237" t="str">
            <v>Young Adult</v>
          </cell>
          <cell r="J237" t="str">
            <v>Male</v>
          </cell>
          <cell r="K237" t="str">
            <v>West</v>
          </cell>
          <cell r="L237" t="str">
            <v>Pune</v>
          </cell>
          <cell r="M237" t="str">
            <v>Furniture</v>
          </cell>
          <cell r="N237" t="str">
            <v>Bookshelf</v>
          </cell>
          <cell r="P237">
            <v>7</v>
          </cell>
          <cell r="Q237">
            <v>23696.15</v>
          </cell>
          <cell r="S237">
            <v>0.33</v>
          </cell>
          <cell r="T237">
            <v>157416.69</v>
          </cell>
          <cell r="U237">
            <v>50425.99</v>
          </cell>
          <cell r="V237">
            <v>0.32033445754703643</v>
          </cell>
          <cell r="W237">
            <v>51.3</v>
          </cell>
          <cell r="X237" t="str">
            <v>Cash on Delivery</v>
          </cell>
          <cell r="Z237">
            <v>3</v>
          </cell>
          <cell r="AA237" t="b">
            <v>0</v>
          </cell>
          <cell r="AC237" t="str">
            <v>Pending</v>
          </cell>
          <cell r="AE237">
            <v>1</v>
          </cell>
        </row>
        <row r="238">
          <cell r="C238">
            <v>44532</v>
          </cell>
          <cell r="D238" t="str">
            <v>CUST42665</v>
          </cell>
          <cell r="E238" t="str">
            <v>Shreya Chatterjee</v>
          </cell>
          <cell r="G238">
            <v>24</v>
          </cell>
          <cell r="H238" t="str">
            <v>Young Adult</v>
          </cell>
          <cell r="J238" t="str">
            <v>Male</v>
          </cell>
          <cell r="K238" t="str">
            <v>South</v>
          </cell>
          <cell r="L238" t="str">
            <v>Kochi</v>
          </cell>
          <cell r="M238" t="str">
            <v>Groceries</v>
          </cell>
          <cell r="N238" t="str">
            <v>Rice (5kg)</v>
          </cell>
          <cell r="P238">
            <v>1</v>
          </cell>
          <cell r="Q238">
            <v>359.04</v>
          </cell>
          <cell r="S238">
            <v>0.01</v>
          </cell>
          <cell r="T238">
            <v>276.45999999999998</v>
          </cell>
          <cell r="U238">
            <v>18.11</v>
          </cell>
          <cell r="V238">
            <v>6.5506764088837446E-2</v>
          </cell>
          <cell r="W238">
            <v>72.66</v>
          </cell>
          <cell r="X238" t="str">
            <v>Cash on Delivery</v>
          </cell>
          <cell r="Z238">
            <v>3</v>
          </cell>
          <cell r="AA238" t="b">
            <v>0</v>
          </cell>
          <cell r="AC238" t="str">
            <v>Delivered</v>
          </cell>
          <cell r="AE238">
            <v>10</v>
          </cell>
        </row>
        <row r="239">
          <cell r="C239">
            <v>45024</v>
          </cell>
          <cell r="D239" t="str">
            <v>CUST97559</v>
          </cell>
          <cell r="E239" t="str">
            <v>Sunita Kumar</v>
          </cell>
          <cell r="G239">
            <v>49</v>
          </cell>
          <cell r="H239" t="str">
            <v>Adult</v>
          </cell>
          <cell r="J239" t="str">
            <v>Male</v>
          </cell>
          <cell r="K239" t="str">
            <v>West</v>
          </cell>
          <cell r="L239" t="str">
            <v>Ahmedabad</v>
          </cell>
          <cell r="M239" t="str">
            <v>Sports</v>
          </cell>
          <cell r="N239" t="str">
            <v>Dumbbells</v>
          </cell>
          <cell r="P239">
            <v>4</v>
          </cell>
          <cell r="Q239">
            <v>2360.4</v>
          </cell>
          <cell r="S239">
            <v>0.36</v>
          </cell>
          <cell r="T239">
            <v>9045.1299999999992</v>
          </cell>
          <cell r="U239">
            <v>1640.8</v>
          </cell>
          <cell r="V239">
            <v>0.18140148345021023</v>
          </cell>
          <cell r="W239">
            <v>46.73</v>
          </cell>
          <cell r="X239" t="str">
            <v>Credit Card</v>
          </cell>
          <cell r="Z239">
            <v>2</v>
          </cell>
          <cell r="AA239" t="b">
            <v>0</v>
          </cell>
          <cell r="AC239" t="str">
            <v>Delivered</v>
          </cell>
          <cell r="AE239">
            <v>2</v>
          </cell>
        </row>
        <row r="240">
          <cell r="C240">
            <v>44229</v>
          </cell>
          <cell r="D240" t="str">
            <v>CUST31073</v>
          </cell>
          <cell r="E240" t="str">
            <v>Kavya Shah</v>
          </cell>
          <cell r="G240">
            <v>48</v>
          </cell>
          <cell r="H240" t="str">
            <v>Adult</v>
          </cell>
          <cell r="J240" t="str">
            <v>Male</v>
          </cell>
          <cell r="K240" t="str">
            <v>East</v>
          </cell>
          <cell r="L240" t="str">
            <v>Bhubaneswar</v>
          </cell>
          <cell r="M240" t="str">
            <v>Groceries</v>
          </cell>
          <cell r="N240" t="str">
            <v>Flour</v>
          </cell>
          <cell r="P240">
            <v>7</v>
          </cell>
          <cell r="Q240">
            <v>474.48</v>
          </cell>
          <cell r="S240">
            <v>0.26</v>
          </cell>
          <cell r="T240">
            <v>2258.19</v>
          </cell>
          <cell r="U240">
            <v>189.8</v>
          </cell>
          <cell r="V240">
            <v>8.4049614957111676E-2</v>
          </cell>
          <cell r="W240">
            <v>40.18</v>
          </cell>
          <cell r="X240" t="str">
            <v>Debit Card</v>
          </cell>
          <cell r="Z240">
            <v>1</v>
          </cell>
          <cell r="AA240" t="b">
            <v>1</v>
          </cell>
          <cell r="AC240" t="str">
            <v>Returned</v>
          </cell>
          <cell r="AE240">
            <v>2</v>
          </cell>
        </row>
        <row r="241">
          <cell r="C241">
            <v>44589</v>
          </cell>
          <cell r="D241" t="str">
            <v>CUST75005</v>
          </cell>
          <cell r="E241" t="str">
            <v>Meera Bhat</v>
          </cell>
          <cell r="G241">
            <v>16</v>
          </cell>
          <cell r="H241" t="str">
            <v>Teen</v>
          </cell>
          <cell r="J241" t="str">
            <v>Female</v>
          </cell>
          <cell r="K241" t="str">
            <v>South</v>
          </cell>
          <cell r="L241" t="str">
            <v>Bangalore</v>
          </cell>
          <cell r="M241" t="str">
            <v>Sports</v>
          </cell>
          <cell r="N241" t="str">
            <v>Tennis Racket</v>
          </cell>
          <cell r="P241">
            <v>3</v>
          </cell>
          <cell r="Q241">
            <v>14928.96</v>
          </cell>
          <cell r="S241">
            <v>0.4</v>
          </cell>
          <cell r="T241">
            <v>21823.19</v>
          </cell>
          <cell r="U241">
            <v>4574.82</v>
          </cell>
          <cell r="V241">
            <v>0.20963113092082322</v>
          </cell>
          <cell r="W241">
            <v>60.83</v>
          </cell>
          <cell r="X241" t="str">
            <v>UPI</v>
          </cell>
          <cell r="Z241">
            <v>1</v>
          </cell>
          <cell r="AA241" t="b">
            <v>0</v>
          </cell>
          <cell r="AC241" t="str">
            <v>Delivered</v>
          </cell>
          <cell r="AE241">
            <v>8</v>
          </cell>
        </row>
        <row r="242">
          <cell r="C242">
            <v>44172</v>
          </cell>
          <cell r="D242" t="str">
            <v>CUST41385</v>
          </cell>
          <cell r="E242" t="str">
            <v>Rohan Patel</v>
          </cell>
          <cell r="G242">
            <v>32</v>
          </cell>
          <cell r="H242" t="str">
            <v>Young Adult</v>
          </cell>
          <cell r="J242" t="str">
            <v>Male</v>
          </cell>
          <cell r="K242" t="str">
            <v>North</v>
          </cell>
          <cell r="L242" t="str">
            <v>Amritsar</v>
          </cell>
          <cell r="M242" t="str">
            <v>Books</v>
          </cell>
          <cell r="N242" t="str">
            <v>Cook Book</v>
          </cell>
          <cell r="P242">
            <v>999</v>
          </cell>
          <cell r="Q242">
            <v>403.63</v>
          </cell>
          <cell r="S242">
            <v>0.15</v>
          </cell>
          <cell r="T242">
            <v>203951.5</v>
          </cell>
          <cell r="U242">
            <v>80603.27</v>
          </cell>
          <cell r="V242">
            <v>0.39520802739867078</v>
          </cell>
          <cell r="W242">
            <v>48.7</v>
          </cell>
          <cell r="X242" t="str">
            <v>EMI</v>
          </cell>
          <cell r="Z242">
            <v>5</v>
          </cell>
          <cell r="AA242" t="b">
            <v>0</v>
          </cell>
          <cell r="AC242" t="str">
            <v>Delivered</v>
          </cell>
          <cell r="AE242">
            <v>1</v>
          </cell>
        </row>
        <row r="243">
          <cell r="C243">
            <v>44624</v>
          </cell>
          <cell r="D243" t="str">
            <v>CUST10753</v>
          </cell>
          <cell r="E243" t="str">
            <v>Kavya Kumar</v>
          </cell>
          <cell r="G243">
            <v>51</v>
          </cell>
          <cell r="H243" t="str">
            <v>Senior</v>
          </cell>
          <cell r="J243" t="str">
            <v>Male</v>
          </cell>
          <cell r="K243" t="str">
            <v>Central</v>
          </cell>
          <cell r="L243" t="str">
            <v>Indore</v>
          </cell>
          <cell r="M243" t="str">
            <v>Beauty</v>
          </cell>
          <cell r="N243" t="str">
            <v>Face Cream</v>
          </cell>
          <cell r="P243">
            <v>6</v>
          </cell>
          <cell r="Q243">
            <v>153.84</v>
          </cell>
          <cell r="S243">
            <v>0.09</v>
          </cell>
          <cell r="T243">
            <v>1006.96</v>
          </cell>
          <cell r="U243">
            <v>616.53</v>
          </cell>
          <cell r="V243">
            <v>0.61226861047112091</v>
          </cell>
          <cell r="W243">
            <v>54.61</v>
          </cell>
          <cell r="X243" t="str">
            <v>Debit Card</v>
          </cell>
          <cell r="Z243">
            <v>3</v>
          </cell>
          <cell r="AA243" t="b">
            <v>0</v>
          </cell>
          <cell r="AC243" t="str">
            <v>Delivered</v>
          </cell>
          <cell r="AE243">
            <v>9</v>
          </cell>
        </row>
        <row r="244">
          <cell r="C244">
            <v>43946</v>
          </cell>
          <cell r="D244" t="str">
            <v>CUST33827</v>
          </cell>
          <cell r="E244" t="str">
            <v>Rahul Bose</v>
          </cell>
          <cell r="G244">
            <v>24</v>
          </cell>
          <cell r="H244" t="str">
            <v>Young Adult</v>
          </cell>
          <cell r="J244" t="str">
            <v>Male</v>
          </cell>
          <cell r="K244" t="str">
            <v>West</v>
          </cell>
          <cell r="L244" t="str">
            <v>Surat</v>
          </cell>
          <cell r="M244" t="str">
            <v>Furniture</v>
          </cell>
          <cell r="N244" t="str">
            <v>Wardrobe</v>
          </cell>
          <cell r="P244">
            <v>2</v>
          </cell>
          <cell r="Q244">
            <v>3582.55</v>
          </cell>
          <cell r="S244">
            <v>0.08</v>
          </cell>
          <cell r="T244">
            <v>8506.99</v>
          </cell>
          <cell r="U244">
            <v>2610.08</v>
          </cell>
          <cell r="V244">
            <v>0.30681592431635629</v>
          </cell>
          <cell r="W244">
            <v>54.88</v>
          </cell>
          <cell r="X244" t="str">
            <v>Debit Card</v>
          </cell>
          <cell r="Z244">
            <v>3</v>
          </cell>
          <cell r="AA244" t="b">
            <v>0</v>
          </cell>
          <cell r="AC244" t="str">
            <v>Delivered</v>
          </cell>
          <cell r="AE244">
            <v>7</v>
          </cell>
        </row>
        <row r="245">
          <cell r="C245">
            <v>45603</v>
          </cell>
          <cell r="D245" t="str">
            <v>CUST69304</v>
          </cell>
          <cell r="E245" t="str">
            <v>Kavya Shah</v>
          </cell>
          <cell r="G245">
            <v>57</v>
          </cell>
          <cell r="H245" t="str">
            <v>Senior</v>
          </cell>
          <cell r="J245" t="str">
            <v>Other</v>
          </cell>
          <cell r="K245" t="str">
            <v>West</v>
          </cell>
          <cell r="L245" t="str">
            <v>Ahmedabad</v>
          </cell>
          <cell r="M245" t="str">
            <v>Electronics</v>
          </cell>
          <cell r="N245" t="str">
            <v>Tablet</v>
          </cell>
          <cell r="P245">
            <v>9</v>
          </cell>
          <cell r="Q245">
            <v>70570.87</v>
          </cell>
          <cell r="S245">
            <v>0.27</v>
          </cell>
          <cell r="T245">
            <v>436166.56</v>
          </cell>
          <cell r="U245">
            <v>54481.93</v>
          </cell>
          <cell r="V245">
            <v>0.12491083681426655</v>
          </cell>
          <cell r="W245">
            <v>66.680000000000007</v>
          </cell>
          <cell r="X245" t="str">
            <v>Debit Card</v>
          </cell>
          <cell r="Z245">
            <v>2</v>
          </cell>
          <cell r="AA245" t="b">
            <v>0</v>
          </cell>
          <cell r="AC245" t="str">
            <v>Delivered</v>
          </cell>
          <cell r="AE245">
            <v>3</v>
          </cell>
        </row>
        <row r="246">
          <cell r="C246">
            <v>45310</v>
          </cell>
          <cell r="D246" t="str">
            <v>CUST23737</v>
          </cell>
          <cell r="E246" t="str">
            <v>Karan Kumar</v>
          </cell>
          <cell r="G246">
            <v>42</v>
          </cell>
          <cell r="H246" t="str">
            <v>Adult</v>
          </cell>
          <cell r="J246" t="str">
            <v>Male</v>
          </cell>
          <cell r="K246" t="str">
            <v>West</v>
          </cell>
          <cell r="L246" t="str">
            <v>Surat</v>
          </cell>
          <cell r="M246" t="str">
            <v>Electronics</v>
          </cell>
          <cell r="N246" t="str">
            <v>Laptop</v>
          </cell>
          <cell r="P246">
            <v>2</v>
          </cell>
          <cell r="Q246">
            <v>46140.78</v>
          </cell>
          <cell r="S246">
            <v>0.19793402777777783</v>
          </cell>
          <cell r="T246">
            <v>86042.12</v>
          </cell>
          <cell r="U246">
            <v>11876.13</v>
          </cell>
          <cell r="V246">
            <v>0.13802693378545297</v>
          </cell>
          <cell r="W246">
            <v>85.6</v>
          </cell>
          <cell r="X246" t="str">
            <v>Debit Card</v>
          </cell>
          <cell r="Z246">
            <v>1</v>
          </cell>
          <cell r="AA246" t="b">
            <v>0</v>
          </cell>
          <cell r="AC246" t="str">
            <v>Delivered</v>
          </cell>
          <cell r="AE246">
            <v>6</v>
          </cell>
        </row>
        <row r="247">
          <cell r="C247">
            <v>44585</v>
          </cell>
          <cell r="D247" t="str">
            <v>CUST37446</v>
          </cell>
          <cell r="E247" t="str">
            <v>Shreya Das</v>
          </cell>
          <cell r="G247">
            <v>66</v>
          </cell>
          <cell r="H247" t="str">
            <v>Elderly</v>
          </cell>
          <cell r="J247" t="str">
            <v>Other</v>
          </cell>
          <cell r="K247" t="str">
            <v>North</v>
          </cell>
          <cell r="L247" t="str">
            <v>Delhi</v>
          </cell>
          <cell r="M247" t="str">
            <v>Beauty</v>
          </cell>
          <cell r="N247" t="str">
            <v>Lipstick</v>
          </cell>
          <cell r="P247">
            <v>9</v>
          </cell>
          <cell r="Q247">
            <v>265.25</v>
          </cell>
          <cell r="S247">
            <v>0.18</v>
          </cell>
          <cell r="T247">
            <v>1737.45</v>
          </cell>
          <cell r="U247">
            <v>685.06</v>
          </cell>
          <cell r="V247">
            <v>0.39429048317937204</v>
          </cell>
          <cell r="W247">
            <v>28.69</v>
          </cell>
          <cell r="X247" t="str">
            <v>Credit Card</v>
          </cell>
          <cell r="Z247">
            <v>2</v>
          </cell>
          <cell r="AA247" t="b">
            <v>0</v>
          </cell>
          <cell r="AC247" t="str">
            <v>Delivered</v>
          </cell>
          <cell r="AE247">
            <v>5</v>
          </cell>
        </row>
        <row r="248">
          <cell r="C248">
            <v>44913</v>
          </cell>
          <cell r="D248" t="str">
            <v>CUST29148</v>
          </cell>
          <cell r="E248" t="str">
            <v>Amit Kumar</v>
          </cell>
          <cell r="G248">
            <v>22</v>
          </cell>
          <cell r="H248" t="str">
            <v>Young Adult</v>
          </cell>
          <cell r="J248" t="str">
            <v>Female</v>
          </cell>
          <cell r="K248" t="str">
            <v>South</v>
          </cell>
          <cell r="L248" t="str">
            <v>Bangalore</v>
          </cell>
          <cell r="M248" t="str">
            <v>Groceries</v>
          </cell>
          <cell r="N248" t="str">
            <v>Sugar</v>
          </cell>
          <cell r="P248">
            <v>7</v>
          </cell>
          <cell r="Q248">
            <v>56.3</v>
          </cell>
          <cell r="S248">
            <v>0.16</v>
          </cell>
          <cell r="T248">
            <v>219.23</v>
          </cell>
          <cell r="U248">
            <v>17.73</v>
          </cell>
          <cell r="V248">
            <v>8.0873967978835018E-2</v>
          </cell>
          <cell r="W248">
            <v>83.47</v>
          </cell>
          <cell r="X248" t="str">
            <v>Net Banking</v>
          </cell>
          <cell r="Z248">
            <v>4</v>
          </cell>
          <cell r="AA248" t="b">
            <v>1</v>
          </cell>
          <cell r="AC248" t="str">
            <v>Returned</v>
          </cell>
          <cell r="AE248">
            <v>6</v>
          </cell>
        </row>
        <row r="249">
          <cell r="C249">
            <v>44919</v>
          </cell>
          <cell r="D249" t="str">
            <v>CUST55151</v>
          </cell>
          <cell r="E249" t="str">
            <v>Ananya Reddy</v>
          </cell>
          <cell r="G249">
            <v>27</v>
          </cell>
          <cell r="H249" t="str">
            <v>Young Adult</v>
          </cell>
          <cell r="J249" t="str">
            <v>Male</v>
          </cell>
          <cell r="K249" t="str">
            <v>East</v>
          </cell>
          <cell r="L249" t="str">
            <v>Kolkata</v>
          </cell>
          <cell r="M249" t="str">
            <v>Furniture</v>
          </cell>
          <cell r="N249" t="str">
            <v>Wardrobe</v>
          </cell>
          <cell r="P249">
            <v>1</v>
          </cell>
          <cell r="Q249">
            <v>21949.11</v>
          </cell>
          <cell r="S249">
            <v>0.11</v>
          </cell>
          <cell r="T249">
            <v>16420.47</v>
          </cell>
          <cell r="U249">
            <v>5291.08</v>
          </cell>
          <cell r="V249">
            <v>0.32222463790622313</v>
          </cell>
          <cell r="W249">
            <v>87.46</v>
          </cell>
          <cell r="X249" t="str">
            <v>EMI</v>
          </cell>
          <cell r="Z249">
            <v>1</v>
          </cell>
          <cell r="AA249" t="b">
            <v>0</v>
          </cell>
          <cell r="AC249" t="str">
            <v>Delivered</v>
          </cell>
          <cell r="AE249">
            <v>2</v>
          </cell>
        </row>
        <row r="250">
          <cell r="C250">
            <v>45015</v>
          </cell>
          <cell r="D250" t="str">
            <v>CUST69340</v>
          </cell>
          <cell r="E250" t="str">
            <v>Sanjay Kapoor</v>
          </cell>
          <cell r="G250">
            <v>31</v>
          </cell>
          <cell r="H250" t="str">
            <v>Young Adult</v>
          </cell>
          <cell r="J250" t="str">
            <v>Male</v>
          </cell>
          <cell r="K250" t="str">
            <v>South</v>
          </cell>
          <cell r="L250" t="str">
            <v>Chennai</v>
          </cell>
          <cell r="M250" t="str">
            <v>Books</v>
          </cell>
          <cell r="N250" t="str">
            <v>Fiction Novel</v>
          </cell>
          <cell r="P250">
            <v>10</v>
          </cell>
          <cell r="Q250">
            <v>432.2</v>
          </cell>
          <cell r="S250">
            <v>0.22</v>
          </cell>
          <cell r="T250">
            <v>4097.63</v>
          </cell>
          <cell r="U250">
            <v>1857.23</v>
          </cell>
          <cell r="V250">
            <v>0.45324492450514076</v>
          </cell>
          <cell r="W250">
            <v>69.099999999999994</v>
          </cell>
          <cell r="X250" t="str">
            <v>Net Banking</v>
          </cell>
          <cell r="Z250">
            <v>3</v>
          </cell>
          <cell r="AA250" t="b">
            <v>0</v>
          </cell>
          <cell r="AC250" t="str">
            <v>Delivered</v>
          </cell>
          <cell r="AE250">
            <v>5</v>
          </cell>
        </row>
        <row r="251">
          <cell r="C251">
            <v>44657</v>
          </cell>
          <cell r="D251" t="str">
            <v>CUST60962</v>
          </cell>
          <cell r="E251" t="str">
            <v>Shreya Rao</v>
          </cell>
          <cell r="G251">
            <v>30</v>
          </cell>
          <cell r="H251" t="str">
            <v>Young Adult</v>
          </cell>
          <cell r="J251" t="str">
            <v>Male</v>
          </cell>
          <cell r="K251" t="str">
            <v>North</v>
          </cell>
          <cell r="L251" t="str">
            <v>Amritsar</v>
          </cell>
          <cell r="M251" t="str">
            <v>Sports</v>
          </cell>
          <cell r="N251" t="str">
            <v>Cricket Bat</v>
          </cell>
          <cell r="P251">
            <v>10</v>
          </cell>
          <cell r="Q251">
            <v>8393.4</v>
          </cell>
          <cell r="S251">
            <v>0.27</v>
          </cell>
          <cell r="T251">
            <v>79799.460000000006</v>
          </cell>
          <cell r="U251">
            <v>13093.99</v>
          </cell>
          <cell r="V251">
            <v>0.16408619807702957</v>
          </cell>
          <cell r="W251">
            <v>54.18</v>
          </cell>
          <cell r="X251" t="str">
            <v>Net Banking</v>
          </cell>
          <cell r="Z251">
            <v>2</v>
          </cell>
          <cell r="AA251" t="b">
            <v>0</v>
          </cell>
          <cell r="AC251" t="str">
            <v>Delivered</v>
          </cell>
          <cell r="AE251">
            <v>8</v>
          </cell>
        </row>
        <row r="252">
          <cell r="C252">
            <v>44387</v>
          </cell>
          <cell r="D252" t="str">
            <v>CUST64805</v>
          </cell>
          <cell r="E252" t="str">
            <v>Priya Mishra</v>
          </cell>
          <cell r="G252">
            <v>33</v>
          </cell>
          <cell r="H252" t="str">
            <v>Young Adult</v>
          </cell>
          <cell r="J252" t="str">
            <v>Female</v>
          </cell>
          <cell r="K252" t="str">
            <v>South</v>
          </cell>
          <cell r="L252" t="str">
            <v>Hyderabad</v>
          </cell>
          <cell r="M252" t="str">
            <v>Clothing</v>
          </cell>
          <cell r="N252" t="str">
            <v>Jacket</v>
          </cell>
          <cell r="P252">
            <v>6</v>
          </cell>
          <cell r="Q252">
            <v>2619.38</v>
          </cell>
          <cell r="S252">
            <v>0.24</v>
          </cell>
          <cell r="T252">
            <v>15863.82</v>
          </cell>
          <cell r="U252">
            <v>5048.54</v>
          </cell>
          <cell r="V252">
            <v>0.31824239054653924</v>
          </cell>
          <cell r="W252">
            <v>23.2</v>
          </cell>
          <cell r="X252" t="str">
            <v>EMI</v>
          </cell>
          <cell r="Z252">
            <v>2</v>
          </cell>
          <cell r="AA252" t="b">
            <v>0</v>
          </cell>
          <cell r="AC252" t="str">
            <v>Delivered</v>
          </cell>
          <cell r="AE252">
            <v>4</v>
          </cell>
        </row>
        <row r="253">
          <cell r="C253">
            <v>44172</v>
          </cell>
          <cell r="D253" t="str">
            <v>CUST76726</v>
          </cell>
          <cell r="E253" t="str">
            <v>Meera Rao</v>
          </cell>
          <cell r="G253">
            <v>26</v>
          </cell>
          <cell r="H253" t="str">
            <v>Young Adult</v>
          </cell>
          <cell r="J253" t="str">
            <v>Male</v>
          </cell>
          <cell r="K253" t="str">
            <v>West</v>
          </cell>
          <cell r="L253" t="str">
            <v>Surat</v>
          </cell>
          <cell r="M253" t="str">
            <v>Sports</v>
          </cell>
          <cell r="N253" t="str">
            <v>Tennis Racket</v>
          </cell>
          <cell r="P253">
            <v>8</v>
          </cell>
          <cell r="Q253">
            <v>4670.6000000000004</v>
          </cell>
          <cell r="S253">
            <v>0.27</v>
          </cell>
          <cell r="T253">
            <v>19375.099999999999</v>
          </cell>
          <cell r="U253">
            <v>2879.15</v>
          </cell>
          <cell r="V253">
            <v>0.14860052335213755</v>
          </cell>
          <cell r="W253">
            <v>51.67</v>
          </cell>
          <cell r="X253" t="str">
            <v>Credit Card</v>
          </cell>
          <cell r="Z253">
            <v>4</v>
          </cell>
          <cell r="AA253" t="b">
            <v>0</v>
          </cell>
          <cell r="AC253" t="str">
            <v>Delivered</v>
          </cell>
          <cell r="AE253">
            <v>4</v>
          </cell>
        </row>
        <row r="254">
          <cell r="C254">
            <v>43844</v>
          </cell>
          <cell r="D254" t="str">
            <v>CUST79223</v>
          </cell>
          <cell r="E254" t="str">
            <v>Sunita Reddy</v>
          </cell>
          <cell r="G254">
            <v>20</v>
          </cell>
          <cell r="H254" t="str">
            <v>Young Adult</v>
          </cell>
          <cell r="J254" t="str">
            <v>Male</v>
          </cell>
          <cell r="K254" t="str">
            <v>East</v>
          </cell>
          <cell r="L254" t="str">
            <v>Kolkata</v>
          </cell>
          <cell r="M254" t="str">
            <v>Books</v>
          </cell>
          <cell r="N254" t="str">
            <v>Fiction Novel</v>
          </cell>
          <cell r="P254">
            <v>1</v>
          </cell>
          <cell r="Q254">
            <v>1172.06</v>
          </cell>
          <cell r="S254">
            <v>0.18</v>
          </cell>
          <cell r="T254">
            <v>613.66</v>
          </cell>
          <cell r="U254">
            <v>243.99</v>
          </cell>
          <cell r="V254">
            <v>0.3975980184466969</v>
          </cell>
          <cell r="W254">
            <v>62.05</v>
          </cell>
          <cell r="X254" t="str">
            <v>Cash on Delivery</v>
          </cell>
          <cell r="Z254">
            <v>4</v>
          </cell>
          <cell r="AA254" t="b">
            <v>0</v>
          </cell>
          <cell r="AC254" t="str">
            <v>Delivered</v>
          </cell>
          <cell r="AE254">
            <v>1</v>
          </cell>
        </row>
        <row r="255">
          <cell r="C255">
            <v>44284</v>
          </cell>
          <cell r="D255" t="str">
            <v>CUST13598</v>
          </cell>
          <cell r="E255" t="str">
            <v>Sanjay Chatterjee</v>
          </cell>
          <cell r="G255">
            <v>31</v>
          </cell>
          <cell r="H255" t="str">
            <v>Young Adult</v>
          </cell>
          <cell r="J255" t="str">
            <v>Male</v>
          </cell>
          <cell r="K255" t="str">
            <v>South</v>
          </cell>
          <cell r="L255" t="str">
            <v>Chennai</v>
          </cell>
          <cell r="M255" t="str">
            <v>Electronics</v>
          </cell>
          <cell r="N255" t="str">
            <v>Smartwatch</v>
          </cell>
          <cell r="P255">
            <v>4</v>
          </cell>
          <cell r="Q255">
            <v>70635.62</v>
          </cell>
          <cell r="S255">
            <v>0.32</v>
          </cell>
          <cell r="T255">
            <v>207766.8</v>
          </cell>
          <cell r="U255">
            <v>19874.73</v>
          </cell>
          <cell r="V255">
            <v>9.5658834809026275E-2</v>
          </cell>
          <cell r="W255">
            <v>73.83</v>
          </cell>
          <cell r="X255" t="str">
            <v>UPI</v>
          </cell>
          <cell r="Z255">
            <v>2</v>
          </cell>
          <cell r="AA255" t="b">
            <v>0</v>
          </cell>
          <cell r="AC255" t="str">
            <v>Pending</v>
          </cell>
          <cell r="AE255">
            <v>1</v>
          </cell>
        </row>
        <row r="256">
          <cell r="C256">
            <v>44022</v>
          </cell>
          <cell r="D256" t="str">
            <v>CUST18887</v>
          </cell>
          <cell r="E256" t="str">
            <v>Pooja Kapoor</v>
          </cell>
          <cell r="G256">
            <v>43</v>
          </cell>
          <cell r="H256" t="str">
            <v>Adult</v>
          </cell>
          <cell r="J256" t="str">
            <v>Female</v>
          </cell>
          <cell r="K256" t="str">
            <v>West</v>
          </cell>
          <cell r="L256" t="str">
            <v>Pune</v>
          </cell>
          <cell r="M256" t="str">
            <v>Books</v>
          </cell>
          <cell r="N256" t="str">
            <v>Biography</v>
          </cell>
          <cell r="P256">
            <v>2</v>
          </cell>
          <cell r="Q256">
            <v>449.62</v>
          </cell>
          <cell r="S256">
            <v>0.4</v>
          </cell>
          <cell r="T256">
            <v>661.09</v>
          </cell>
          <cell r="U256">
            <v>247.72</v>
          </cell>
          <cell r="V256">
            <v>0.37471448668108726</v>
          </cell>
          <cell r="W256">
            <v>68.849999999999994</v>
          </cell>
          <cell r="X256" t="str">
            <v>Debit Card</v>
          </cell>
          <cell r="Z256">
            <v>1</v>
          </cell>
          <cell r="AA256" t="b">
            <v>0</v>
          </cell>
          <cell r="AC256" t="str">
            <v>Delivered</v>
          </cell>
          <cell r="AE256">
            <v>6</v>
          </cell>
        </row>
        <row r="257">
          <cell r="C257">
            <v>44249</v>
          </cell>
          <cell r="D257" t="str">
            <v>CUST41859</v>
          </cell>
          <cell r="E257" t="str">
            <v>Deepa Kumar</v>
          </cell>
          <cell r="G257">
            <v>38</v>
          </cell>
          <cell r="H257" t="str">
            <v>Adult</v>
          </cell>
          <cell r="J257" t="str">
            <v>Other</v>
          </cell>
          <cell r="K257" t="str">
            <v>Central</v>
          </cell>
          <cell r="L257" t="str">
            <v>Nagpur</v>
          </cell>
          <cell r="M257" t="str">
            <v>Beauty</v>
          </cell>
          <cell r="N257" t="str">
            <v>Shampoo</v>
          </cell>
          <cell r="P257">
            <v>7</v>
          </cell>
          <cell r="Q257">
            <v>322.75</v>
          </cell>
          <cell r="S257">
            <v>0.15</v>
          </cell>
          <cell r="T257">
            <v>1684.8</v>
          </cell>
          <cell r="U257">
            <v>760.63</v>
          </cell>
          <cell r="V257">
            <v>0.45146604938271606</v>
          </cell>
          <cell r="W257">
            <v>28.86</v>
          </cell>
          <cell r="X257" t="str">
            <v>Cash on Delivery</v>
          </cell>
          <cell r="Z257">
            <v>1</v>
          </cell>
          <cell r="AA257" t="b">
            <v>1</v>
          </cell>
          <cell r="AC257" t="str">
            <v>Returned</v>
          </cell>
          <cell r="AE257">
            <v>5</v>
          </cell>
        </row>
        <row r="258">
          <cell r="C258">
            <v>45499</v>
          </cell>
          <cell r="D258" t="str">
            <v>CUST12042</v>
          </cell>
          <cell r="E258" t="str">
            <v>Vikram Reddy</v>
          </cell>
          <cell r="G258">
            <v>39</v>
          </cell>
          <cell r="H258" t="str">
            <v>Adult</v>
          </cell>
          <cell r="J258" t="str">
            <v>Male</v>
          </cell>
          <cell r="K258" t="str">
            <v>North</v>
          </cell>
          <cell r="L258" t="str">
            <v>Amritsar</v>
          </cell>
          <cell r="M258" t="str">
            <v>Groceries</v>
          </cell>
          <cell r="N258" t="str">
            <v>Cooking Oil</v>
          </cell>
          <cell r="P258">
            <v>2</v>
          </cell>
          <cell r="Q258">
            <v>92.87</v>
          </cell>
          <cell r="S258">
            <v>0.33</v>
          </cell>
          <cell r="T258">
            <v>179.13</v>
          </cell>
          <cell r="U258">
            <v>19.37</v>
          </cell>
          <cell r="V258">
            <v>0.10813375760620779</v>
          </cell>
          <cell r="W258">
            <v>36.78</v>
          </cell>
          <cell r="X258" t="str">
            <v>EMI</v>
          </cell>
          <cell r="Z258">
            <v>3</v>
          </cell>
          <cell r="AA258" t="b">
            <v>0</v>
          </cell>
          <cell r="AC258" t="str">
            <v>Cancelled</v>
          </cell>
          <cell r="AE258">
            <v>5</v>
          </cell>
        </row>
        <row r="259">
          <cell r="C259">
            <v>45581</v>
          </cell>
          <cell r="D259" t="str">
            <v>CUST10272</v>
          </cell>
          <cell r="E259" t="str">
            <v>Sunita Das</v>
          </cell>
          <cell r="G259">
            <v>20</v>
          </cell>
          <cell r="H259" t="str">
            <v>Young Adult</v>
          </cell>
          <cell r="J259" t="str">
            <v>Male</v>
          </cell>
          <cell r="K259" t="str">
            <v>South</v>
          </cell>
          <cell r="L259" t="str">
            <v>Kochi</v>
          </cell>
          <cell r="M259" t="str">
            <v>Electronics</v>
          </cell>
          <cell r="N259" t="str">
            <v>Smartwatch</v>
          </cell>
          <cell r="P259">
            <v>1</v>
          </cell>
          <cell r="Q259">
            <v>78299.490000000005</v>
          </cell>
          <cell r="S259">
            <v>0.18</v>
          </cell>
          <cell r="T259">
            <v>76494.58</v>
          </cell>
          <cell r="U259">
            <v>10883.34</v>
          </cell>
          <cell r="V259">
            <v>0.14227596255839303</v>
          </cell>
          <cell r="W259">
            <v>80.12</v>
          </cell>
          <cell r="X259" t="str">
            <v>Credit Card</v>
          </cell>
          <cell r="Z259">
            <v>3</v>
          </cell>
          <cell r="AA259" t="b">
            <v>0</v>
          </cell>
          <cell r="AC259" t="str">
            <v>Delivered</v>
          </cell>
          <cell r="AE259">
            <v>9</v>
          </cell>
        </row>
        <row r="260">
          <cell r="C260">
            <v>45605</v>
          </cell>
          <cell r="D260" t="str">
            <v>CUST31562</v>
          </cell>
          <cell r="E260" t="str">
            <v>Rohan Shah</v>
          </cell>
          <cell r="G260">
            <v>33</v>
          </cell>
          <cell r="H260" t="str">
            <v>Young Adult</v>
          </cell>
          <cell r="J260" t="str">
            <v>Male</v>
          </cell>
          <cell r="K260" t="str">
            <v>East</v>
          </cell>
          <cell r="L260" t="str">
            <v>Patna</v>
          </cell>
          <cell r="M260" t="str">
            <v>Clothing</v>
          </cell>
          <cell r="N260" t="str">
            <v>Jeans</v>
          </cell>
          <cell r="P260">
            <v>4</v>
          </cell>
          <cell r="Q260">
            <v>1153.04</v>
          </cell>
          <cell r="S260">
            <v>0.23</v>
          </cell>
          <cell r="T260">
            <v>3508.11</v>
          </cell>
          <cell r="U260">
            <v>1237.0899999999999</v>
          </cell>
          <cell r="V260">
            <v>0.3526371750030643</v>
          </cell>
          <cell r="W260">
            <v>67.930000000000007</v>
          </cell>
          <cell r="X260" t="str">
            <v>Credit Card</v>
          </cell>
          <cell r="Z260">
            <v>2</v>
          </cell>
          <cell r="AA260" t="b">
            <v>0</v>
          </cell>
          <cell r="AC260" t="str">
            <v>Delivered</v>
          </cell>
          <cell r="AE260">
            <v>1</v>
          </cell>
        </row>
        <row r="261">
          <cell r="C261">
            <v>44788</v>
          </cell>
          <cell r="D261" t="str">
            <v>CUST54369</v>
          </cell>
          <cell r="E261" t="str">
            <v>Priya Rao</v>
          </cell>
          <cell r="G261">
            <v>65</v>
          </cell>
          <cell r="H261" t="str">
            <v>Senior</v>
          </cell>
          <cell r="J261" t="str">
            <v>Other</v>
          </cell>
          <cell r="K261" t="str">
            <v>East</v>
          </cell>
          <cell r="L261" t="str">
            <v>Kolkata</v>
          </cell>
          <cell r="M261" t="str">
            <v>Books</v>
          </cell>
          <cell r="N261" t="str">
            <v>Fiction Novel</v>
          </cell>
          <cell r="P261">
            <v>6</v>
          </cell>
          <cell r="Q261">
            <v>966.11</v>
          </cell>
          <cell r="S261">
            <v>0.28999999999999998</v>
          </cell>
          <cell r="T261">
            <v>5647.04</v>
          </cell>
          <cell r="U261">
            <v>1896.58</v>
          </cell>
          <cell r="V261">
            <v>0.3358538278460928</v>
          </cell>
          <cell r="W261">
            <v>107.74</v>
          </cell>
          <cell r="X261" t="str">
            <v>Net Banking</v>
          </cell>
          <cell r="Z261">
            <v>1</v>
          </cell>
          <cell r="AA261" t="b">
            <v>0</v>
          </cell>
          <cell r="AC261" t="str">
            <v>Cancelled</v>
          </cell>
          <cell r="AE261">
            <v>5</v>
          </cell>
        </row>
        <row r="262">
          <cell r="C262">
            <v>45246</v>
          </cell>
          <cell r="D262" t="str">
            <v>CUST06690</v>
          </cell>
          <cell r="E262" t="str">
            <v>Sunita Iyer</v>
          </cell>
          <cell r="G262">
            <v>28</v>
          </cell>
          <cell r="H262" t="str">
            <v>Young Adult</v>
          </cell>
          <cell r="J262" t="str">
            <v>Other</v>
          </cell>
          <cell r="K262" t="str">
            <v>West</v>
          </cell>
          <cell r="L262" t="str">
            <v>Ahmedabad</v>
          </cell>
          <cell r="M262" t="str">
            <v>Clothing</v>
          </cell>
          <cell r="N262" t="str">
            <v>Saree</v>
          </cell>
          <cell r="P262">
            <v>8</v>
          </cell>
          <cell r="Q262">
            <v>1471.86</v>
          </cell>
          <cell r="S262">
            <v>0.27</v>
          </cell>
          <cell r="T262">
            <v>8376.83</v>
          </cell>
          <cell r="U262">
            <v>3013.79</v>
          </cell>
          <cell r="V262">
            <v>0.35977690844866139</v>
          </cell>
          <cell r="W262">
            <v>87.43</v>
          </cell>
          <cell r="X262" t="str">
            <v>Credit Card</v>
          </cell>
          <cell r="Z262">
            <v>3</v>
          </cell>
          <cell r="AA262" t="b">
            <v>0</v>
          </cell>
          <cell r="AC262" t="str">
            <v>Delivered</v>
          </cell>
          <cell r="AE262">
            <v>7</v>
          </cell>
        </row>
        <row r="263">
          <cell r="C263">
            <v>44389</v>
          </cell>
          <cell r="D263" t="str">
            <v>CUST86703</v>
          </cell>
          <cell r="E263" t="str">
            <v>Sanjay Verma</v>
          </cell>
          <cell r="G263">
            <v>20</v>
          </cell>
          <cell r="H263" t="str">
            <v>Young Adult</v>
          </cell>
          <cell r="J263" t="str">
            <v>Female</v>
          </cell>
          <cell r="K263" t="str">
            <v>North</v>
          </cell>
          <cell r="L263" t="str">
            <v>Amritsar</v>
          </cell>
          <cell r="M263" t="str">
            <v>Electronics</v>
          </cell>
          <cell r="N263" t="str">
            <v>Smartphone</v>
          </cell>
          <cell r="P263">
            <v>3</v>
          </cell>
          <cell r="Q263">
            <v>33090.17</v>
          </cell>
          <cell r="S263">
            <v>0.22</v>
          </cell>
          <cell r="T263">
            <v>110240.96000000001</v>
          </cell>
          <cell r="U263">
            <v>11080.86</v>
          </cell>
          <cell r="V263">
            <v>0.10051490843330828</v>
          </cell>
          <cell r="W263">
            <v>57.35</v>
          </cell>
          <cell r="X263" t="str">
            <v>EMI</v>
          </cell>
          <cell r="Z263">
            <v>5</v>
          </cell>
          <cell r="AA263" t="b">
            <v>1</v>
          </cell>
          <cell r="AC263" t="str">
            <v>Returned</v>
          </cell>
          <cell r="AE263">
            <v>5</v>
          </cell>
        </row>
        <row r="264">
          <cell r="C264">
            <v>45304</v>
          </cell>
          <cell r="D264" t="str">
            <v>CUST97545</v>
          </cell>
          <cell r="E264" t="str">
            <v>Ritu Bose</v>
          </cell>
          <cell r="G264">
            <v>25</v>
          </cell>
          <cell r="H264" t="str">
            <v>Young Adult</v>
          </cell>
          <cell r="J264" t="str">
            <v>Other</v>
          </cell>
          <cell r="K264" t="str">
            <v>Central</v>
          </cell>
          <cell r="L264" t="str">
            <v>Raipur</v>
          </cell>
          <cell r="M264" t="str">
            <v>Books</v>
          </cell>
          <cell r="N264" t="str">
            <v>Cook Book</v>
          </cell>
          <cell r="P264">
            <v>2</v>
          </cell>
          <cell r="Q264">
            <v>365.34</v>
          </cell>
          <cell r="S264">
            <v>0.09</v>
          </cell>
          <cell r="T264">
            <v>599.16</v>
          </cell>
          <cell r="U264">
            <v>276.45999999999998</v>
          </cell>
          <cell r="V264">
            <v>0.46141264436878293</v>
          </cell>
          <cell r="W264">
            <v>52.27</v>
          </cell>
          <cell r="X264" t="str">
            <v>UPI</v>
          </cell>
          <cell r="Z264">
            <v>2</v>
          </cell>
          <cell r="AA264" t="b">
            <v>0</v>
          </cell>
          <cell r="AC264" t="str">
            <v>Delivered</v>
          </cell>
          <cell r="AE264">
            <v>4</v>
          </cell>
        </row>
        <row r="265">
          <cell r="C265">
            <v>45637</v>
          </cell>
          <cell r="D265" t="str">
            <v>CUST91116</v>
          </cell>
          <cell r="E265" t="str">
            <v>Rohan Patel</v>
          </cell>
          <cell r="G265">
            <v>36</v>
          </cell>
          <cell r="H265" t="str">
            <v>Adult</v>
          </cell>
          <cell r="J265" t="str">
            <v>Male</v>
          </cell>
          <cell r="K265" t="str">
            <v>South</v>
          </cell>
          <cell r="L265" t="str">
            <v>Hyderabad</v>
          </cell>
          <cell r="M265" t="str">
            <v>Books</v>
          </cell>
          <cell r="N265" t="str">
            <v>Biography</v>
          </cell>
          <cell r="P265">
            <v>7</v>
          </cell>
          <cell r="Q265">
            <v>609.79</v>
          </cell>
          <cell r="S265">
            <v>0.25</v>
          </cell>
          <cell r="T265">
            <v>2905.61</v>
          </cell>
          <cell r="U265">
            <v>1079.08</v>
          </cell>
          <cell r="V265">
            <v>0.3713781271402562</v>
          </cell>
          <cell r="W265">
            <v>68.86</v>
          </cell>
          <cell r="X265" t="str">
            <v>UPI</v>
          </cell>
          <cell r="Z265">
            <v>3</v>
          </cell>
          <cell r="AA265" t="b">
            <v>0</v>
          </cell>
          <cell r="AC265" t="str">
            <v>Delivered</v>
          </cell>
          <cell r="AE265">
            <v>7</v>
          </cell>
        </row>
        <row r="266">
          <cell r="C266">
            <v>44367</v>
          </cell>
          <cell r="D266" t="str">
            <v>CUST39249</v>
          </cell>
          <cell r="E266" t="str">
            <v>Pooja Kapoor</v>
          </cell>
          <cell r="G266">
            <v>34</v>
          </cell>
          <cell r="H266" t="str">
            <v>Young Adult</v>
          </cell>
          <cell r="J266" t="str">
            <v>Other</v>
          </cell>
          <cell r="K266" t="str">
            <v>South</v>
          </cell>
          <cell r="L266" t="str">
            <v>Kochi</v>
          </cell>
          <cell r="M266" t="str">
            <v>Groceries</v>
          </cell>
          <cell r="N266" t="str">
            <v>Cooking Oil</v>
          </cell>
          <cell r="P266">
            <v>7</v>
          </cell>
          <cell r="Q266">
            <v>363.21</v>
          </cell>
          <cell r="S266">
            <v>0.38</v>
          </cell>
          <cell r="T266">
            <v>2475.37</v>
          </cell>
          <cell r="U266">
            <v>175.94</v>
          </cell>
          <cell r="V266">
            <v>7.107624314748906E-2</v>
          </cell>
          <cell r="W266">
            <v>73.22</v>
          </cell>
          <cell r="X266" t="str">
            <v>UPI</v>
          </cell>
          <cell r="Z266">
            <v>4</v>
          </cell>
          <cell r="AA266" t="b">
            <v>0</v>
          </cell>
          <cell r="AC266" t="str">
            <v>Shipped</v>
          </cell>
          <cell r="AE266">
            <v>1</v>
          </cell>
        </row>
        <row r="267">
          <cell r="C267">
            <v>44370</v>
          </cell>
          <cell r="D267" t="str">
            <v>CUST26595</v>
          </cell>
          <cell r="E267" t="str">
            <v>Ananya Gupta</v>
          </cell>
          <cell r="G267">
            <v>40</v>
          </cell>
          <cell r="H267" t="str">
            <v>Adult</v>
          </cell>
          <cell r="J267" t="str">
            <v>Other</v>
          </cell>
          <cell r="K267" t="str">
            <v>Central</v>
          </cell>
          <cell r="L267" t="str">
            <v>Nagpur</v>
          </cell>
          <cell r="M267" t="str">
            <v>Sports</v>
          </cell>
          <cell r="N267" t="str">
            <v>Tennis Racket</v>
          </cell>
          <cell r="P267">
            <v>1</v>
          </cell>
          <cell r="Q267">
            <v>8678.32</v>
          </cell>
          <cell r="S267">
            <v>0.17</v>
          </cell>
          <cell r="T267">
            <v>9630.16</v>
          </cell>
          <cell r="U267">
            <v>2953.14</v>
          </cell>
          <cell r="V267">
            <v>0.30665534113659587</v>
          </cell>
          <cell r="W267">
            <v>33.35</v>
          </cell>
          <cell r="X267" t="str">
            <v>UPI</v>
          </cell>
          <cell r="Z267">
            <v>5</v>
          </cell>
          <cell r="AA267" t="b">
            <v>0</v>
          </cell>
          <cell r="AC267" t="str">
            <v>Delivered</v>
          </cell>
          <cell r="AE267">
            <v>4</v>
          </cell>
        </row>
        <row r="268">
          <cell r="C268">
            <v>44378</v>
          </cell>
          <cell r="D268" t="str">
            <v>CUST22983</v>
          </cell>
          <cell r="E268" t="str">
            <v>Deepa Kapoor</v>
          </cell>
          <cell r="G268">
            <v>40</v>
          </cell>
          <cell r="H268" t="str">
            <v>Adult</v>
          </cell>
          <cell r="J268" t="str">
            <v>Other</v>
          </cell>
          <cell r="K268" t="str">
            <v>South</v>
          </cell>
          <cell r="L268" t="str">
            <v>Bangalore</v>
          </cell>
          <cell r="M268" t="str">
            <v>Clothing</v>
          </cell>
          <cell r="N268" t="str">
            <v>Saree</v>
          </cell>
          <cell r="P268">
            <v>2</v>
          </cell>
          <cell r="Q268">
            <v>738.48</v>
          </cell>
          <cell r="S268">
            <v>0.09</v>
          </cell>
          <cell r="T268">
            <v>1795.94</v>
          </cell>
          <cell r="U268">
            <v>565.89</v>
          </cell>
          <cell r="V268">
            <v>0.31509404545808878</v>
          </cell>
          <cell r="W268">
            <v>67.67</v>
          </cell>
          <cell r="X268" t="str">
            <v>Net Banking</v>
          </cell>
          <cell r="Z268">
            <v>3</v>
          </cell>
          <cell r="AA268" t="b">
            <v>0</v>
          </cell>
          <cell r="AC268" t="str">
            <v>Delivered</v>
          </cell>
          <cell r="AE268">
            <v>7</v>
          </cell>
        </row>
        <row r="269">
          <cell r="C269">
            <v>43905</v>
          </cell>
          <cell r="D269" t="str">
            <v>CUST53622</v>
          </cell>
          <cell r="E269" t="str">
            <v>Aditya Chatterjee</v>
          </cell>
          <cell r="G269">
            <v>31</v>
          </cell>
          <cell r="H269" t="str">
            <v>Young Adult</v>
          </cell>
          <cell r="J269" t="str">
            <v>Male</v>
          </cell>
          <cell r="K269" t="str">
            <v>South</v>
          </cell>
          <cell r="L269" t="str">
            <v>Bangalore</v>
          </cell>
          <cell r="M269" t="str">
            <v>Groceries</v>
          </cell>
          <cell r="N269" t="str">
            <v>Sugar</v>
          </cell>
          <cell r="P269">
            <v>9</v>
          </cell>
          <cell r="Q269">
            <v>236.54</v>
          </cell>
          <cell r="S269">
            <v>0.19</v>
          </cell>
          <cell r="T269">
            <v>1658.66</v>
          </cell>
          <cell r="U269">
            <v>140.16</v>
          </cell>
          <cell r="V269">
            <v>8.4501947355093865E-2</v>
          </cell>
          <cell r="W269">
            <v>101.07</v>
          </cell>
          <cell r="X269" t="str">
            <v>Credit Card</v>
          </cell>
          <cell r="Z269">
            <v>3</v>
          </cell>
          <cell r="AA269" t="b">
            <v>1</v>
          </cell>
          <cell r="AC269" t="str">
            <v>Returned</v>
          </cell>
          <cell r="AE269">
            <v>1</v>
          </cell>
        </row>
        <row r="270">
          <cell r="C270">
            <v>44378</v>
          </cell>
          <cell r="D270" t="str">
            <v>CUST54226</v>
          </cell>
          <cell r="E270" t="str">
            <v>Nisha Mehta</v>
          </cell>
          <cell r="G270">
            <v>33</v>
          </cell>
          <cell r="H270" t="str">
            <v>Young Adult</v>
          </cell>
          <cell r="J270" t="str">
            <v>Male</v>
          </cell>
          <cell r="K270" t="str">
            <v>East</v>
          </cell>
          <cell r="L270" t="str">
            <v>Bhubaneswar</v>
          </cell>
          <cell r="M270" t="str">
            <v>Beauty</v>
          </cell>
          <cell r="N270" t="str">
            <v>Lipstick</v>
          </cell>
          <cell r="P270">
            <v>5</v>
          </cell>
          <cell r="Q270">
            <v>1998.43</v>
          </cell>
          <cell r="S270">
            <v>0.26</v>
          </cell>
          <cell r="T270">
            <v>9047.98</v>
          </cell>
          <cell r="U270">
            <v>4337.88</v>
          </cell>
          <cell r="V270">
            <v>0.47943076797251988</v>
          </cell>
          <cell r="W270">
            <v>79.62</v>
          </cell>
          <cell r="X270" t="str">
            <v>UPI</v>
          </cell>
          <cell r="Z270">
            <v>4</v>
          </cell>
          <cell r="AA270" t="b">
            <v>0</v>
          </cell>
          <cell r="AC270" t="str">
            <v>Shipped</v>
          </cell>
          <cell r="AE270">
            <v>3</v>
          </cell>
        </row>
        <row r="271">
          <cell r="C271">
            <v>45621</v>
          </cell>
          <cell r="D271" t="str">
            <v>CUST88970</v>
          </cell>
          <cell r="E271" t="str">
            <v>Ritu Pillai</v>
          </cell>
          <cell r="G271">
            <v>38</v>
          </cell>
          <cell r="H271" t="str">
            <v>Adult</v>
          </cell>
          <cell r="J271" t="str">
            <v>Other</v>
          </cell>
          <cell r="K271" t="str">
            <v>East</v>
          </cell>
          <cell r="L271" t="str">
            <v>Patna</v>
          </cell>
          <cell r="M271" t="str">
            <v>Electronics</v>
          </cell>
          <cell r="N271" t="str">
            <v>Smartwatch</v>
          </cell>
          <cell r="P271">
            <v>9</v>
          </cell>
          <cell r="Q271">
            <v>76064.53</v>
          </cell>
          <cell r="S271">
            <v>0.25</v>
          </cell>
          <cell r="T271">
            <v>473255.79</v>
          </cell>
          <cell r="U271">
            <v>56343.87</v>
          </cell>
          <cell r="V271">
            <v>0.11905584926916585</v>
          </cell>
          <cell r="W271">
            <v>79.709999999999994</v>
          </cell>
          <cell r="X271" t="str">
            <v>Cash on Delivery</v>
          </cell>
          <cell r="Z271">
            <v>3</v>
          </cell>
          <cell r="AA271" t="b">
            <v>0</v>
          </cell>
          <cell r="AC271" t="str">
            <v>Delivered</v>
          </cell>
          <cell r="AE271">
            <v>1</v>
          </cell>
        </row>
        <row r="272">
          <cell r="C272">
            <v>45215</v>
          </cell>
          <cell r="D272" t="str">
            <v>CUST43688</v>
          </cell>
          <cell r="E272" t="str">
            <v>Amit Iyer</v>
          </cell>
          <cell r="G272">
            <v>49</v>
          </cell>
          <cell r="H272" t="str">
            <v>Adult</v>
          </cell>
          <cell r="J272" t="str">
            <v>Other</v>
          </cell>
          <cell r="K272" t="str">
            <v>North</v>
          </cell>
          <cell r="L272" t="str">
            <v>Delhi</v>
          </cell>
          <cell r="M272" t="str">
            <v>Groceries</v>
          </cell>
          <cell r="N272" t="str">
            <v>Tea</v>
          </cell>
          <cell r="P272">
            <v>1</v>
          </cell>
          <cell r="Q272">
            <v>97.17</v>
          </cell>
          <cell r="S272">
            <v>0.14000000000000001</v>
          </cell>
          <cell r="T272">
            <v>86.02</v>
          </cell>
          <cell r="U272">
            <v>8.27</v>
          </cell>
          <cell r="V272">
            <v>9.6140432457568009E-2</v>
          </cell>
          <cell r="W272">
            <v>46.49</v>
          </cell>
          <cell r="X272" t="str">
            <v>EMI</v>
          </cell>
          <cell r="Z272">
            <v>1</v>
          </cell>
          <cell r="AA272" t="b">
            <v>0</v>
          </cell>
          <cell r="AC272" t="str">
            <v>Delivered</v>
          </cell>
          <cell r="AE272">
            <v>5</v>
          </cell>
        </row>
        <row r="273">
          <cell r="C273">
            <v>44157</v>
          </cell>
          <cell r="D273" t="str">
            <v>CUST97013</v>
          </cell>
          <cell r="E273" t="str">
            <v>Rahul Verma</v>
          </cell>
          <cell r="G273">
            <v>48</v>
          </cell>
          <cell r="H273" t="str">
            <v>Adult</v>
          </cell>
          <cell r="J273" t="str">
            <v>Other</v>
          </cell>
          <cell r="K273" t="str">
            <v>Central</v>
          </cell>
          <cell r="L273" t="str">
            <v>Raipur</v>
          </cell>
          <cell r="M273" t="str">
            <v>Groceries</v>
          </cell>
          <cell r="N273" t="str">
            <v>Cooking Oil</v>
          </cell>
          <cell r="P273">
            <v>9</v>
          </cell>
          <cell r="Q273">
            <v>407.45</v>
          </cell>
          <cell r="S273">
            <v>0.36</v>
          </cell>
          <cell r="T273">
            <v>1769.53</v>
          </cell>
          <cell r="U273">
            <v>149.16</v>
          </cell>
          <cell r="V273">
            <v>8.4293569478901181E-2</v>
          </cell>
          <cell r="W273">
            <v>50.13</v>
          </cell>
          <cell r="X273" t="str">
            <v>Net Banking</v>
          </cell>
          <cell r="Z273">
            <v>1</v>
          </cell>
          <cell r="AA273" t="b">
            <v>1</v>
          </cell>
          <cell r="AC273" t="str">
            <v>Returned</v>
          </cell>
          <cell r="AE273">
            <v>8</v>
          </cell>
        </row>
        <row r="274">
          <cell r="C274">
            <v>44275</v>
          </cell>
          <cell r="D274" t="str">
            <v>CUST76263</v>
          </cell>
          <cell r="E274" t="str">
            <v>Arjun Reddy</v>
          </cell>
          <cell r="G274">
            <v>20</v>
          </cell>
          <cell r="H274" t="str">
            <v>Young Adult</v>
          </cell>
          <cell r="J274" t="str">
            <v>Male</v>
          </cell>
          <cell r="K274" t="str">
            <v>West</v>
          </cell>
          <cell r="L274" t="str">
            <v>Surat</v>
          </cell>
          <cell r="M274" t="str">
            <v>Furniture</v>
          </cell>
          <cell r="N274" t="str">
            <v>Sofa</v>
          </cell>
          <cell r="P274">
            <v>6</v>
          </cell>
          <cell r="Q274">
            <v>5299.05</v>
          </cell>
          <cell r="S274">
            <v>0.13</v>
          </cell>
          <cell r="T274">
            <v>28279.75</v>
          </cell>
          <cell r="U274">
            <v>5506.48</v>
          </cell>
          <cell r="V274">
            <v>0.19471459259717641</v>
          </cell>
          <cell r="W274">
            <v>36.549999999999997</v>
          </cell>
          <cell r="X274" t="str">
            <v>Cash on Delivery</v>
          </cell>
          <cell r="Z274">
            <v>4</v>
          </cell>
          <cell r="AA274" t="b">
            <v>0</v>
          </cell>
          <cell r="AC274" t="str">
            <v>Delivered</v>
          </cell>
          <cell r="AE274">
            <v>7</v>
          </cell>
        </row>
        <row r="275">
          <cell r="C275">
            <v>44459</v>
          </cell>
          <cell r="D275" t="str">
            <v>CUST53724</v>
          </cell>
          <cell r="E275" t="str">
            <v>Kavya Iyer</v>
          </cell>
          <cell r="G275">
            <v>45</v>
          </cell>
          <cell r="H275" t="str">
            <v>Adult</v>
          </cell>
          <cell r="J275" t="str">
            <v>Other</v>
          </cell>
          <cell r="K275" t="str">
            <v>East</v>
          </cell>
          <cell r="L275" t="str">
            <v>Bhubaneswar</v>
          </cell>
          <cell r="M275" t="str">
            <v>Groceries</v>
          </cell>
          <cell r="N275" t="str">
            <v>Dal (1kg)</v>
          </cell>
          <cell r="P275">
            <v>8</v>
          </cell>
          <cell r="Q275">
            <v>126.77</v>
          </cell>
          <cell r="S275">
            <v>0.15</v>
          </cell>
          <cell r="T275">
            <v>930.33</v>
          </cell>
          <cell r="U275">
            <v>66.45</v>
          </cell>
          <cell r="V275">
            <v>7.1426268098416693E-2</v>
          </cell>
          <cell r="W275">
            <v>64.290000000000006</v>
          </cell>
          <cell r="X275" t="str">
            <v>Net Banking</v>
          </cell>
          <cell r="Z275">
            <v>4</v>
          </cell>
          <cell r="AA275" t="b">
            <v>0</v>
          </cell>
          <cell r="AC275" t="str">
            <v>Shipped</v>
          </cell>
          <cell r="AE275">
            <v>2</v>
          </cell>
        </row>
        <row r="276">
          <cell r="C276">
            <v>44901</v>
          </cell>
          <cell r="D276" t="str">
            <v>CUST34028</v>
          </cell>
          <cell r="E276" t="str">
            <v>Vikram Rao</v>
          </cell>
          <cell r="G276">
            <v>14</v>
          </cell>
          <cell r="H276" t="str">
            <v>Teen</v>
          </cell>
          <cell r="J276" t="str">
            <v>Female</v>
          </cell>
          <cell r="K276" t="str">
            <v>East</v>
          </cell>
          <cell r="L276" t="str">
            <v>Guwahati</v>
          </cell>
          <cell r="M276" t="str">
            <v>Electronics</v>
          </cell>
          <cell r="N276" t="str">
            <v>Smartphone</v>
          </cell>
          <cell r="P276">
            <v>1</v>
          </cell>
          <cell r="Q276">
            <v>7708.68</v>
          </cell>
          <cell r="S276">
            <v>0.26</v>
          </cell>
          <cell r="T276">
            <v>4938.4799999999996</v>
          </cell>
          <cell r="U276">
            <v>534.97</v>
          </cell>
          <cell r="V276">
            <v>0.10832685360677781</v>
          </cell>
          <cell r="W276">
            <v>101.65</v>
          </cell>
          <cell r="X276" t="str">
            <v>EMI</v>
          </cell>
          <cell r="Z276">
            <v>2</v>
          </cell>
          <cell r="AA276" t="b">
            <v>0</v>
          </cell>
          <cell r="AC276" t="str">
            <v>Shipped</v>
          </cell>
          <cell r="AE276">
            <v>6</v>
          </cell>
        </row>
        <row r="277">
          <cell r="C277">
            <v>44866</v>
          </cell>
          <cell r="D277" t="str">
            <v>CUST38274</v>
          </cell>
          <cell r="E277" t="str">
            <v>Ananya Shah</v>
          </cell>
          <cell r="G277">
            <v>27</v>
          </cell>
          <cell r="H277" t="str">
            <v>Young Adult</v>
          </cell>
          <cell r="J277" t="str">
            <v>Female</v>
          </cell>
          <cell r="K277" t="str">
            <v>West</v>
          </cell>
          <cell r="L277" t="str">
            <v>Pune</v>
          </cell>
          <cell r="M277" t="str">
            <v>Beauty</v>
          </cell>
          <cell r="N277" t="str">
            <v>Lipstick</v>
          </cell>
          <cell r="P277">
            <v>6</v>
          </cell>
          <cell r="Q277">
            <v>835.52</v>
          </cell>
          <cell r="S277">
            <v>0.01</v>
          </cell>
          <cell r="T277">
            <v>4761.71</v>
          </cell>
          <cell r="U277">
            <v>1237.08</v>
          </cell>
          <cell r="V277">
            <v>0.2597974257147117</v>
          </cell>
          <cell r="W277">
            <v>54.35</v>
          </cell>
          <cell r="X277" t="str">
            <v>Cash on Delivery</v>
          </cell>
          <cell r="Z277">
            <v>3</v>
          </cell>
          <cell r="AA277" t="b">
            <v>0</v>
          </cell>
          <cell r="AC277" t="str">
            <v>Delivered</v>
          </cell>
          <cell r="AE277">
            <v>2</v>
          </cell>
        </row>
        <row r="278">
          <cell r="C278">
            <v>44332</v>
          </cell>
          <cell r="D278" t="str">
            <v>CUST07335</v>
          </cell>
          <cell r="E278" t="str">
            <v>Vikram Kapoor</v>
          </cell>
          <cell r="G278">
            <v>21</v>
          </cell>
          <cell r="H278" t="str">
            <v>Young Adult</v>
          </cell>
          <cell r="J278" t="str">
            <v>Male</v>
          </cell>
          <cell r="K278" t="str">
            <v>East</v>
          </cell>
          <cell r="L278" t="str">
            <v>Guwahati</v>
          </cell>
          <cell r="M278" t="str">
            <v>Sports</v>
          </cell>
          <cell r="N278" t="str">
            <v>Cricket Bat</v>
          </cell>
          <cell r="P278">
            <v>6</v>
          </cell>
          <cell r="Q278">
            <v>3857.03</v>
          </cell>
          <cell r="S278">
            <v>0.3</v>
          </cell>
          <cell r="T278">
            <v>21548.37</v>
          </cell>
          <cell r="U278">
            <v>6137.14</v>
          </cell>
          <cell r="V278">
            <v>0.28480762117969949</v>
          </cell>
          <cell r="W278">
            <v>60.48</v>
          </cell>
          <cell r="X278" t="str">
            <v>Cash on Delivery</v>
          </cell>
          <cell r="Z278">
            <v>2</v>
          </cell>
          <cell r="AA278" t="b">
            <v>0</v>
          </cell>
          <cell r="AC278" t="str">
            <v>Delivered</v>
          </cell>
          <cell r="AE278">
            <v>4</v>
          </cell>
        </row>
        <row r="279">
          <cell r="C279">
            <v>44782</v>
          </cell>
          <cell r="D279" t="str">
            <v>CUST77492</v>
          </cell>
          <cell r="E279" t="str">
            <v>Karan Sharma</v>
          </cell>
          <cell r="G279">
            <v>33</v>
          </cell>
          <cell r="H279" t="str">
            <v>Young Adult</v>
          </cell>
          <cell r="J279" t="str">
            <v>Male</v>
          </cell>
          <cell r="K279" t="str">
            <v>South</v>
          </cell>
          <cell r="L279" t="str">
            <v>Chennai</v>
          </cell>
          <cell r="M279" t="str">
            <v>Clothing</v>
          </cell>
          <cell r="N279" t="str">
            <v>Saree</v>
          </cell>
          <cell r="P279">
            <v>1</v>
          </cell>
          <cell r="Q279">
            <v>1170.22</v>
          </cell>
          <cell r="S279">
            <v>0.37</v>
          </cell>
          <cell r="T279">
            <v>1011.25</v>
          </cell>
          <cell r="U279">
            <v>422.66</v>
          </cell>
          <cell r="V279">
            <v>0.41795797280593328</v>
          </cell>
          <cell r="W279">
            <v>82.03</v>
          </cell>
          <cell r="X279" t="str">
            <v>Debit Card</v>
          </cell>
          <cell r="Z279">
            <v>4</v>
          </cell>
          <cell r="AA279" t="b">
            <v>0</v>
          </cell>
          <cell r="AC279" t="str">
            <v>Delivered</v>
          </cell>
          <cell r="AE279">
            <v>2</v>
          </cell>
        </row>
        <row r="280">
          <cell r="C280">
            <v>44636</v>
          </cell>
          <cell r="D280" t="str">
            <v>CUST58449</v>
          </cell>
          <cell r="E280" t="str">
            <v>Priya Chatterjee</v>
          </cell>
          <cell r="G280">
            <v>34.294220665499125</v>
          </cell>
          <cell r="H280" t="str">
            <v>Young Adult</v>
          </cell>
          <cell r="J280" t="str">
            <v>Female</v>
          </cell>
          <cell r="K280" t="str">
            <v>North</v>
          </cell>
          <cell r="L280" t="str">
            <v>Delhi</v>
          </cell>
          <cell r="M280" t="str">
            <v>Clothing</v>
          </cell>
          <cell r="N280" t="str">
            <v>Jeans</v>
          </cell>
          <cell r="P280">
            <v>5</v>
          </cell>
          <cell r="Q280">
            <v>2505.4</v>
          </cell>
          <cell r="S280">
            <v>0.11</v>
          </cell>
          <cell r="T280">
            <v>12039.52</v>
          </cell>
          <cell r="U280">
            <v>4140.53</v>
          </cell>
          <cell r="V280">
            <v>0.34391155129108136</v>
          </cell>
          <cell r="W280">
            <v>57.65</v>
          </cell>
          <cell r="X280" t="str">
            <v>Cash on Delivery</v>
          </cell>
          <cell r="Z280">
            <v>3</v>
          </cell>
          <cell r="AA280" t="b">
            <v>0</v>
          </cell>
          <cell r="AC280" t="str">
            <v>Delivered</v>
          </cell>
          <cell r="AE280">
            <v>1</v>
          </cell>
        </row>
        <row r="281">
          <cell r="C281">
            <v>45064</v>
          </cell>
          <cell r="D281" t="str">
            <v>CUST80957</v>
          </cell>
          <cell r="E281" t="str">
            <v>Pooja Gupta</v>
          </cell>
          <cell r="G281">
            <v>31</v>
          </cell>
          <cell r="H281" t="str">
            <v>Young Adult</v>
          </cell>
          <cell r="J281" t="str">
            <v>Other</v>
          </cell>
          <cell r="K281" t="str">
            <v>North</v>
          </cell>
          <cell r="L281" t="str">
            <v>Delhi</v>
          </cell>
          <cell r="M281" t="str">
            <v>Electronics</v>
          </cell>
          <cell r="N281" t="str">
            <v>Smartphone</v>
          </cell>
          <cell r="P281">
            <v>2</v>
          </cell>
          <cell r="Q281">
            <v>73267.64</v>
          </cell>
          <cell r="S281">
            <v>0.32</v>
          </cell>
          <cell r="T281">
            <v>142488.63</v>
          </cell>
          <cell r="U281">
            <v>20643.55</v>
          </cell>
          <cell r="V281">
            <v>0.14487857732929285</v>
          </cell>
          <cell r="W281">
            <v>69.989999999999995</v>
          </cell>
          <cell r="X281" t="str">
            <v>Credit Card</v>
          </cell>
          <cell r="Z281">
            <v>2</v>
          </cell>
          <cell r="AA281" t="b">
            <v>0</v>
          </cell>
          <cell r="AC281" t="str">
            <v>Delivered</v>
          </cell>
          <cell r="AE281">
            <v>6</v>
          </cell>
        </row>
        <row r="282">
          <cell r="C282">
            <v>45518</v>
          </cell>
          <cell r="D282" t="str">
            <v>CUST14119</v>
          </cell>
          <cell r="E282" t="str">
            <v>Vikram Verma</v>
          </cell>
          <cell r="G282">
            <v>39</v>
          </cell>
          <cell r="H282" t="str">
            <v>Adult</v>
          </cell>
          <cell r="J282" t="str">
            <v>Female</v>
          </cell>
          <cell r="K282" t="str">
            <v>West</v>
          </cell>
          <cell r="L282" t="str">
            <v>Mumbai</v>
          </cell>
          <cell r="M282" t="str">
            <v>Books</v>
          </cell>
          <cell r="N282" t="str">
            <v>Fiction Novel</v>
          </cell>
          <cell r="P282">
            <v>3</v>
          </cell>
          <cell r="Q282">
            <v>705.21</v>
          </cell>
          <cell r="S282">
            <v>0.14000000000000001</v>
          </cell>
          <cell r="T282">
            <v>2873.31</v>
          </cell>
          <cell r="U282">
            <v>1040.42</v>
          </cell>
          <cell r="V282">
            <v>0.36209806808175937</v>
          </cell>
          <cell r="W282">
            <v>76.63</v>
          </cell>
          <cell r="X282" t="str">
            <v>EMI</v>
          </cell>
          <cell r="Z282">
            <v>1</v>
          </cell>
          <cell r="AA282" t="b">
            <v>0</v>
          </cell>
          <cell r="AC282" t="str">
            <v>Delivered</v>
          </cell>
          <cell r="AE282">
            <v>8</v>
          </cell>
        </row>
        <row r="283">
          <cell r="C283">
            <v>44938</v>
          </cell>
          <cell r="D283" t="str">
            <v>CUST69130</v>
          </cell>
          <cell r="E283" t="str">
            <v>Sunita Pillai</v>
          </cell>
          <cell r="G283">
            <v>48</v>
          </cell>
          <cell r="H283" t="str">
            <v>Adult</v>
          </cell>
          <cell r="J283" t="str">
            <v>Other</v>
          </cell>
          <cell r="K283" t="str">
            <v>North</v>
          </cell>
          <cell r="L283" t="str">
            <v>Amritsar</v>
          </cell>
          <cell r="M283" t="str">
            <v>Sports</v>
          </cell>
          <cell r="N283" t="str">
            <v>Yoga Mat</v>
          </cell>
          <cell r="P283">
            <v>6</v>
          </cell>
          <cell r="Q283">
            <v>13916.75</v>
          </cell>
          <cell r="S283">
            <v>0.25</v>
          </cell>
          <cell r="T283">
            <v>54342.29</v>
          </cell>
          <cell r="U283">
            <v>12305.07</v>
          </cell>
          <cell r="V283">
            <v>0.22643635371273457</v>
          </cell>
          <cell r="W283">
            <v>38.89</v>
          </cell>
          <cell r="X283" t="str">
            <v>UPI</v>
          </cell>
          <cell r="Z283">
            <v>4</v>
          </cell>
          <cell r="AA283" t="b">
            <v>0</v>
          </cell>
          <cell r="AC283" t="str">
            <v>Pending</v>
          </cell>
          <cell r="AE283">
            <v>5</v>
          </cell>
        </row>
        <row r="284">
          <cell r="C284">
            <v>44788</v>
          </cell>
          <cell r="D284" t="str">
            <v>CUST61790</v>
          </cell>
          <cell r="E284" t="str">
            <v>Amit Kumar</v>
          </cell>
          <cell r="G284">
            <v>32</v>
          </cell>
          <cell r="H284" t="str">
            <v>Young Adult</v>
          </cell>
          <cell r="J284" t="str">
            <v>Other</v>
          </cell>
          <cell r="K284" t="str">
            <v>East</v>
          </cell>
          <cell r="L284" t="str">
            <v>Kolkata</v>
          </cell>
          <cell r="M284" t="str">
            <v>Furniture</v>
          </cell>
          <cell r="N284" t="str">
            <v>Sofa</v>
          </cell>
          <cell r="P284">
            <v>3</v>
          </cell>
          <cell r="Q284">
            <v>23445.9</v>
          </cell>
          <cell r="S284">
            <v>0.31</v>
          </cell>
          <cell r="T284">
            <v>60026.42</v>
          </cell>
          <cell r="U284">
            <v>15012.25</v>
          </cell>
          <cell r="V284">
            <v>0.25009404192353968</v>
          </cell>
          <cell r="W284">
            <v>54.92</v>
          </cell>
          <cell r="X284" t="str">
            <v>Credit Card</v>
          </cell>
          <cell r="Z284">
            <v>1</v>
          </cell>
          <cell r="AA284" t="b">
            <v>1</v>
          </cell>
          <cell r="AC284" t="str">
            <v>Returned</v>
          </cell>
          <cell r="AE284">
            <v>7</v>
          </cell>
        </row>
        <row r="285">
          <cell r="C285">
            <v>44714</v>
          </cell>
          <cell r="D285" t="str">
            <v>CUST60137</v>
          </cell>
          <cell r="E285" t="str">
            <v>Sanjay Sharma</v>
          </cell>
          <cell r="G285">
            <v>35</v>
          </cell>
          <cell r="H285" t="str">
            <v>Young Adult</v>
          </cell>
          <cell r="J285" t="str">
            <v>Female</v>
          </cell>
          <cell r="K285" t="str">
            <v>East</v>
          </cell>
          <cell r="L285" t="str">
            <v>Patna</v>
          </cell>
          <cell r="M285" t="str">
            <v>Sports</v>
          </cell>
          <cell r="N285" t="str">
            <v>Cricket Bat</v>
          </cell>
          <cell r="P285">
            <v>6</v>
          </cell>
          <cell r="Q285">
            <v>6661.26</v>
          </cell>
          <cell r="S285">
            <v>0.13</v>
          </cell>
          <cell r="T285">
            <v>55550.3</v>
          </cell>
          <cell r="U285">
            <v>11352.36</v>
          </cell>
          <cell r="V285">
            <v>0.20436181262747455</v>
          </cell>
          <cell r="W285">
            <v>99.9</v>
          </cell>
          <cell r="X285" t="str">
            <v>Cash on Delivery</v>
          </cell>
          <cell r="Z285">
            <v>2</v>
          </cell>
          <cell r="AA285" t="b">
            <v>0</v>
          </cell>
          <cell r="AC285" t="str">
            <v>Delivered</v>
          </cell>
          <cell r="AE285">
            <v>8</v>
          </cell>
        </row>
        <row r="286">
          <cell r="C286">
            <v>45147</v>
          </cell>
          <cell r="D286" t="str">
            <v>CUST48817</v>
          </cell>
          <cell r="E286" t="str">
            <v>Karan Singh</v>
          </cell>
          <cell r="G286">
            <v>25</v>
          </cell>
          <cell r="H286" t="str">
            <v>Young Adult</v>
          </cell>
          <cell r="J286" t="str">
            <v>Male</v>
          </cell>
          <cell r="K286" t="str">
            <v>North</v>
          </cell>
          <cell r="L286" t="str">
            <v>Amritsar</v>
          </cell>
          <cell r="M286" t="str">
            <v>Clothing</v>
          </cell>
          <cell r="N286" t="str">
            <v>Saree</v>
          </cell>
          <cell r="P286">
            <v>2</v>
          </cell>
          <cell r="Q286">
            <v>3266.34</v>
          </cell>
          <cell r="S286">
            <v>0</v>
          </cell>
          <cell r="T286">
            <v>9066.91</v>
          </cell>
          <cell r="U286">
            <v>3755.8</v>
          </cell>
          <cell r="V286">
            <v>0.41423152981556011</v>
          </cell>
          <cell r="W286">
            <v>51.58</v>
          </cell>
          <cell r="X286" t="str">
            <v>Cash on Delivery</v>
          </cell>
          <cell r="Z286">
            <v>5</v>
          </cell>
          <cell r="AA286" t="b">
            <v>0</v>
          </cell>
          <cell r="AC286" t="str">
            <v>Delivered</v>
          </cell>
          <cell r="AE286">
            <v>1</v>
          </cell>
        </row>
        <row r="287">
          <cell r="C287">
            <v>45303</v>
          </cell>
          <cell r="D287" t="str">
            <v>CUST76705</v>
          </cell>
          <cell r="E287" t="str">
            <v>Meera Das</v>
          </cell>
          <cell r="G287">
            <v>42</v>
          </cell>
          <cell r="H287" t="str">
            <v>Adult</v>
          </cell>
          <cell r="J287" t="str">
            <v>Male</v>
          </cell>
          <cell r="K287" t="str">
            <v>South</v>
          </cell>
          <cell r="L287" t="str">
            <v>Chennai</v>
          </cell>
          <cell r="M287" t="str">
            <v>Beauty</v>
          </cell>
          <cell r="N287" t="str">
            <v>Sunscreen</v>
          </cell>
          <cell r="P287">
            <v>1</v>
          </cell>
          <cell r="Q287">
            <v>2339.83</v>
          </cell>
          <cell r="S287">
            <v>0.03</v>
          </cell>
          <cell r="T287">
            <v>2319.17</v>
          </cell>
          <cell r="U287">
            <v>1351.82</v>
          </cell>
          <cell r="V287">
            <v>0.58288956825071037</v>
          </cell>
          <cell r="W287">
            <v>88.12</v>
          </cell>
          <cell r="X287" t="str">
            <v>Net Banking</v>
          </cell>
          <cell r="Z287">
            <v>3</v>
          </cell>
          <cell r="AA287" t="b">
            <v>0</v>
          </cell>
          <cell r="AC287" t="str">
            <v>Delivered</v>
          </cell>
          <cell r="AE287">
            <v>10</v>
          </cell>
        </row>
        <row r="288">
          <cell r="C288">
            <v>44711</v>
          </cell>
          <cell r="D288" t="str">
            <v>CUST25027</v>
          </cell>
          <cell r="E288" t="str">
            <v>Nisha Mishra</v>
          </cell>
          <cell r="G288">
            <v>24</v>
          </cell>
          <cell r="H288" t="str">
            <v>Young Adult</v>
          </cell>
          <cell r="J288" t="str">
            <v>Female</v>
          </cell>
          <cell r="K288" t="str">
            <v>East</v>
          </cell>
          <cell r="L288" t="str">
            <v>Bhubaneswar</v>
          </cell>
          <cell r="M288" t="str">
            <v>Beauty</v>
          </cell>
          <cell r="N288" t="str">
            <v>Hair Oil</v>
          </cell>
          <cell r="P288">
            <v>8</v>
          </cell>
          <cell r="Q288">
            <v>1075.32</v>
          </cell>
          <cell r="S288">
            <v>0.25</v>
          </cell>
          <cell r="T288">
            <v>9458.9500000000007</v>
          </cell>
          <cell r="U288">
            <v>4920.3500000000004</v>
          </cell>
          <cell r="V288">
            <v>0.5201793010852156</v>
          </cell>
          <cell r="W288">
            <v>101.65</v>
          </cell>
          <cell r="X288" t="str">
            <v>Credit Card</v>
          </cell>
          <cell r="Z288">
            <v>1</v>
          </cell>
          <cell r="AA288" t="b">
            <v>1</v>
          </cell>
          <cell r="AC288" t="str">
            <v>Returned</v>
          </cell>
          <cell r="AE288">
            <v>8</v>
          </cell>
        </row>
        <row r="289">
          <cell r="C289">
            <v>43972</v>
          </cell>
          <cell r="D289" t="str">
            <v>CUST34894</v>
          </cell>
          <cell r="E289" t="str">
            <v>Ritu Mehta</v>
          </cell>
          <cell r="G289">
            <v>32</v>
          </cell>
          <cell r="H289" t="str">
            <v>Young Adult</v>
          </cell>
          <cell r="J289" t="str">
            <v>Other</v>
          </cell>
          <cell r="K289" t="str">
            <v>East</v>
          </cell>
          <cell r="L289" t="str">
            <v>Guwahati</v>
          </cell>
          <cell r="M289" t="str">
            <v>Electronics</v>
          </cell>
          <cell r="N289" t="str">
            <v>Smartwatch</v>
          </cell>
          <cell r="P289">
            <v>7.0954861111111107</v>
          </cell>
          <cell r="Q289">
            <v>59036.18</v>
          </cell>
          <cell r="S289">
            <v>0.38</v>
          </cell>
          <cell r="T289">
            <v>48186.78</v>
          </cell>
          <cell r="U289">
            <v>5073.5</v>
          </cell>
          <cell r="V289">
            <v>0.10528821390431152</v>
          </cell>
          <cell r="W289">
            <v>67</v>
          </cell>
          <cell r="X289" t="str">
            <v>Net Banking</v>
          </cell>
          <cell r="Z289">
            <v>4</v>
          </cell>
          <cell r="AA289" t="b">
            <v>0</v>
          </cell>
          <cell r="AC289" t="str">
            <v>Delivered</v>
          </cell>
          <cell r="AE289">
            <v>3</v>
          </cell>
        </row>
        <row r="290">
          <cell r="C290">
            <v>45588</v>
          </cell>
          <cell r="D290" t="str">
            <v>CUST98496</v>
          </cell>
          <cell r="E290" t="str">
            <v>Nisha Singh</v>
          </cell>
          <cell r="G290">
            <v>27</v>
          </cell>
          <cell r="H290" t="str">
            <v>Young Adult</v>
          </cell>
          <cell r="J290" t="str">
            <v>Other</v>
          </cell>
          <cell r="K290" t="str">
            <v>Central</v>
          </cell>
          <cell r="L290" t="str">
            <v>Indore</v>
          </cell>
          <cell r="M290" t="str">
            <v>Groceries</v>
          </cell>
          <cell r="N290" t="str">
            <v>Flour</v>
          </cell>
          <cell r="P290">
            <v>8</v>
          </cell>
          <cell r="Q290">
            <v>174.02</v>
          </cell>
          <cell r="S290">
            <v>0.14000000000000001</v>
          </cell>
          <cell r="T290">
            <v>1362</v>
          </cell>
          <cell r="U290">
            <v>107.89</v>
          </cell>
          <cell r="V290">
            <v>7.9214390602055804E-2</v>
          </cell>
          <cell r="W290">
            <v>40.35</v>
          </cell>
          <cell r="X290" t="str">
            <v>Cash on Delivery</v>
          </cell>
          <cell r="Z290">
            <v>5</v>
          </cell>
          <cell r="AA290" t="b">
            <v>0</v>
          </cell>
          <cell r="AC290" t="str">
            <v>Delivered</v>
          </cell>
          <cell r="AE290">
            <v>10</v>
          </cell>
        </row>
        <row r="291">
          <cell r="C291">
            <v>44787</v>
          </cell>
          <cell r="D291" t="str">
            <v>CUST47298</v>
          </cell>
          <cell r="E291" t="str">
            <v>Shreya Gupta</v>
          </cell>
          <cell r="G291">
            <v>36</v>
          </cell>
          <cell r="H291" t="str">
            <v>Adult</v>
          </cell>
          <cell r="J291" t="str">
            <v>Other</v>
          </cell>
          <cell r="K291" t="str">
            <v>North</v>
          </cell>
          <cell r="L291" t="str">
            <v>Amritsar</v>
          </cell>
          <cell r="M291" t="str">
            <v>Books</v>
          </cell>
          <cell r="N291" t="str">
            <v>Comic Book</v>
          </cell>
          <cell r="P291">
            <v>1</v>
          </cell>
          <cell r="Q291">
            <v>1129.04</v>
          </cell>
          <cell r="S291">
            <v>0.28000000000000003</v>
          </cell>
          <cell r="T291">
            <v>1081.22</v>
          </cell>
          <cell r="U291">
            <v>412.61</v>
          </cell>
          <cell r="V291">
            <v>0.3816152124452008</v>
          </cell>
          <cell r="W291">
            <v>40.43</v>
          </cell>
          <cell r="X291" t="str">
            <v>Net Banking</v>
          </cell>
          <cell r="Z291">
            <v>1</v>
          </cell>
          <cell r="AA291" t="b">
            <v>1</v>
          </cell>
          <cell r="AC291" t="str">
            <v>Returned</v>
          </cell>
          <cell r="AE291">
            <v>10</v>
          </cell>
        </row>
        <row r="292">
          <cell r="C292">
            <v>45439</v>
          </cell>
          <cell r="D292" t="str">
            <v>CUST91203</v>
          </cell>
          <cell r="E292" t="str">
            <v>Arjun Verma</v>
          </cell>
          <cell r="G292">
            <v>32</v>
          </cell>
          <cell r="H292" t="str">
            <v>Young Adult</v>
          </cell>
          <cell r="J292" t="str">
            <v>Other</v>
          </cell>
          <cell r="K292" t="str">
            <v>West</v>
          </cell>
          <cell r="L292" t="str">
            <v>Mumbai</v>
          </cell>
          <cell r="M292" t="str">
            <v>Beauty</v>
          </cell>
          <cell r="N292" t="str">
            <v>Sunscreen</v>
          </cell>
          <cell r="P292">
            <v>4</v>
          </cell>
          <cell r="Q292">
            <v>722.47</v>
          </cell>
          <cell r="S292">
            <v>0.19</v>
          </cell>
          <cell r="T292">
            <v>4358.7299999999996</v>
          </cell>
          <cell r="U292">
            <v>1526.73</v>
          </cell>
          <cell r="V292">
            <v>0.35026945922321412</v>
          </cell>
          <cell r="W292">
            <v>71.989999999999995</v>
          </cell>
          <cell r="X292" t="str">
            <v>EMI</v>
          </cell>
          <cell r="Z292">
            <v>1</v>
          </cell>
          <cell r="AA292" t="b">
            <v>0</v>
          </cell>
          <cell r="AC292" t="str">
            <v>Cancelled</v>
          </cell>
          <cell r="AE292">
            <v>7</v>
          </cell>
        </row>
        <row r="293">
          <cell r="C293">
            <v>44420</v>
          </cell>
          <cell r="D293" t="str">
            <v>CUST22985</v>
          </cell>
          <cell r="E293" t="str">
            <v>Amit Pillai</v>
          </cell>
          <cell r="G293">
            <v>22</v>
          </cell>
          <cell r="H293" t="str">
            <v>Young Adult</v>
          </cell>
          <cell r="J293" t="str">
            <v>Male</v>
          </cell>
          <cell r="K293" t="str">
            <v>North</v>
          </cell>
          <cell r="L293" t="str">
            <v>Delhi</v>
          </cell>
          <cell r="M293" t="str">
            <v>Beauty</v>
          </cell>
          <cell r="N293" t="str">
            <v>Sunscreen</v>
          </cell>
          <cell r="P293">
            <v>2</v>
          </cell>
          <cell r="Q293">
            <v>542.62</v>
          </cell>
          <cell r="S293">
            <v>0.14000000000000001</v>
          </cell>
          <cell r="T293">
            <v>971.77</v>
          </cell>
          <cell r="U293">
            <v>443.38</v>
          </cell>
          <cell r="V293">
            <v>0.45626022618520845</v>
          </cell>
          <cell r="W293">
            <v>61.76</v>
          </cell>
          <cell r="X293" t="str">
            <v>UPI</v>
          </cell>
          <cell r="Z293">
            <v>4</v>
          </cell>
          <cell r="AA293" t="b">
            <v>0</v>
          </cell>
          <cell r="AC293" t="str">
            <v>Delivered</v>
          </cell>
          <cell r="AE293">
            <v>3</v>
          </cell>
        </row>
        <row r="294">
          <cell r="C294">
            <v>44194</v>
          </cell>
          <cell r="D294" t="str">
            <v>CUST04732</v>
          </cell>
          <cell r="E294" t="str">
            <v>Nisha Joshi</v>
          </cell>
          <cell r="G294">
            <v>38</v>
          </cell>
          <cell r="H294" t="str">
            <v>Adult</v>
          </cell>
          <cell r="J294" t="str">
            <v>Male</v>
          </cell>
          <cell r="K294" t="str">
            <v>South</v>
          </cell>
          <cell r="L294" t="str">
            <v>Chennai</v>
          </cell>
          <cell r="M294" t="str">
            <v>Beauty</v>
          </cell>
          <cell r="N294" t="str">
            <v>Face Cream</v>
          </cell>
          <cell r="P294">
            <v>4</v>
          </cell>
          <cell r="Q294">
            <v>197.52</v>
          </cell>
          <cell r="S294">
            <v>0.35</v>
          </cell>
          <cell r="T294">
            <v>379.18</v>
          </cell>
          <cell r="U294">
            <v>169.93</v>
          </cell>
          <cell r="V294">
            <v>0.44815127380136083</v>
          </cell>
          <cell r="W294">
            <v>61.28</v>
          </cell>
          <cell r="X294" t="str">
            <v>EMI</v>
          </cell>
          <cell r="Z294">
            <v>3</v>
          </cell>
          <cell r="AA294" t="b">
            <v>0</v>
          </cell>
          <cell r="AC294" t="str">
            <v>Delivered</v>
          </cell>
          <cell r="AE294">
            <v>2</v>
          </cell>
        </row>
        <row r="295">
          <cell r="C295">
            <v>43842</v>
          </cell>
          <cell r="D295" t="str">
            <v>CUST21613</v>
          </cell>
          <cell r="E295" t="str">
            <v>Arjun Das</v>
          </cell>
          <cell r="G295">
            <v>49</v>
          </cell>
          <cell r="H295" t="str">
            <v>Adult</v>
          </cell>
          <cell r="J295" t="str">
            <v>Other</v>
          </cell>
          <cell r="K295" t="str">
            <v>West</v>
          </cell>
          <cell r="L295" t="str">
            <v>Mumbai</v>
          </cell>
          <cell r="M295" t="str">
            <v>Groceries</v>
          </cell>
          <cell r="N295" t="str">
            <v>Flour</v>
          </cell>
          <cell r="P295">
            <v>7.0954861111111107</v>
          </cell>
          <cell r="Q295">
            <v>315.85000000000002</v>
          </cell>
          <cell r="S295">
            <v>0.13</v>
          </cell>
          <cell r="T295">
            <v>203.41</v>
          </cell>
          <cell r="U295">
            <v>13.82</v>
          </cell>
          <cell r="V295">
            <v>6.7941595791750659E-2</v>
          </cell>
          <cell r="W295">
            <v>60.46</v>
          </cell>
          <cell r="X295" t="str">
            <v>Cash on Delivery</v>
          </cell>
          <cell r="Z295">
            <v>5</v>
          </cell>
          <cell r="AA295" t="b">
            <v>0</v>
          </cell>
          <cell r="AC295" t="str">
            <v>Delivered</v>
          </cell>
          <cell r="AE295">
            <v>10</v>
          </cell>
        </row>
        <row r="296">
          <cell r="C296">
            <v>44984</v>
          </cell>
          <cell r="D296" t="str">
            <v>CUST82371</v>
          </cell>
          <cell r="E296" t="str">
            <v>Kavya Nair</v>
          </cell>
          <cell r="G296">
            <v>49</v>
          </cell>
          <cell r="H296" t="str">
            <v>Adult</v>
          </cell>
          <cell r="J296" t="str">
            <v>Male</v>
          </cell>
          <cell r="K296" t="str">
            <v>East</v>
          </cell>
          <cell r="L296" t="str">
            <v>Patna</v>
          </cell>
          <cell r="M296" t="str">
            <v>Groceries</v>
          </cell>
          <cell r="N296" t="str">
            <v>Dal (1kg)</v>
          </cell>
          <cell r="P296">
            <v>4</v>
          </cell>
          <cell r="Q296">
            <v>230.58</v>
          </cell>
          <cell r="S296">
            <v>0.17</v>
          </cell>
          <cell r="T296">
            <v>768.3</v>
          </cell>
          <cell r="U296">
            <v>50.26</v>
          </cell>
          <cell r="V296">
            <v>6.5417154757256277E-2</v>
          </cell>
          <cell r="W296">
            <v>81.52</v>
          </cell>
          <cell r="X296" t="str">
            <v>UPI</v>
          </cell>
          <cell r="Z296">
            <v>1</v>
          </cell>
          <cell r="AA296" t="b">
            <v>0</v>
          </cell>
          <cell r="AC296" t="str">
            <v>Delivered</v>
          </cell>
          <cell r="AE296">
            <v>1</v>
          </cell>
        </row>
        <row r="297">
          <cell r="C297">
            <v>44674</v>
          </cell>
          <cell r="D297" t="str">
            <v>CUST58083</v>
          </cell>
          <cell r="E297" t="str">
            <v>Sanjay Kapoor</v>
          </cell>
          <cell r="G297">
            <v>31</v>
          </cell>
          <cell r="H297" t="str">
            <v>Young Adult</v>
          </cell>
          <cell r="J297" t="str">
            <v>Male</v>
          </cell>
          <cell r="K297" t="str">
            <v>Central</v>
          </cell>
          <cell r="L297" t="str">
            <v>Raipur</v>
          </cell>
          <cell r="M297" t="str">
            <v>Sports</v>
          </cell>
          <cell r="N297" t="str">
            <v>Cricket Bat</v>
          </cell>
          <cell r="P297">
            <v>6</v>
          </cell>
          <cell r="Q297">
            <v>12397.94</v>
          </cell>
          <cell r="S297">
            <v>0.35</v>
          </cell>
          <cell r="T297">
            <v>69539.73</v>
          </cell>
          <cell r="U297">
            <v>14673.82</v>
          </cell>
          <cell r="V297">
            <v>0.21101347388032712</v>
          </cell>
          <cell r="W297">
            <v>51.27</v>
          </cell>
          <cell r="X297" t="str">
            <v>UPI</v>
          </cell>
          <cell r="Z297">
            <v>2</v>
          </cell>
          <cell r="AA297" t="b">
            <v>0</v>
          </cell>
          <cell r="AC297" t="str">
            <v>Delivered</v>
          </cell>
          <cell r="AE297">
            <v>1</v>
          </cell>
        </row>
        <row r="298">
          <cell r="C298">
            <v>44178</v>
          </cell>
          <cell r="D298" t="str">
            <v>CUST94306</v>
          </cell>
          <cell r="E298" t="str">
            <v>Shreya Kapoor</v>
          </cell>
          <cell r="G298">
            <v>19</v>
          </cell>
          <cell r="H298" t="str">
            <v>Teen</v>
          </cell>
          <cell r="J298" t="str">
            <v>Female</v>
          </cell>
          <cell r="K298" t="str">
            <v>North</v>
          </cell>
          <cell r="L298" t="str">
            <v>Amritsar</v>
          </cell>
          <cell r="M298" t="str">
            <v>Books</v>
          </cell>
          <cell r="N298" t="str">
            <v>Fiction Novel</v>
          </cell>
          <cell r="P298">
            <v>6</v>
          </cell>
          <cell r="Q298">
            <v>526.32000000000005</v>
          </cell>
          <cell r="S298">
            <v>0.14000000000000001</v>
          </cell>
          <cell r="T298">
            <v>1927.61</v>
          </cell>
          <cell r="U298">
            <v>588.73</v>
          </cell>
          <cell r="V298">
            <v>0.30541966476621313</v>
          </cell>
          <cell r="W298">
            <v>49.68</v>
          </cell>
          <cell r="X298" t="str">
            <v>Credit Card</v>
          </cell>
          <cell r="Z298">
            <v>3</v>
          </cell>
          <cell r="AA298" t="b">
            <v>1</v>
          </cell>
          <cell r="AC298" t="str">
            <v>Returned</v>
          </cell>
          <cell r="AE298">
            <v>3</v>
          </cell>
        </row>
        <row r="299">
          <cell r="C299">
            <v>45494</v>
          </cell>
          <cell r="D299" t="str">
            <v>CUST13500</v>
          </cell>
          <cell r="E299" t="str">
            <v>Amit Patel</v>
          </cell>
          <cell r="G299">
            <v>26</v>
          </cell>
          <cell r="H299" t="str">
            <v>Young Adult</v>
          </cell>
          <cell r="J299" t="str">
            <v>Other</v>
          </cell>
          <cell r="K299" t="str">
            <v>North</v>
          </cell>
          <cell r="L299" t="str">
            <v>Chandigarh</v>
          </cell>
          <cell r="M299" t="str">
            <v>Groceries</v>
          </cell>
          <cell r="N299" t="str">
            <v>Flour</v>
          </cell>
          <cell r="P299">
            <v>6</v>
          </cell>
          <cell r="Q299">
            <v>112.85</v>
          </cell>
          <cell r="S299">
            <v>0.13</v>
          </cell>
          <cell r="T299">
            <v>1196.1099999999999</v>
          </cell>
          <cell r="U299">
            <v>116.49</v>
          </cell>
          <cell r="V299">
            <v>9.7390708212455379E-2</v>
          </cell>
          <cell r="W299">
            <v>40.89</v>
          </cell>
          <cell r="X299" t="str">
            <v>Cash on Delivery</v>
          </cell>
          <cell r="Z299">
            <v>5</v>
          </cell>
          <cell r="AA299" t="b">
            <v>1</v>
          </cell>
          <cell r="AC299" t="str">
            <v>Returned</v>
          </cell>
          <cell r="AE299">
            <v>8</v>
          </cell>
        </row>
        <row r="300">
          <cell r="C300">
            <v>45142</v>
          </cell>
          <cell r="D300" t="str">
            <v>CUST15879</v>
          </cell>
          <cell r="E300" t="str">
            <v>Kavya Pillai</v>
          </cell>
          <cell r="G300">
            <v>24</v>
          </cell>
          <cell r="H300" t="str">
            <v>Young Adult</v>
          </cell>
          <cell r="J300" t="str">
            <v>Other</v>
          </cell>
          <cell r="K300" t="str">
            <v>North</v>
          </cell>
          <cell r="L300" t="str">
            <v>Delhi</v>
          </cell>
          <cell r="M300" t="str">
            <v>Groceries</v>
          </cell>
          <cell r="N300" t="str">
            <v>Flour</v>
          </cell>
          <cell r="P300">
            <v>6</v>
          </cell>
          <cell r="Q300">
            <v>184.04</v>
          </cell>
          <cell r="S300">
            <v>0.32</v>
          </cell>
          <cell r="T300">
            <v>1193.08</v>
          </cell>
          <cell r="U300">
            <v>80.930000000000007</v>
          </cell>
          <cell r="V300">
            <v>6.7832836021054763E-2</v>
          </cell>
          <cell r="W300">
            <v>70.55</v>
          </cell>
          <cell r="X300" t="str">
            <v>Credit Card</v>
          </cell>
          <cell r="Z300">
            <v>5</v>
          </cell>
          <cell r="AA300" t="b">
            <v>0</v>
          </cell>
          <cell r="AC300" t="str">
            <v>Delivered</v>
          </cell>
          <cell r="AE300">
            <v>1</v>
          </cell>
        </row>
        <row r="301">
          <cell r="C301">
            <v>45045</v>
          </cell>
          <cell r="D301" t="str">
            <v>CUST13741</v>
          </cell>
          <cell r="E301" t="str">
            <v>Meera Verma</v>
          </cell>
          <cell r="G301">
            <v>30</v>
          </cell>
          <cell r="H301" t="str">
            <v>Young Adult</v>
          </cell>
          <cell r="J301" t="str">
            <v>Female</v>
          </cell>
          <cell r="K301" t="str">
            <v>East</v>
          </cell>
          <cell r="L301" t="str">
            <v>Guwahati</v>
          </cell>
          <cell r="M301" t="str">
            <v>Beauty</v>
          </cell>
          <cell r="N301" t="str">
            <v>Hair Oil</v>
          </cell>
          <cell r="P301">
            <v>7</v>
          </cell>
          <cell r="Q301">
            <v>1050.3800000000001</v>
          </cell>
          <cell r="S301">
            <v>0.06</v>
          </cell>
          <cell r="T301">
            <v>8746.39</v>
          </cell>
          <cell r="U301">
            <v>3436.69</v>
          </cell>
          <cell r="V301">
            <v>0.39292668175098527</v>
          </cell>
          <cell r="W301">
            <v>85.61</v>
          </cell>
          <cell r="X301" t="str">
            <v>Debit Card</v>
          </cell>
          <cell r="Z301">
            <v>3</v>
          </cell>
          <cell r="AA301" t="b">
            <v>0</v>
          </cell>
          <cell r="AC301" t="str">
            <v>Delivered</v>
          </cell>
          <cell r="AE301">
            <v>5</v>
          </cell>
        </row>
        <row r="302">
          <cell r="C302">
            <v>45136</v>
          </cell>
          <cell r="D302" t="str">
            <v>CUST35539</v>
          </cell>
          <cell r="E302" t="str">
            <v>Karan Reddy</v>
          </cell>
          <cell r="G302">
            <v>31</v>
          </cell>
          <cell r="H302" t="str">
            <v>Young Adult</v>
          </cell>
          <cell r="J302" t="str">
            <v>Female</v>
          </cell>
          <cell r="K302" t="str">
            <v>South</v>
          </cell>
          <cell r="L302" t="str">
            <v>Kochi</v>
          </cell>
          <cell r="M302" t="str">
            <v>Sports</v>
          </cell>
          <cell r="N302" t="str">
            <v>Dumbbells</v>
          </cell>
          <cell r="P302">
            <v>7.0954861111111107</v>
          </cell>
          <cell r="Q302">
            <v>8903.5499999999993</v>
          </cell>
          <cell r="S302">
            <v>0.12</v>
          </cell>
          <cell r="T302">
            <v>11991.16</v>
          </cell>
          <cell r="U302">
            <v>1852.66</v>
          </cell>
          <cell r="V302">
            <v>0.15450214991710562</v>
          </cell>
          <cell r="W302">
            <v>64.95</v>
          </cell>
          <cell r="X302" t="str">
            <v>Debit Card</v>
          </cell>
          <cell r="Z302">
            <v>3</v>
          </cell>
          <cell r="AA302" t="b">
            <v>1</v>
          </cell>
          <cell r="AC302" t="str">
            <v>Returned</v>
          </cell>
          <cell r="AE302">
            <v>7</v>
          </cell>
        </row>
        <row r="303">
          <cell r="C303">
            <v>44423</v>
          </cell>
          <cell r="D303" t="str">
            <v>CUST59067</v>
          </cell>
          <cell r="E303" t="str">
            <v>Nikhil Gupta</v>
          </cell>
          <cell r="G303">
            <v>49</v>
          </cell>
          <cell r="H303" t="str">
            <v>Adult</v>
          </cell>
          <cell r="J303" t="str">
            <v>Male</v>
          </cell>
          <cell r="K303" t="str">
            <v>Central</v>
          </cell>
          <cell r="L303" t="str">
            <v>Raipur</v>
          </cell>
          <cell r="M303" t="str">
            <v>Beauty</v>
          </cell>
          <cell r="N303" t="str">
            <v>Hair Oil</v>
          </cell>
          <cell r="P303">
            <v>4</v>
          </cell>
          <cell r="Q303">
            <v>525.04999999999995</v>
          </cell>
          <cell r="S303">
            <v>0.02</v>
          </cell>
          <cell r="T303">
            <v>2333.9899999999998</v>
          </cell>
          <cell r="U303">
            <v>964.12</v>
          </cell>
          <cell r="V303">
            <v>0.413078033753358</v>
          </cell>
          <cell r="W303">
            <v>71.8</v>
          </cell>
          <cell r="X303" t="str">
            <v>EMI</v>
          </cell>
          <cell r="Z303">
            <v>5</v>
          </cell>
          <cell r="AA303" t="b">
            <v>0</v>
          </cell>
          <cell r="AC303" t="str">
            <v>Delivered</v>
          </cell>
          <cell r="AE303">
            <v>1</v>
          </cell>
        </row>
        <row r="304">
          <cell r="C304">
            <v>45399</v>
          </cell>
          <cell r="D304" t="str">
            <v>CUST16934</v>
          </cell>
          <cell r="E304" t="str">
            <v>Nisha Das</v>
          </cell>
          <cell r="G304">
            <v>26</v>
          </cell>
          <cell r="H304" t="str">
            <v>Young Adult</v>
          </cell>
          <cell r="J304" t="str">
            <v>Other</v>
          </cell>
          <cell r="K304" t="str">
            <v>Central</v>
          </cell>
          <cell r="L304" t="str">
            <v>Indore</v>
          </cell>
          <cell r="M304" t="str">
            <v>Clothing</v>
          </cell>
          <cell r="N304" t="str">
            <v>Jeans</v>
          </cell>
          <cell r="P304">
            <v>5</v>
          </cell>
          <cell r="Q304">
            <v>3541.45</v>
          </cell>
          <cell r="S304">
            <v>0.23</v>
          </cell>
          <cell r="T304">
            <v>19925.91</v>
          </cell>
          <cell r="U304">
            <v>8625.6200000000008</v>
          </cell>
          <cell r="V304">
            <v>0.43288462107878639</v>
          </cell>
          <cell r="W304">
            <v>58</v>
          </cell>
          <cell r="X304" t="str">
            <v>Cash on Delivery</v>
          </cell>
          <cell r="Z304">
            <v>3</v>
          </cell>
          <cell r="AA304" t="b">
            <v>0</v>
          </cell>
          <cell r="AC304" t="str">
            <v>Pending</v>
          </cell>
          <cell r="AE304">
            <v>9</v>
          </cell>
        </row>
        <row r="305">
          <cell r="C305">
            <v>44382</v>
          </cell>
          <cell r="D305" t="str">
            <v>CUST24791</v>
          </cell>
          <cell r="E305" t="str">
            <v>Arjun Pillai</v>
          </cell>
          <cell r="G305">
            <v>8</v>
          </cell>
          <cell r="H305" t="str">
            <v>Child</v>
          </cell>
          <cell r="J305" t="str">
            <v>Male</v>
          </cell>
          <cell r="K305" t="str">
            <v>East</v>
          </cell>
          <cell r="L305" t="str">
            <v>Kolkata</v>
          </cell>
          <cell r="M305" t="str">
            <v>Clothing</v>
          </cell>
          <cell r="N305" t="str">
            <v>Saree</v>
          </cell>
          <cell r="P305">
            <v>9</v>
          </cell>
          <cell r="Q305">
            <v>1326.38</v>
          </cell>
          <cell r="S305">
            <v>0.16</v>
          </cell>
          <cell r="T305">
            <v>11602.32</v>
          </cell>
          <cell r="U305">
            <v>4308.95</v>
          </cell>
          <cell r="V305">
            <v>0.37138692951064961</v>
          </cell>
          <cell r="W305">
            <v>58.85</v>
          </cell>
          <cell r="X305" t="str">
            <v>Credit Card</v>
          </cell>
          <cell r="Z305">
            <v>4</v>
          </cell>
          <cell r="AA305" t="b">
            <v>0</v>
          </cell>
          <cell r="AC305" t="str">
            <v>Delivered</v>
          </cell>
          <cell r="AE305">
            <v>1</v>
          </cell>
        </row>
        <row r="306">
          <cell r="C306">
            <v>45108</v>
          </cell>
          <cell r="D306" t="str">
            <v>CUST85761</v>
          </cell>
          <cell r="E306" t="str">
            <v>Aditya Chatterjee</v>
          </cell>
          <cell r="G306">
            <v>44</v>
          </cell>
          <cell r="H306" t="str">
            <v>Adult</v>
          </cell>
          <cell r="J306" t="str">
            <v>Other</v>
          </cell>
          <cell r="K306" t="str">
            <v>South</v>
          </cell>
          <cell r="L306" t="str">
            <v>Kochi</v>
          </cell>
          <cell r="M306" t="str">
            <v>Furniture</v>
          </cell>
          <cell r="N306" t="str">
            <v>Bookshelf</v>
          </cell>
          <cell r="P306">
            <v>2</v>
          </cell>
          <cell r="Q306">
            <v>26714.83</v>
          </cell>
          <cell r="S306">
            <v>0.23</v>
          </cell>
          <cell r="T306">
            <v>63871.89</v>
          </cell>
          <cell r="U306">
            <v>16676.939999999999</v>
          </cell>
          <cell r="V306">
            <v>0.26109983593721742</v>
          </cell>
          <cell r="W306">
            <v>67.209999999999994</v>
          </cell>
          <cell r="X306" t="str">
            <v>UPI</v>
          </cell>
          <cell r="Z306">
            <v>5</v>
          </cell>
          <cell r="AA306" t="b">
            <v>0</v>
          </cell>
          <cell r="AC306" t="str">
            <v>Delivered</v>
          </cell>
          <cell r="AE306">
            <v>7</v>
          </cell>
        </row>
        <row r="307">
          <cell r="C307">
            <v>44972</v>
          </cell>
          <cell r="D307" t="str">
            <v>CUST74282</v>
          </cell>
          <cell r="E307" t="str">
            <v>Ritu Das</v>
          </cell>
          <cell r="G307">
            <v>47</v>
          </cell>
          <cell r="H307" t="str">
            <v>Adult</v>
          </cell>
          <cell r="J307" t="str">
            <v>Male</v>
          </cell>
          <cell r="K307" t="str">
            <v>South</v>
          </cell>
          <cell r="L307" t="str">
            <v>Hyderabad</v>
          </cell>
          <cell r="M307" t="str">
            <v>Beauty</v>
          </cell>
          <cell r="N307" t="str">
            <v>Perfume</v>
          </cell>
          <cell r="P307">
            <v>9</v>
          </cell>
          <cell r="Q307">
            <v>1698.6</v>
          </cell>
          <cell r="S307">
            <v>0.25</v>
          </cell>
          <cell r="T307">
            <v>12379.8</v>
          </cell>
          <cell r="U307">
            <v>4098.1499999999996</v>
          </cell>
          <cell r="V307">
            <v>0.33103523481800995</v>
          </cell>
          <cell r="W307">
            <v>63.7</v>
          </cell>
          <cell r="X307" t="str">
            <v>EMI</v>
          </cell>
          <cell r="Z307">
            <v>3</v>
          </cell>
          <cell r="AA307" t="b">
            <v>0</v>
          </cell>
          <cell r="AC307" t="str">
            <v>Delivered</v>
          </cell>
          <cell r="AE307">
            <v>1</v>
          </cell>
        </row>
        <row r="308">
          <cell r="C308">
            <v>44726</v>
          </cell>
          <cell r="D308" t="str">
            <v>CUST98295</v>
          </cell>
          <cell r="E308" t="str">
            <v>Ritu Rao</v>
          </cell>
          <cell r="G308">
            <v>17</v>
          </cell>
          <cell r="H308" t="str">
            <v>Teen</v>
          </cell>
          <cell r="J308" t="str">
            <v>Male</v>
          </cell>
          <cell r="K308" t="str">
            <v>West</v>
          </cell>
          <cell r="L308" t="str">
            <v>Pune</v>
          </cell>
          <cell r="M308" t="str">
            <v>Sports</v>
          </cell>
          <cell r="N308" t="str">
            <v>Football</v>
          </cell>
          <cell r="P308">
            <v>1</v>
          </cell>
          <cell r="Q308">
            <v>13827.19</v>
          </cell>
          <cell r="S308">
            <v>0.4</v>
          </cell>
          <cell r="T308">
            <v>13665.74</v>
          </cell>
          <cell r="U308">
            <v>2472.59</v>
          </cell>
          <cell r="V308">
            <v>0.18093348768526257</v>
          </cell>
          <cell r="W308">
            <v>24.48</v>
          </cell>
          <cell r="X308" t="str">
            <v>Net Banking</v>
          </cell>
          <cell r="Z308">
            <v>3</v>
          </cell>
          <cell r="AA308" t="b">
            <v>0</v>
          </cell>
          <cell r="AC308" t="str">
            <v>Cancelled</v>
          </cell>
          <cell r="AE308">
            <v>3</v>
          </cell>
        </row>
        <row r="309">
          <cell r="C309">
            <v>44774</v>
          </cell>
          <cell r="D309" t="str">
            <v>CUST80481</v>
          </cell>
          <cell r="E309" t="str">
            <v>Sanjay Mishra</v>
          </cell>
          <cell r="G309">
            <v>53</v>
          </cell>
          <cell r="H309" t="str">
            <v>Senior</v>
          </cell>
          <cell r="J309" t="str">
            <v>Female</v>
          </cell>
          <cell r="K309" t="str">
            <v>West</v>
          </cell>
          <cell r="L309" t="str">
            <v>Surat</v>
          </cell>
          <cell r="M309" t="str">
            <v>Beauty</v>
          </cell>
          <cell r="N309" t="str">
            <v>Sunscreen</v>
          </cell>
          <cell r="P309">
            <v>4</v>
          </cell>
          <cell r="Q309">
            <v>356.27</v>
          </cell>
          <cell r="S309">
            <v>0.25</v>
          </cell>
          <cell r="T309">
            <v>1442.88</v>
          </cell>
          <cell r="U309">
            <v>531.29999999999995</v>
          </cell>
          <cell r="V309">
            <v>0.3682218895542248</v>
          </cell>
          <cell r="W309">
            <v>38.090000000000003</v>
          </cell>
          <cell r="X309" t="str">
            <v>Net Banking</v>
          </cell>
          <cell r="Z309">
            <v>5</v>
          </cell>
          <cell r="AA309" t="b">
            <v>0</v>
          </cell>
          <cell r="AC309" t="str">
            <v>Delivered</v>
          </cell>
          <cell r="AE309">
            <v>5</v>
          </cell>
        </row>
        <row r="310">
          <cell r="C310">
            <v>44637</v>
          </cell>
          <cell r="D310" t="str">
            <v>CUST42492</v>
          </cell>
          <cell r="E310" t="str">
            <v>Nikhil Bose</v>
          </cell>
          <cell r="G310">
            <v>26</v>
          </cell>
          <cell r="H310" t="str">
            <v>Young Adult</v>
          </cell>
          <cell r="J310" t="str">
            <v>Male</v>
          </cell>
          <cell r="K310" t="str">
            <v>South</v>
          </cell>
          <cell r="L310" t="str">
            <v>Bangalore</v>
          </cell>
          <cell r="M310" t="str">
            <v>Beauty</v>
          </cell>
          <cell r="N310" t="str">
            <v>Sunscreen</v>
          </cell>
          <cell r="P310">
            <v>2</v>
          </cell>
          <cell r="Q310">
            <v>563.96</v>
          </cell>
          <cell r="S310">
            <v>0.19793402777777783</v>
          </cell>
          <cell r="T310">
            <v>1382.93</v>
          </cell>
          <cell r="U310">
            <v>529.71</v>
          </cell>
          <cell r="V310">
            <v>0.38303457152567377</v>
          </cell>
          <cell r="W310">
            <v>100.92</v>
          </cell>
          <cell r="X310" t="str">
            <v>Cash on Delivery</v>
          </cell>
          <cell r="Z310">
            <v>4</v>
          </cell>
          <cell r="AA310" t="b">
            <v>0</v>
          </cell>
          <cell r="AC310" t="str">
            <v>Delivered</v>
          </cell>
          <cell r="AE310">
            <v>1</v>
          </cell>
        </row>
        <row r="311">
          <cell r="C311">
            <v>45425</v>
          </cell>
          <cell r="D311" t="str">
            <v>CUST95748</v>
          </cell>
          <cell r="E311" t="str">
            <v>Arjun Kapoor</v>
          </cell>
          <cell r="G311">
            <v>61</v>
          </cell>
          <cell r="H311" t="str">
            <v>Senior</v>
          </cell>
          <cell r="J311" t="str">
            <v>Female</v>
          </cell>
          <cell r="K311" t="str">
            <v>East</v>
          </cell>
          <cell r="L311" t="str">
            <v>Kolkata</v>
          </cell>
          <cell r="M311" t="str">
            <v>Electronics</v>
          </cell>
          <cell r="N311" t="str">
            <v>Tablet</v>
          </cell>
          <cell r="P311">
            <v>1</v>
          </cell>
          <cell r="Q311">
            <v>42744.12</v>
          </cell>
          <cell r="S311">
            <v>0.28999999999999998</v>
          </cell>
          <cell r="T311">
            <v>49034.559999999998</v>
          </cell>
          <cell r="U311">
            <v>5764.27</v>
          </cell>
          <cell r="V311">
            <v>0.11755525082717171</v>
          </cell>
          <cell r="W311">
            <v>81.41</v>
          </cell>
          <cell r="X311" t="str">
            <v>Debit Card</v>
          </cell>
          <cell r="Z311">
            <v>4</v>
          </cell>
          <cell r="AA311" t="b">
            <v>0</v>
          </cell>
          <cell r="AC311" t="str">
            <v>Delivered</v>
          </cell>
          <cell r="AE311">
            <v>8</v>
          </cell>
        </row>
        <row r="312">
          <cell r="C312">
            <v>45555</v>
          </cell>
          <cell r="D312" t="str">
            <v>CUST65197</v>
          </cell>
          <cell r="E312" t="str">
            <v>Rohan Chatterjee</v>
          </cell>
          <cell r="G312">
            <v>38</v>
          </cell>
          <cell r="H312" t="str">
            <v>Adult</v>
          </cell>
          <cell r="J312" t="str">
            <v>Female</v>
          </cell>
          <cell r="K312" t="str">
            <v>South</v>
          </cell>
          <cell r="L312" t="str">
            <v>Chennai</v>
          </cell>
          <cell r="M312" t="str">
            <v>Books</v>
          </cell>
          <cell r="N312" t="str">
            <v>Fiction Novel</v>
          </cell>
          <cell r="P312">
            <v>9</v>
          </cell>
          <cell r="Q312">
            <v>816.41</v>
          </cell>
          <cell r="S312">
            <v>0.35</v>
          </cell>
          <cell r="T312">
            <v>5054.28</v>
          </cell>
          <cell r="U312">
            <v>2136.9</v>
          </cell>
          <cell r="V312">
            <v>0.42279018970061022</v>
          </cell>
          <cell r="W312">
            <v>42.16</v>
          </cell>
          <cell r="X312" t="str">
            <v>UPI</v>
          </cell>
          <cell r="Z312">
            <v>2</v>
          </cell>
          <cell r="AA312" t="b">
            <v>0</v>
          </cell>
          <cell r="AC312" t="str">
            <v>Delivered</v>
          </cell>
          <cell r="AE312">
            <v>5</v>
          </cell>
        </row>
        <row r="313">
          <cell r="C313">
            <v>44843</v>
          </cell>
          <cell r="D313" t="str">
            <v>CUST15721</v>
          </cell>
          <cell r="E313" t="str">
            <v>Sunita Kumar</v>
          </cell>
          <cell r="G313">
            <v>32</v>
          </cell>
          <cell r="H313" t="str">
            <v>Young Adult</v>
          </cell>
          <cell r="J313" t="str">
            <v>Female</v>
          </cell>
          <cell r="K313" t="str">
            <v>West</v>
          </cell>
          <cell r="L313" t="str">
            <v>Ahmedabad</v>
          </cell>
          <cell r="M313" t="str">
            <v>Groceries</v>
          </cell>
          <cell r="N313" t="str">
            <v>Flour</v>
          </cell>
          <cell r="P313">
            <v>10</v>
          </cell>
          <cell r="Q313">
            <v>364.93</v>
          </cell>
          <cell r="S313">
            <v>7.0000000000000007E-2</v>
          </cell>
          <cell r="T313">
            <v>3274.29</v>
          </cell>
          <cell r="U313">
            <v>294.88</v>
          </cell>
          <cell r="V313">
            <v>9.0059218945175906E-2</v>
          </cell>
          <cell r="W313">
            <v>52.13</v>
          </cell>
          <cell r="X313" t="str">
            <v>UPI</v>
          </cell>
          <cell r="Z313">
            <v>3</v>
          </cell>
          <cell r="AA313" t="b">
            <v>0</v>
          </cell>
          <cell r="AC313" t="str">
            <v>Pending</v>
          </cell>
          <cell r="AE313">
            <v>3</v>
          </cell>
        </row>
        <row r="314">
          <cell r="C314">
            <v>45032</v>
          </cell>
          <cell r="D314" t="str">
            <v>CUST92472</v>
          </cell>
          <cell r="E314" t="str">
            <v>Deepa Gupta</v>
          </cell>
          <cell r="G314">
            <v>33</v>
          </cell>
          <cell r="H314" t="str">
            <v>Young Adult</v>
          </cell>
          <cell r="J314" t="str">
            <v>Male</v>
          </cell>
          <cell r="K314" t="str">
            <v>East</v>
          </cell>
          <cell r="L314" t="str">
            <v>Patna</v>
          </cell>
          <cell r="M314" t="str">
            <v>Sports</v>
          </cell>
          <cell r="N314" t="str">
            <v>Dumbbells</v>
          </cell>
          <cell r="P314">
            <v>7</v>
          </cell>
          <cell r="Q314">
            <v>12799.72</v>
          </cell>
          <cell r="S314">
            <v>0.11</v>
          </cell>
          <cell r="T314">
            <v>114501.45</v>
          </cell>
          <cell r="U314">
            <v>25731.03</v>
          </cell>
          <cell r="V314">
            <v>0.22472230701008589</v>
          </cell>
          <cell r="W314">
            <v>74.55</v>
          </cell>
          <cell r="X314" t="str">
            <v>Net Banking</v>
          </cell>
          <cell r="Z314">
            <v>2</v>
          </cell>
          <cell r="AA314" t="b">
            <v>0</v>
          </cell>
          <cell r="AC314" t="str">
            <v>Delivered</v>
          </cell>
          <cell r="AE314">
            <v>2</v>
          </cell>
        </row>
        <row r="315">
          <cell r="C315">
            <v>45137</v>
          </cell>
          <cell r="D315" t="str">
            <v>CUST11433</v>
          </cell>
          <cell r="E315" t="str">
            <v>Aditya Shah</v>
          </cell>
          <cell r="G315">
            <v>49</v>
          </cell>
          <cell r="H315" t="str">
            <v>Adult</v>
          </cell>
          <cell r="J315" t="str">
            <v>Other</v>
          </cell>
          <cell r="K315" t="str">
            <v>North</v>
          </cell>
          <cell r="L315" t="str">
            <v>Chandigarh</v>
          </cell>
          <cell r="M315" t="str">
            <v>Groceries</v>
          </cell>
          <cell r="N315" t="str">
            <v>Dal (1kg)</v>
          </cell>
          <cell r="P315">
            <v>7.0954861111111107</v>
          </cell>
          <cell r="Q315">
            <v>380.49</v>
          </cell>
          <cell r="S315">
            <v>0.36</v>
          </cell>
          <cell r="T315">
            <v>368.28</v>
          </cell>
          <cell r="U315">
            <v>36.06</v>
          </cell>
          <cell r="V315">
            <v>9.7914630172694708E-2</v>
          </cell>
          <cell r="W315">
            <v>27.57</v>
          </cell>
          <cell r="X315" t="str">
            <v>EMI</v>
          </cell>
          <cell r="Z315">
            <v>5</v>
          </cell>
          <cell r="AA315" t="b">
            <v>0</v>
          </cell>
          <cell r="AC315" t="str">
            <v>Delivered</v>
          </cell>
          <cell r="AE315">
            <v>1</v>
          </cell>
        </row>
        <row r="316">
          <cell r="C316">
            <v>44593</v>
          </cell>
          <cell r="D316" t="str">
            <v>CUST49015</v>
          </cell>
          <cell r="E316" t="str">
            <v>Pooja Iyer</v>
          </cell>
          <cell r="G316">
            <v>31</v>
          </cell>
          <cell r="H316" t="str">
            <v>Young Adult</v>
          </cell>
          <cell r="J316" t="str">
            <v>Male</v>
          </cell>
          <cell r="K316" t="str">
            <v>Central</v>
          </cell>
          <cell r="L316" t="str">
            <v>Indore</v>
          </cell>
          <cell r="M316" t="str">
            <v>Beauty</v>
          </cell>
          <cell r="N316" t="str">
            <v>Face Cream</v>
          </cell>
          <cell r="P316">
            <v>7.0954861111111107</v>
          </cell>
          <cell r="Q316">
            <v>1868.65</v>
          </cell>
          <cell r="S316">
            <v>0.06</v>
          </cell>
          <cell r="T316">
            <v>1684.76</v>
          </cell>
          <cell r="U316">
            <v>667.36</v>
          </cell>
          <cell r="V316">
            <v>0.39611576723094094</v>
          </cell>
          <cell r="W316">
            <v>71.239999999999995</v>
          </cell>
          <cell r="X316" t="str">
            <v>UPI</v>
          </cell>
          <cell r="Z316">
            <v>4</v>
          </cell>
          <cell r="AA316" t="b">
            <v>0</v>
          </cell>
          <cell r="AC316" t="str">
            <v>Delivered</v>
          </cell>
          <cell r="AE316">
            <v>2</v>
          </cell>
        </row>
        <row r="317">
          <cell r="C317">
            <v>43977</v>
          </cell>
          <cell r="D317" t="str">
            <v>CUST25152</v>
          </cell>
          <cell r="E317" t="str">
            <v>Shreya Mishra</v>
          </cell>
          <cell r="G317">
            <v>61</v>
          </cell>
          <cell r="H317" t="str">
            <v>Senior</v>
          </cell>
          <cell r="J317" t="str">
            <v>Female</v>
          </cell>
          <cell r="K317" t="str">
            <v>West</v>
          </cell>
          <cell r="L317" t="str">
            <v>Ahmedabad</v>
          </cell>
          <cell r="M317" t="str">
            <v>Books</v>
          </cell>
          <cell r="N317" t="str">
            <v>Cook Book</v>
          </cell>
          <cell r="P317">
            <v>2</v>
          </cell>
          <cell r="Q317">
            <v>425.83</v>
          </cell>
          <cell r="S317">
            <v>0.04</v>
          </cell>
          <cell r="T317">
            <v>846.36</v>
          </cell>
          <cell r="U317">
            <v>364.43</v>
          </cell>
          <cell r="V317">
            <v>0.43058509381350724</v>
          </cell>
          <cell r="W317">
            <v>42.68</v>
          </cell>
          <cell r="X317" t="str">
            <v>UPI</v>
          </cell>
          <cell r="Z317">
            <v>4</v>
          </cell>
          <cell r="AA317" t="b">
            <v>0</v>
          </cell>
          <cell r="AC317" t="str">
            <v>Delivered</v>
          </cell>
          <cell r="AE317">
            <v>10</v>
          </cell>
        </row>
        <row r="318">
          <cell r="C318">
            <v>45218</v>
          </cell>
          <cell r="D318" t="str">
            <v>CUST72297</v>
          </cell>
          <cell r="E318" t="str">
            <v>Nisha Bhat</v>
          </cell>
          <cell r="G318">
            <v>53</v>
          </cell>
          <cell r="H318" t="str">
            <v>Senior</v>
          </cell>
          <cell r="J318" t="str">
            <v>Female</v>
          </cell>
          <cell r="K318" t="str">
            <v>South</v>
          </cell>
          <cell r="L318" t="str">
            <v>Bangalore</v>
          </cell>
          <cell r="M318" t="str">
            <v>Furniture</v>
          </cell>
          <cell r="N318" t="str">
            <v>Bed Frame</v>
          </cell>
          <cell r="P318">
            <v>5</v>
          </cell>
          <cell r="Q318">
            <v>2374.77</v>
          </cell>
          <cell r="S318">
            <v>0.28000000000000003</v>
          </cell>
          <cell r="T318">
            <v>9688.23</v>
          </cell>
          <cell r="U318">
            <v>2614.25</v>
          </cell>
          <cell r="V318">
            <v>0.26983773093743646</v>
          </cell>
          <cell r="W318">
            <v>83.81</v>
          </cell>
          <cell r="X318" t="str">
            <v>UPI</v>
          </cell>
          <cell r="Z318">
            <v>1</v>
          </cell>
          <cell r="AA318" t="b">
            <v>0</v>
          </cell>
          <cell r="AC318" t="str">
            <v>Delivered</v>
          </cell>
          <cell r="AE318">
            <v>6</v>
          </cell>
        </row>
        <row r="319">
          <cell r="C319">
            <v>43983</v>
          </cell>
          <cell r="D319" t="str">
            <v>CUST12677</v>
          </cell>
          <cell r="E319" t="str">
            <v>Aditya Shah</v>
          </cell>
          <cell r="G319">
            <v>41</v>
          </cell>
          <cell r="H319" t="str">
            <v>Adult</v>
          </cell>
          <cell r="J319" t="str">
            <v>Other</v>
          </cell>
          <cell r="K319" t="str">
            <v>North</v>
          </cell>
          <cell r="L319" t="str">
            <v>Chandigarh</v>
          </cell>
          <cell r="M319" t="str">
            <v>Groceries</v>
          </cell>
          <cell r="N319" t="str">
            <v>Rice (5kg)</v>
          </cell>
          <cell r="P319">
            <v>8</v>
          </cell>
          <cell r="Q319">
            <v>294.27</v>
          </cell>
          <cell r="S319">
            <v>0.35</v>
          </cell>
          <cell r="T319">
            <v>1927.79</v>
          </cell>
          <cell r="U319">
            <v>96.62</v>
          </cell>
          <cell r="V319">
            <v>5.0119566965281491E-2</v>
          </cell>
          <cell r="W319">
            <v>53.97</v>
          </cell>
          <cell r="X319" t="str">
            <v>Cash on Delivery</v>
          </cell>
          <cell r="Z319">
            <v>1</v>
          </cell>
          <cell r="AA319" t="b">
            <v>0</v>
          </cell>
          <cell r="AC319" t="str">
            <v>Delivered</v>
          </cell>
          <cell r="AE319">
            <v>5</v>
          </cell>
        </row>
        <row r="320">
          <cell r="C320">
            <v>44214</v>
          </cell>
          <cell r="D320" t="str">
            <v>CUST71096</v>
          </cell>
          <cell r="E320" t="str">
            <v>Kavya Shah</v>
          </cell>
          <cell r="G320">
            <v>29</v>
          </cell>
          <cell r="H320" t="str">
            <v>Young Adult</v>
          </cell>
          <cell r="J320" t="str">
            <v>Other</v>
          </cell>
          <cell r="K320" t="str">
            <v>East</v>
          </cell>
          <cell r="L320" t="str">
            <v>Patna</v>
          </cell>
          <cell r="M320" t="str">
            <v>Electronics</v>
          </cell>
          <cell r="N320" t="str">
            <v>Headphones</v>
          </cell>
          <cell r="P320">
            <v>5</v>
          </cell>
          <cell r="Q320">
            <v>58480.23</v>
          </cell>
          <cell r="S320">
            <v>0.09</v>
          </cell>
          <cell r="T320">
            <v>200569.38</v>
          </cell>
          <cell r="U320">
            <v>24313.05</v>
          </cell>
          <cell r="V320">
            <v>0.12122014835963495</v>
          </cell>
          <cell r="W320">
            <v>84.38</v>
          </cell>
          <cell r="X320" t="str">
            <v>Credit Card</v>
          </cell>
          <cell r="Z320">
            <v>4</v>
          </cell>
          <cell r="AA320" t="b">
            <v>0</v>
          </cell>
          <cell r="AC320" t="str">
            <v>Delivered</v>
          </cell>
          <cell r="AE320">
            <v>2</v>
          </cell>
        </row>
        <row r="321">
          <cell r="C321">
            <v>44963</v>
          </cell>
          <cell r="D321" t="str">
            <v>CUST31900</v>
          </cell>
          <cell r="E321" t="str">
            <v>Amit Rao</v>
          </cell>
          <cell r="G321">
            <v>39</v>
          </cell>
          <cell r="H321" t="str">
            <v>Adult</v>
          </cell>
          <cell r="J321" t="str">
            <v>Other</v>
          </cell>
          <cell r="K321" t="str">
            <v>South</v>
          </cell>
          <cell r="L321" t="str">
            <v>Bangalore</v>
          </cell>
          <cell r="M321" t="str">
            <v>Sports</v>
          </cell>
          <cell r="N321" t="str">
            <v>Yoga Mat</v>
          </cell>
          <cell r="P321">
            <v>8</v>
          </cell>
          <cell r="Q321">
            <v>5590.43</v>
          </cell>
          <cell r="S321">
            <v>0.19</v>
          </cell>
          <cell r="T321">
            <v>37398.22</v>
          </cell>
          <cell r="U321">
            <v>4824.74</v>
          </cell>
          <cell r="V321">
            <v>0.12900988335808494</v>
          </cell>
          <cell r="W321">
            <v>69.42</v>
          </cell>
          <cell r="X321" t="str">
            <v>Credit Card</v>
          </cell>
          <cell r="Z321">
            <v>4</v>
          </cell>
          <cell r="AA321" t="b">
            <v>0</v>
          </cell>
          <cell r="AC321" t="str">
            <v>Delivered</v>
          </cell>
          <cell r="AE321">
            <v>2</v>
          </cell>
        </row>
        <row r="322">
          <cell r="C322">
            <v>44164</v>
          </cell>
          <cell r="D322" t="str">
            <v>CUST39869</v>
          </cell>
          <cell r="E322" t="str">
            <v>Ritu Mishra</v>
          </cell>
          <cell r="G322">
            <v>29</v>
          </cell>
          <cell r="H322" t="str">
            <v>Young Adult</v>
          </cell>
          <cell r="J322" t="str">
            <v>Female</v>
          </cell>
          <cell r="K322" t="str">
            <v>West</v>
          </cell>
          <cell r="L322" t="str">
            <v>Mumbai</v>
          </cell>
          <cell r="M322" t="str">
            <v>Electronics</v>
          </cell>
          <cell r="N322" t="str">
            <v>Smartwatch</v>
          </cell>
          <cell r="P322">
            <v>4</v>
          </cell>
          <cell r="Q322">
            <v>7981.68</v>
          </cell>
          <cell r="S322">
            <v>0.38</v>
          </cell>
          <cell r="T322">
            <v>12800.24</v>
          </cell>
          <cell r="U322">
            <v>1753.15</v>
          </cell>
          <cell r="V322">
            <v>0.13696227570733049</v>
          </cell>
          <cell r="W322">
            <v>40.049999999999997</v>
          </cell>
          <cell r="X322" t="str">
            <v>Debit Card</v>
          </cell>
          <cell r="Z322">
            <v>4</v>
          </cell>
          <cell r="AA322" t="b">
            <v>0</v>
          </cell>
          <cell r="AC322" t="str">
            <v>Delivered</v>
          </cell>
          <cell r="AE322">
            <v>5</v>
          </cell>
        </row>
        <row r="323">
          <cell r="C323">
            <v>44929</v>
          </cell>
          <cell r="D323" t="str">
            <v>CUST61216</v>
          </cell>
          <cell r="E323" t="str">
            <v>Nikhil Joshi</v>
          </cell>
          <cell r="G323">
            <v>34</v>
          </cell>
          <cell r="H323" t="str">
            <v>Young Adult</v>
          </cell>
          <cell r="J323" t="str">
            <v>Male</v>
          </cell>
          <cell r="K323" t="str">
            <v>West</v>
          </cell>
          <cell r="L323" t="str">
            <v>Pune</v>
          </cell>
          <cell r="M323" t="str">
            <v>Furniture</v>
          </cell>
          <cell r="N323" t="str">
            <v>Bed Frame</v>
          </cell>
          <cell r="P323">
            <v>2</v>
          </cell>
          <cell r="Q323">
            <v>9783.06</v>
          </cell>
          <cell r="S323">
            <v>0.12</v>
          </cell>
          <cell r="T323">
            <v>15984.43</v>
          </cell>
          <cell r="U323">
            <v>3578.22</v>
          </cell>
          <cell r="V323">
            <v>0.22385659044457637</v>
          </cell>
          <cell r="W323">
            <v>43.71</v>
          </cell>
          <cell r="X323" t="str">
            <v>Cash on Delivery</v>
          </cell>
          <cell r="Z323">
            <v>2</v>
          </cell>
          <cell r="AA323" t="b">
            <v>1</v>
          </cell>
          <cell r="AC323" t="str">
            <v>Returned</v>
          </cell>
          <cell r="AE323">
            <v>5</v>
          </cell>
        </row>
        <row r="324">
          <cell r="C324">
            <v>45137</v>
          </cell>
          <cell r="D324" t="str">
            <v>CUST13941</v>
          </cell>
          <cell r="E324" t="str">
            <v>Ritu Sharma</v>
          </cell>
          <cell r="G324">
            <v>34</v>
          </cell>
          <cell r="H324" t="str">
            <v>Young Adult</v>
          </cell>
          <cell r="J324" t="str">
            <v>Other</v>
          </cell>
          <cell r="K324" t="str">
            <v>South</v>
          </cell>
          <cell r="L324" t="str">
            <v>Hyderabad</v>
          </cell>
          <cell r="M324" t="str">
            <v>Electronics</v>
          </cell>
          <cell r="N324" t="str">
            <v>Camera</v>
          </cell>
          <cell r="P324">
            <v>4</v>
          </cell>
          <cell r="Q324">
            <v>66643.149999999994</v>
          </cell>
          <cell r="S324">
            <v>0.14000000000000001</v>
          </cell>
          <cell r="T324">
            <v>325899.40000000002</v>
          </cell>
          <cell r="U324">
            <v>40690.870000000003</v>
          </cell>
          <cell r="V324">
            <v>0.1248571491693449</v>
          </cell>
          <cell r="W324">
            <v>51.43</v>
          </cell>
          <cell r="X324" t="str">
            <v>Cash on Delivery</v>
          </cell>
          <cell r="Z324">
            <v>1</v>
          </cell>
          <cell r="AA324" t="b">
            <v>0</v>
          </cell>
          <cell r="AC324" t="str">
            <v>Delivered</v>
          </cell>
          <cell r="AE324">
            <v>3</v>
          </cell>
        </row>
        <row r="325">
          <cell r="C325">
            <v>44646</v>
          </cell>
          <cell r="D325" t="str">
            <v>CUST02321</v>
          </cell>
          <cell r="E325" t="str">
            <v>Sunita Patel</v>
          </cell>
          <cell r="G325">
            <v>26</v>
          </cell>
          <cell r="H325" t="str">
            <v>Young Adult</v>
          </cell>
          <cell r="J325" t="str">
            <v>Female</v>
          </cell>
          <cell r="K325" t="str">
            <v>West</v>
          </cell>
          <cell r="L325" t="str">
            <v>Surat</v>
          </cell>
          <cell r="M325" t="str">
            <v>Beauty</v>
          </cell>
          <cell r="N325" t="str">
            <v>Shampoo</v>
          </cell>
          <cell r="P325">
            <v>10</v>
          </cell>
          <cell r="Q325">
            <v>160.57</v>
          </cell>
          <cell r="S325">
            <v>0.38</v>
          </cell>
          <cell r="T325">
            <v>1214.0999999999999</v>
          </cell>
          <cell r="U325">
            <v>697.82</v>
          </cell>
          <cell r="V325">
            <v>0.57476319907750606</v>
          </cell>
          <cell r="W325">
            <v>51.31</v>
          </cell>
          <cell r="X325" t="str">
            <v>Credit Card</v>
          </cell>
          <cell r="Z325">
            <v>3</v>
          </cell>
          <cell r="AA325" t="b">
            <v>0</v>
          </cell>
          <cell r="AC325" t="str">
            <v>Delivered</v>
          </cell>
          <cell r="AE325">
            <v>2</v>
          </cell>
        </row>
        <row r="326">
          <cell r="C326">
            <v>45074</v>
          </cell>
          <cell r="D326" t="str">
            <v>CUST34534</v>
          </cell>
          <cell r="E326" t="str">
            <v>Sanjay Rao</v>
          </cell>
          <cell r="G326">
            <v>55</v>
          </cell>
          <cell r="H326" t="str">
            <v>Senior</v>
          </cell>
          <cell r="J326" t="str">
            <v>Male</v>
          </cell>
          <cell r="K326" t="str">
            <v>Central</v>
          </cell>
          <cell r="L326" t="str">
            <v>Bhopal</v>
          </cell>
          <cell r="M326" t="str">
            <v>Sports</v>
          </cell>
          <cell r="N326" t="str">
            <v>Cricket Bat</v>
          </cell>
          <cell r="P326">
            <v>7</v>
          </cell>
          <cell r="Q326">
            <v>12138.63</v>
          </cell>
          <cell r="S326">
            <v>0.13</v>
          </cell>
          <cell r="T326">
            <v>95488.18</v>
          </cell>
          <cell r="U326">
            <v>21101.52</v>
          </cell>
          <cell r="V326">
            <v>0.22098567592344939</v>
          </cell>
          <cell r="W326">
            <v>32.89</v>
          </cell>
          <cell r="X326" t="str">
            <v>UPI</v>
          </cell>
          <cell r="Z326">
            <v>5</v>
          </cell>
          <cell r="AA326" t="b">
            <v>0</v>
          </cell>
          <cell r="AC326" t="str">
            <v>Shipped</v>
          </cell>
          <cell r="AE326">
            <v>4</v>
          </cell>
        </row>
        <row r="327">
          <cell r="C327">
            <v>45647</v>
          </cell>
          <cell r="D327" t="str">
            <v>CUST37046</v>
          </cell>
          <cell r="E327" t="str">
            <v>Rohan Bhat</v>
          </cell>
          <cell r="G327">
            <v>30</v>
          </cell>
          <cell r="H327" t="str">
            <v>Young Adult</v>
          </cell>
          <cell r="J327" t="str">
            <v>Other</v>
          </cell>
          <cell r="K327" t="str">
            <v>West</v>
          </cell>
          <cell r="L327" t="str">
            <v>Surat</v>
          </cell>
          <cell r="M327" t="str">
            <v>Electronics</v>
          </cell>
          <cell r="N327" t="str">
            <v>Headphones</v>
          </cell>
          <cell r="P327">
            <v>6</v>
          </cell>
          <cell r="Q327">
            <v>61234.43</v>
          </cell>
          <cell r="S327">
            <v>0.24</v>
          </cell>
          <cell r="T327">
            <v>268632.52</v>
          </cell>
          <cell r="U327">
            <v>31422.9</v>
          </cell>
          <cell r="V327">
            <v>0.11697355182462645</v>
          </cell>
          <cell r="W327">
            <v>48.82</v>
          </cell>
          <cell r="X327" t="str">
            <v>Credit Card</v>
          </cell>
          <cell r="Z327">
            <v>3</v>
          </cell>
          <cell r="AA327" t="b">
            <v>0</v>
          </cell>
          <cell r="AC327" t="str">
            <v>Delivered</v>
          </cell>
          <cell r="AE327">
            <v>4</v>
          </cell>
        </row>
        <row r="328">
          <cell r="C328">
            <v>45402</v>
          </cell>
          <cell r="D328" t="str">
            <v>CUST45693</v>
          </cell>
          <cell r="E328" t="str">
            <v>Aditya Singh</v>
          </cell>
          <cell r="G328">
            <v>45</v>
          </cell>
          <cell r="H328" t="str">
            <v>Adult</v>
          </cell>
          <cell r="J328" t="str">
            <v>Male</v>
          </cell>
          <cell r="K328" t="str">
            <v>North</v>
          </cell>
          <cell r="L328" t="str">
            <v>Amritsar</v>
          </cell>
          <cell r="M328" t="str">
            <v>Books</v>
          </cell>
          <cell r="N328" t="str">
            <v>Comic Book</v>
          </cell>
          <cell r="P328">
            <v>5</v>
          </cell>
          <cell r="Q328">
            <v>224.92</v>
          </cell>
          <cell r="S328">
            <v>0.24</v>
          </cell>
          <cell r="T328">
            <v>1230.6600000000001</v>
          </cell>
          <cell r="U328">
            <v>529.41999999999996</v>
          </cell>
          <cell r="V328">
            <v>0.43019192953374608</v>
          </cell>
          <cell r="W328">
            <v>65.16</v>
          </cell>
          <cell r="X328" t="str">
            <v>UPI</v>
          </cell>
          <cell r="Z328">
            <v>5</v>
          </cell>
          <cell r="AA328" t="b">
            <v>0</v>
          </cell>
          <cell r="AC328" t="str">
            <v>Delivered</v>
          </cell>
          <cell r="AE328">
            <v>2</v>
          </cell>
        </row>
        <row r="329">
          <cell r="C329">
            <v>44079</v>
          </cell>
          <cell r="D329" t="str">
            <v>CUST34558</v>
          </cell>
          <cell r="E329" t="str">
            <v>Amit Bhat</v>
          </cell>
          <cell r="G329">
            <v>46</v>
          </cell>
          <cell r="H329" t="str">
            <v>Adult</v>
          </cell>
          <cell r="J329" t="str">
            <v>Other</v>
          </cell>
          <cell r="K329" t="str">
            <v>West</v>
          </cell>
          <cell r="L329" t="str">
            <v>Mumbai</v>
          </cell>
          <cell r="M329" t="str">
            <v>Clothing</v>
          </cell>
          <cell r="N329" t="str">
            <v>Jeans</v>
          </cell>
          <cell r="P329">
            <v>8</v>
          </cell>
          <cell r="Q329">
            <v>2151.16</v>
          </cell>
          <cell r="S329">
            <v>0.12</v>
          </cell>
          <cell r="T329">
            <v>15432.22</v>
          </cell>
          <cell r="U329">
            <v>4651.88</v>
          </cell>
          <cell r="V329">
            <v>0.30143945589163451</v>
          </cell>
          <cell r="W329">
            <v>67.349999999999994</v>
          </cell>
          <cell r="X329" t="str">
            <v>Cash on Delivery</v>
          </cell>
          <cell r="Z329">
            <v>4</v>
          </cell>
          <cell r="AA329" t="b">
            <v>1</v>
          </cell>
          <cell r="AC329" t="str">
            <v>Returned</v>
          </cell>
          <cell r="AE329">
            <v>4</v>
          </cell>
        </row>
        <row r="330">
          <cell r="C330">
            <v>44617</v>
          </cell>
          <cell r="D330" t="str">
            <v>CUST42783</v>
          </cell>
          <cell r="E330" t="str">
            <v>Ritu Das</v>
          </cell>
          <cell r="G330">
            <v>25</v>
          </cell>
          <cell r="H330" t="str">
            <v>Young Adult</v>
          </cell>
          <cell r="J330" t="str">
            <v>Other</v>
          </cell>
          <cell r="K330" t="str">
            <v>Central</v>
          </cell>
          <cell r="L330" t="str">
            <v>Indore</v>
          </cell>
          <cell r="M330" t="str">
            <v>Sports</v>
          </cell>
          <cell r="N330" t="str">
            <v>Tennis Racket</v>
          </cell>
          <cell r="P330">
            <v>1</v>
          </cell>
          <cell r="Q330">
            <v>7835.77</v>
          </cell>
          <cell r="S330">
            <v>0.08</v>
          </cell>
          <cell r="T330">
            <v>6868.24</v>
          </cell>
          <cell r="U330">
            <v>1599.65</v>
          </cell>
          <cell r="V330">
            <v>0.23290537313780535</v>
          </cell>
          <cell r="W330">
            <v>44.2</v>
          </cell>
          <cell r="X330" t="str">
            <v>Credit Card</v>
          </cell>
          <cell r="Z330">
            <v>3</v>
          </cell>
          <cell r="AA330" t="b">
            <v>1</v>
          </cell>
          <cell r="AC330" t="str">
            <v>Returned</v>
          </cell>
          <cell r="AE330">
            <v>5</v>
          </cell>
        </row>
        <row r="331">
          <cell r="C331">
            <v>45077</v>
          </cell>
          <cell r="D331" t="str">
            <v>CUST15861</v>
          </cell>
          <cell r="E331" t="str">
            <v>Priya Mishra</v>
          </cell>
          <cell r="G331">
            <v>27</v>
          </cell>
          <cell r="H331" t="str">
            <v>Young Adult</v>
          </cell>
          <cell r="J331" t="str">
            <v>Other</v>
          </cell>
          <cell r="K331" t="str">
            <v>West</v>
          </cell>
          <cell r="L331" t="str">
            <v>Surat</v>
          </cell>
          <cell r="M331" t="str">
            <v>Books</v>
          </cell>
          <cell r="N331" t="str">
            <v>Fiction Novel</v>
          </cell>
          <cell r="P331">
            <v>2</v>
          </cell>
          <cell r="Q331">
            <v>790.19</v>
          </cell>
          <cell r="S331">
            <v>0.12</v>
          </cell>
          <cell r="T331">
            <v>2524.52</v>
          </cell>
          <cell r="U331">
            <v>1241.47</v>
          </cell>
          <cell r="V331">
            <v>0.49176477112480788</v>
          </cell>
          <cell r="W331">
            <v>75.5</v>
          </cell>
          <cell r="X331" t="str">
            <v>UPI</v>
          </cell>
          <cell r="Z331">
            <v>2</v>
          </cell>
          <cell r="AA331" t="b">
            <v>0</v>
          </cell>
          <cell r="AC331" t="str">
            <v>Delivered</v>
          </cell>
          <cell r="AE331">
            <v>1</v>
          </cell>
        </row>
        <row r="332">
          <cell r="C332">
            <v>43881</v>
          </cell>
          <cell r="D332" t="str">
            <v>CUST73625</v>
          </cell>
          <cell r="E332" t="str">
            <v>Nisha Bose</v>
          </cell>
          <cell r="G332">
            <v>28</v>
          </cell>
          <cell r="H332" t="str">
            <v>Young Adult</v>
          </cell>
          <cell r="J332" t="str">
            <v>Other</v>
          </cell>
          <cell r="K332" t="str">
            <v>East</v>
          </cell>
          <cell r="L332" t="str">
            <v>Guwahati</v>
          </cell>
          <cell r="M332" t="str">
            <v>Books</v>
          </cell>
          <cell r="N332" t="str">
            <v>Textbook</v>
          </cell>
          <cell r="P332">
            <v>10</v>
          </cell>
          <cell r="Q332">
            <v>327.54000000000002</v>
          </cell>
          <cell r="S332">
            <v>0.15</v>
          </cell>
          <cell r="T332">
            <v>2755.17</v>
          </cell>
          <cell r="U332">
            <v>1528.85</v>
          </cell>
          <cell r="V332">
            <v>0.55490223833738017</v>
          </cell>
          <cell r="W332">
            <v>80.58</v>
          </cell>
          <cell r="X332" t="str">
            <v>Debit Card</v>
          </cell>
          <cell r="Z332">
            <v>5</v>
          </cell>
          <cell r="AA332" t="b">
            <v>1</v>
          </cell>
          <cell r="AC332" t="str">
            <v>Returned</v>
          </cell>
          <cell r="AE332">
            <v>2</v>
          </cell>
        </row>
        <row r="333">
          <cell r="C333">
            <v>44787</v>
          </cell>
          <cell r="D333" t="str">
            <v>CUST93685</v>
          </cell>
          <cell r="E333" t="str">
            <v>Vikram Singh</v>
          </cell>
          <cell r="G333">
            <v>19</v>
          </cell>
          <cell r="H333" t="str">
            <v>Teen</v>
          </cell>
          <cell r="J333" t="str">
            <v>Other</v>
          </cell>
          <cell r="K333" t="str">
            <v>South</v>
          </cell>
          <cell r="L333" t="str">
            <v>Chennai</v>
          </cell>
          <cell r="M333" t="str">
            <v>Electronics</v>
          </cell>
          <cell r="N333" t="str">
            <v>Laptop</v>
          </cell>
          <cell r="P333">
            <v>10</v>
          </cell>
          <cell r="Q333">
            <v>46080.58</v>
          </cell>
          <cell r="S333">
            <v>0.33</v>
          </cell>
          <cell r="T333">
            <v>392607.23</v>
          </cell>
          <cell r="U333">
            <v>38045.24</v>
          </cell>
          <cell r="V333">
            <v>9.6904073824621115E-2</v>
          </cell>
          <cell r="W333">
            <v>42.13</v>
          </cell>
          <cell r="X333" t="str">
            <v>Credit Card</v>
          </cell>
          <cell r="Z333">
            <v>1</v>
          </cell>
          <cell r="AA333" t="b">
            <v>0</v>
          </cell>
          <cell r="AC333" t="str">
            <v>Delivered</v>
          </cell>
          <cell r="AE333">
            <v>7</v>
          </cell>
        </row>
        <row r="334">
          <cell r="C334">
            <v>45049</v>
          </cell>
          <cell r="D334" t="str">
            <v>CUST59711</v>
          </cell>
          <cell r="E334" t="str">
            <v>Rohan Mishra</v>
          </cell>
          <cell r="G334">
            <v>29</v>
          </cell>
          <cell r="H334" t="str">
            <v>Young Adult</v>
          </cell>
          <cell r="J334" t="str">
            <v>Female</v>
          </cell>
          <cell r="K334" t="str">
            <v>East</v>
          </cell>
          <cell r="L334" t="str">
            <v>Bhubaneswar</v>
          </cell>
          <cell r="M334" t="str">
            <v>Clothing</v>
          </cell>
          <cell r="N334" t="str">
            <v>Kurta</v>
          </cell>
          <cell r="P334">
            <v>10</v>
          </cell>
          <cell r="Q334">
            <v>630.78</v>
          </cell>
          <cell r="S334">
            <v>0.19793402777777783</v>
          </cell>
          <cell r="T334">
            <v>10612</v>
          </cell>
          <cell r="U334">
            <v>3459.74</v>
          </cell>
          <cell r="V334">
            <v>0.32602148511119483</v>
          </cell>
          <cell r="W334">
            <v>83.61</v>
          </cell>
          <cell r="X334" t="str">
            <v>Credit Card</v>
          </cell>
          <cell r="Z334">
            <v>4</v>
          </cell>
          <cell r="AA334" t="b">
            <v>0</v>
          </cell>
          <cell r="AC334" t="str">
            <v>Delivered</v>
          </cell>
          <cell r="AE334">
            <v>8</v>
          </cell>
        </row>
        <row r="335">
          <cell r="C335">
            <v>44372</v>
          </cell>
          <cell r="D335" t="str">
            <v>CUST00543</v>
          </cell>
          <cell r="E335" t="str">
            <v>Karan Singh</v>
          </cell>
          <cell r="G335">
            <v>34.294220665499125</v>
          </cell>
          <cell r="H335" t="str">
            <v>Young Adult</v>
          </cell>
          <cell r="J335" t="str">
            <v>Male</v>
          </cell>
          <cell r="K335" t="str">
            <v>South</v>
          </cell>
          <cell r="L335" t="str">
            <v>Kochi</v>
          </cell>
          <cell r="M335" t="str">
            <v>Sports</v>
          </cell>
          <cell r="N335" t="str">
            <v>Cricket Bat</v>
          </cell>
          <cell r="P335">
            <v>7.0954861111111107</v>
          </cell>
          <cell r="Q335">
            <v>10501.07</v>
          </cell>
          <cell r="S335">
            <v>0.1</v>
          </cell>
          <cell r="T335">
            <v>15147.36</v>
          </cell>
          <cell r="U335">
            <v>3020.39</v>
          </cell>
          <cell r="V335">
            <v>0.19940042357216042</v>
          </cell>
          <cell r="W335">
            <v>56.4</v>
          </cell>
          <cell r="X335" t="str">
            <v>Cash on Delivery</v>
          </cell>
          <cell r="Z335">
            <v>5</v>
          </cell>
          <cell r="AA335" t="b">
            <v>0</v>
          </cell>
          <cell r="AC335" t="str">
            <v>Delivered</v>
          </cell>
          <cell r="AE335">
            <v>7</v>
          </cell>
        </row>
        <row r="336">
          <cell r="C336">
            <v>45545</v>
          </cell>
          <cell r="D336" t="str">
            <v>CUST72202</v>
          </cell>
          <cell r="E336" t="str">
            <v>Aarav Joshi</v>
          </cell>
          <cell r="G336">
            <v>28</v>
          </cell>
          <cell r="H336" t="str">
            <v>Young Adult</v>
          </cell>
          <cell r="J336" t="str">
            <v>Male</v>
          </cell>
          <cell r="K336" t="str">
            <v>West</v>
          </cell>
          <cell r="L336" t="str">
            <v>Ahmedabad</v>
          </cell>
          <cell r="M336" t="str">
            <v>Electronics</v>
          </cell>
          <cell r="N336" t="str">
            <v>Headphones</v>
          </cell>
          <cell r="P336">
            <v>1</v>
          </cell>
          <cell r="Q336">
            <v>40304.61</v>
          </cell>
          <cell r="S336">
            <v>0.04</v>
          </cell>
          <cell r="T336">
            <v>54475.55</v>
          </cell>
          <cell r="U336">
            <v>5497.55</v>
          </cell>
          <cell r="V336">
            <v>0.10091775117460952</v>
          </cell>
          <cell r="W336">
            <v>73.05</v>
          </cell>
          <cell r="X336" t="str">
            <v>UPI</v>
          </cell>
          <cell r="Z336">
            <v>2</v>
          </cell>
          <cell r="AA336" t="b">
            <v>0</v>
          </cell>
          <cell r="AC336" t="str">
            <v>Cancelled</v>
          </cell>
          <cell r="AE336">
            <v>5</v>
          </cell>
        </row>
        <row r="337">
          <cell r="C337">
            <v>45427</v>
          </cell>
          <cell r="D337" t="str">
            <v>CUST71549</v>
          </cell>
          <cell r="E337" t="str">
            <v>Ritu Das</v>
          </cell>
          <cell r="G337">
            <v>37</v>
          </cell>
          <cell r="H337" t="str">
            <v>Adult</v>
          </cell>
          <cell r="J337" t="str">
            <v>Female</v>
          </cell>
          <cell r="K337" t="str">
            <v>East</v>
          </cell>
          <cell r="L337" t="str">
            <v>Kolkata</v>
          </cell>
          <cell r="M337" t="str">
            <v>Furniture</v>
          </cell>
          <cell r="N337" t="str">
            <v>Chair</v>
          </cell>
          <cell r="P337">
            <v>3</v>
          </cell>
          <cell r="Q337">
            <v>16806.93</v>
          </cell>
          <cell r="S337">
            <v>0.37</v>
          </cell>
          <cell r="T337">
            <v>52202.49</v>
          </cell>
          <cell r="U337">
            <v>17999.97</v>
          </cell>
          <cell r="V337">
            <v>0.34481056363403356</v>
          </cell>
          <cell r="W337">
            <v>90.53</v>
          </cell>
          <cell r="X337" t="str">
            <v>Credit Card</v>
          </cell>
          <cell r="Z337">
            <v>4</v>
          </cell>
          <cell r="AA337" t="b">
            <v>0</v>
          </cell>
          <cell r="AC337" t="str">
            <v>Delivered</v>
          </cell>
          <cell r="AE337">
            <v>2</v>
          </cell>
        </row>
        <row r="338">
          <cell r="C338">
            <v>44278</v>
          </cell>
          <cell r="D338" t="str">
            <v>CUST31894</v>
          </cell>
          <cell r="E338" t="str">
            <v>Amit Joshi</v>
          </cell>
          <cell r="G338">
            <v>44</v>
          </cell>
          <cell r="H338" t="str">
            <v>Adult</v>
          </cell>
          <cell r="J338" t="str">
            <v>Other</v>
          </cell>
          <cell r="K338" t="str">
            <v>North</v>
          </cell>
          <cell r="L338" t="str">
            <v>Ludhiana</v>
          </cell>
          <cell r="M338" t="str">
            <v>Furniture</v>
          </cell>
          <cell r="N338" t="str">
            <v>Desk</v>
          </cell>
          <cell r="P338">
            <v>2</v>
          </cell>
          <cell r="Q338">
            <v>4143.1000000000004</v>
          </cell>
          <cell r="S338">
            <v>0.19793402777777783</v>
          </cell>
          <cell r="T338">
            <v>9554.34</v>
          </cell>
          <cell r="U338">
            <v>2463.9499999999998</v>
          </cell>
          <cell r="V338">
            <v>0.25788803831557172</v>
          </cell>
          <cell r="W338">
            <v>56.97</v>
          </cell>
          <cell r="X338" t="str">
            <v>Net Banking</v>
          </cell>
          <cell r="Z338">
            <v>5</v>
          </cell>
          <cell r="AA338" t="b">
            <v>0</v>
          </cell>
          <cell r="AC338" t="str">
            <v>Delivered</v>
          </cell>
          <cell r="AE338">
            <v>5</v>
          </cell>
        </row>
        <row r="339">
          <cell r="C339">
            <v>44045</v>
          </cell>
          <cell r="D339" t="str">
            <v>CUST67381</v>
          </cell>
          <cell r="E339" t="str">
            <v>Amit Mehta</v>
          </cell>
          <cell r="G339">
            <v>46</v>
          </cell>
          <cell r="H339" t="str">
            <v>Adult</v>
          </cell>
          <cell r="J339" t="str">
            <v>Other</v>
          </cell>
          <cell r="K339" t="str">
            <v>East</v>
          </cell>
          <cell r="L339" t="str">
            <v>Kolkata</v>
          </cell>
          <cell r="M339" t="str">
            <v>Electronics</v>
          </cell>
          <cell r="N339" t="str">
            <v>Laptop</v>
          </cell>
          <cell r="P339">
            <v>6</v>
          </cell>
          <cell r="Q339">
            <v>76471.27</v>
          </cell>
          <cell r="S339">
            <v>0.19793402777777783</v>
          </cell>
          <cell r="T339">
            <v>542833.31999999995</v>
          </cell>
          <cell r="U339">
            <v>79755.17</v>
          </cell>
          <cell r="V339">
            <v>0.1469238660589221</v>
          </cell>
          <cell r="W339">
            <v>71.89</v>
          </cell>
          <cell r="X339" t="str">
            <v>Cash on Delivery</v>
          </cell>
          <cell r="Z339">
            <v>5</v>
          </cell>
          <cell r="AA339" t="b">
            <v>0</v>
          </cell>
          <cell r="AC339" t="str">
            <v>Delivered</v>
          </cell>
          <cell r="AE339">
            <v>5</v>
          </cell>
        </row>
        <row r="340">
          <cell r="C340">
            <v>45256</v>
          </cell>
          <cell r="D340" t="str">
            <v>CUST29713</v>
          </cell>
          <cell r="E340" t="str">
            <v>Rahul Gupta</v>
          </cell>
          <cell r="G340">
            <v>37</v>
          </cell>
          <cell r="H340" t="str">
            <v>Adult</v>
          </cell>
          <cell r="J340" t="str">
            <v>Male</v>
          </cell>
          <cell r="K340" t="str">
            <v>West</v>
          </cell>
          <cell r="L340" t="str">
            <v>Mumbai</v>
          </cell>
          <cell r="M340" t="str">
            <v>Books</v>
          </cell>
          <cell r="N340" t="str">
            <v>Cook Book</v>
          </cell>
          <cell r="P340">
            <v>10</v>
          </cell>
          <cell r="Q340">
            <v>666.25</v>
          </cell>
          <cell r="S340">
            <v>7.0000000000000007E-2</v>
          </cell>
          <cell r="T340">
            <v>5098.3999999999996</v>
          </cell>
          <cell r="U340">
            <v>1728.64</v>
          </cell>
          <cell r="V340">
            <v>0.33905538992625139</v>
          </cell>
          <cell r="W340">
            <v>55.61</v>
          </cell>
          <cell r="X340" t="str">
            <v>UPI</v>
          </cell>
          <cell r="Z340">
            <v>3</v>
          </cell>
          <cell r="AA340" t="b">
            <v>0</v>
          </cell>
          <cell r="AC340" t="str">
            <v>Delivered</v>
          </cell>
          <cell r="AE340">
            <v>8</v>
          </cell>
        </row>
        <row r="341">
          <cell r="C341">
            <v>45630</v>
          </cell>
          <cell r="D341" t="str">
            <v>CUST62051</v>
          </cell>
          <cell r="E341" t="str">
            <v>Ananya Pillai</v>
          </cell>
          <cell r="G341">
            <v>5</v>
          </cell>
          <cell r="H341" t="str">
            <v>Child</v>
          </cell>
          <cell r="J341" t="str">
            <v>Other</v>
          </cell>
          <cell r="K341" t="str">
            <v>Central</v>
          </cell>
          <cell r="L341" t="str">
            <v>Bhopal</v>
          </cell>
          <cell r="M341" t="str">
            <v>Electronics</v>
          </cell>
          <cell r="N341" t="str">
            <v>Tablet</v>
          </cell>
          <cell r="P341">
            <v>4</v>
          </cell>
          <cell r="Q341">
            <v>51581.35</v>
          </cell>
          <cell r="S341">
            <v>0.38</v>
          </cell>
          <cell r="T341">
            <v>131067.26</v>
          </cell>
          <cell r="U341">
            <v>15238.43</v>
          </cell>
          <cell r="V341">
            <v>0.11626419900744092</v>
          </cell>
          <cell r="W341">
            <v>72.66</v>
          </cell>
          <cell r="X341" t="str">
            <v>Net Banking</v>
          </cell>
          <cell r="Z341">
            <v>4</v>
          </cell>
          <cell r="AA341" t="b">
            <v>1</v>
          </cell>
          <cell r="AC341" t="str">
            <v>Returned</v>
          </cell>
          <cell r="AE341">
            <v>8</v>
          </cell>
        </row>
        <row r="342">
          <cell r="C342">
            <v>44778</v>
          </cell>
          <cell r="D342" t="str">
            <v>CUST72247</v>
          </cell>
          <cell r="E342" t="str">
            <v>Arjun Mishra</v>
          </cell>
          <cell r="G342">
            <v>57</v>
          </cell>
          <cell r="H342" t="str">
            <v>Senior</v>
          </cell>
          <cell r="J342" t="str">
            <v>Male</v>
          </cell>
          <cell r="K342" t="str">
            <v>East</v>
          </cell>
          <cell r="L342" t="str">
            <v>Kolkata</v>
          </cell>
          <cell r="M342" t="str">
            <v>Electronics</v>
          </cell>
          <cell r="N342" t="str">
            <v>Tablet</v>
          </cell>
          <cell r="P342">
            <v>1</v>
          </cell>
          <cell r="Q342">
            <v>67980.929999999993</v>
          </cell>
          <cell r="S342">
            <v>0.19793402777777783</v>
          </cell>
          <cell r="T342">
            <v>96948</v>
          </cell>
          <cell r="U342">
            <v>11975.81</v>
          </cell>
          <cell r="V342">
            <v>0.12352818005528736</v>
          </cell>
          <cell r="W342">
            <v>63.26</v>
          </cell>
          <cell r="X342" t="str">
            <v>Cash on Delivery</v>
          </cell>
          <cell r="Z342">
            <v>4</v>
          </cell>
          <cell r="AA342" t="b">
            <v>0</v>
          </cell>
          <cell r="AC342" t="str">
            <v>Delivered</v>
          </cell>
          <cell r="AE342">
            <v>9</v>
          </cell>
        </row>
        <row r="343">
          <cell r="C343">
            <v>44893</v>
          </cell>
          <cell r="D343" t="str">
            <v>CUST71240</v>
          </cell>
          <cell r="E343" t="str">
            <v>Pooja Sharma</v>
          </cell>
          <cell r="G343">
            <v>30</v>
          </cell>
          <cell r="H343" t="str">
            <v>Young Adult</v>
          </cell>
          <cell r="J343" t="str">
            <v>Other</v>
          </cell>
          <cell r="K343" t="str">
            <v>North</v>
          </cell>
          <cell r="L343" t="str">
            <v>Chandigarh</v>
          </cell>
          <cell r="M343" t="str">
            <v>Books</v>
          </cell>
          <cell r="N343" t="str">
            <v>Fiction Novel</v>
          </cell>
          <cell r="P343">
            <v>5</v>
          </cell>
          <cell r="Q343">
            <v>1175.29</v>
          </cell>
          <cell r="S343">
            <v>0.36</v>
          </cell>
          <cell r="T343">
            <v>3025.64</v>
          </cell>
          <cell r="U343">
            <v>1294.96</v>
          </cell>
          <cell r="V343">
            <v>0.42799539932047437</v>
          </cell>
          <cell r="W343">
            <v>66.209999999999994</v>
          </cell>
          <cell r="X343" t="str">
            <v>Net Banking</v>
          </cell>
          <cell r="Z343">
            <v>2</v>
          </cell>
          <cell r="AA343" t="b">
            <v>0</v>
          </cell>
          <cell r="AC343" t="str">
            <v>Delivered</v>
          </cell>
          <cell r="AE343">
            <v>4</v>
          </cell>
        </row>
        <row r="344">
          <cell r="C344">
            <v>44178</v>
          </cell>
          <cell r="D344" t="str">
            <v>CUST99682</v>
          </cell>
          <cell r="E344" t="str">
            <v>Aditya Mishra</v>
          </cell>
          <cell r="G344">
            <v>17</v>
          </cell>
          <cell r="H344" t="str">
            <v>Teen</v>
          </cell>
          <cell r="J344" t="str">
            <v>Other</v>
          </cell>
          <cell r="K344" t="str">
            <v>North</v>
          </cell>
          <cell r="L344" t="str">
            <v>Ludhiana</v>
          </cell>
          <cell r="M344" t="str">
            <v>Furniture</v>
          </cell>
          <cell r="N344" t="str">
            <v>Sofa</v>
          </cell>
          <cell r="P344">
            <v>5</v>
          </cell>
          <cell r="Q344">
            <v>30866.799999999999</v>
          </cell>
          <cell r="S344">
            <v>7.0000000000000007E-2</v>
          </cell>
          <cell r="T344">
            <v>87823.05</v>
          </cell>
          <cell r="U344">
            <v>26550.31</v>
          </cell>
          <cell r="V344">
            <v>0.30231596374755831</v>
          </cell>
          <cell r="W344">
            <v>38.03</v>
          </cell>
          <cell r="X344" t="str">
            <v>Debit Card</v>
          </cell>
          <cell r="Z344">
            <v>5</v>
          </cell>
          <cell r="AA344" t="b">
            <v>0</v>
          </cell>
          <cell r="AC344" t="str">
            <v>Delivered</v>
          </cell>
          <cell r="AE344">
            <v>10</v>
          </cell>
        </row>
        <row r="345">
          <cell r="C345">
            <v>44113</v>
          </cell>
          <cell r="D345" t="str">
            <v>CUST51786</v>
          </cell>
          <cell r="E345" t="str">
            <v>Kavya Joshi</v>
          </cell>
          <cell r="G345">
            <v>48</v>
          </cell>
          <cell r="H345" t="str">
            <v>Adult</v>
          </cell>
          <cell r="J345" t="str">
            <v>Male</v>
          </cell>
          <cell r="K345" t="str">
            <v>Central</v>
          </cell>
          <cell r="L345" t="str">
            <v>Bhopal</v>
          </cell>
          <cell r="M345" t="str">
            <v>Beauty</v>
          </cell>
          <cell r="N345" t="str">
            <v>Perfume</v>
          </cell>
          <cell r="P345">
            <v>9</v>
          </cell>
          <cell r="Q345">
            <v>1406.56</v>
          </cell>
          <cell r="S345">
            <v>0.1</v>
          </cell>
          <cell r="T345">
            <v>8925.0499999999993</v>
          </cell>
          <cell r="U345">
            <v>3776.97</v>
          </cell>
          <cell r="V345">
            <v>0.42318754516781421</v>
          </cell>
          <cell r="W345">
            <v>39.94</v>
          </cell>
          <cell r="X345" t="str">
            <v>Cash on Delivery</v>
          </cell>
          <cell r="Z345">
            <v>3</v>
          </cell>
          <cell r="AA345" t="b">
            <v>0</v>
          </cell>
          <cell r="AC345" t="str">
            <v>Delivered</v>
          </cell>
          <cell r="AE345">
            <v>5</v>
          </cell>
        </row>
        <row r="346">
          <cell r="C346">
            <v>44148</v>
          </cell>
          <cell r="D346" t="str">
            <v>CUST90688</v>
          </cell>
          <cell r="E346" t="str">
            <v>Priya Nair</v>
          </cell>
          <cell r="G346">
            <v>42</v>
          </cell>
          <cell r="H346" t="str">
            <v>Adult</v>
          </cell>
          <cell r="J346" t="str">
            <v>Female</v>
          </cell>
          <cell r="K346" t="str">
            <v>East</v>
          </cell>
          <cell r="L346" t="str">
            <v>Patna</v>
          </cell>
          <cell r="M346" t="str">
            <v>Electronics</v>
          </cell>
          <cell r="N346" t="str">
            <v>Tablet</v>
          </cell>
          <cell r="P346">
            <v>6</v>
          </cell>
          <cell r="Q346">
            <v>50084.03</v>
          </cell>
          <cell r="S346">
            <v>0.17</v>
          </cell>
          <cell r="T346">
            <v>186628.87</v>
          </cell>
          <cell r="U346">
            <v>20981.15</v>
          </cell>
          <cell r="V346">
            <v>0.11242178126031627</v>
          </cell>
          <cell r="W346">
            <v>94.58</v>
          </cell>
          <cell r="X346" t="str">
            <v>Debit Card</v>
          </cell>
          <cell r="Z346">
            <v>4</v>
          </cell>
          <cell r="AA346" t="b">
            <v>0</v>
          </cell>
          <cell r="AC346" t="str">
            <v>Cancelled</v>
          </cell>
          <cell r="AE346">
            <v>6</v>
          </cell>
        </row>
        <row r="347">
          <cell r="C347">
            <v>44024</v>
          </cell>
          <cell r="D347" t="str">
            <v>CUST45071</v>
          </cell>
          <cell r="E347" t="str">
            <v>Aditya Nair</v>
          </cell>
          <cell r="G347">
            <v>22</v>
          </cell>
          <cell r="H347" t="str">
            <v>Young Adult</v>
          </cell>
          <cell r="J347" t="str">
            <v>Male</v>
          </cell>
          <cell r="K347" t="str">
            <v>West</v>
          </cell>
          <cell r="L347" t="str">
            <v>Ahmedabad</v>
          </cell>
          <cell r="M347" t="str">
            <v>Groceries</v>
          </cell>
          <cell r="N347" t="str">
            <v>Cooking Oil</v>
          </cell>
          <cell r="P347">
            <v>2</v>
          </cell>
          <cell r="Q347">
            <v>379.2</v>
          </cell>
          <cell r="S347">
            <v>0.2</v>
          </cell>
          <cell r="T347">
            <v>658.39</v>
          </cell>
          <cell r="U347">
            <v>27.25</v>
          </cell>
          <cell r="V347">
            <v>4.1388842479381523E-2</v>
          </cell>
          <cell r="W347">
            <v>67.650000000000006</v>
          </cell>
          <cell r="X347" t="str">
            <v>UPI</v>
          </cell>
          <cell r="Z347">
            <v>1</v>
          </cell>
          <cell r="AA347" t="b">
            <v>0</v>
          </cell>
          <cell r="AC347" t="str">
            <v>Delivered</v>
          </cell>
          <cell r="AE347">
            <v>7</v>
          </cell>
        </row>
        <row r="348">
          <cell r="C348">
            <v>43881</v>
          </cell>
          <cell r="D348" t="str">
            <v>CUST20387</v>
          </cell>
          <cell r="E348" t="str">
            <v>Ritu Mishra</v>
          </cell>
          <cell r="G348">
            <v>26</v>
          </cell>
          <cell r="H348" t="str">
            <v>Young Adult</v>
          </cell>
          <cell r="J348" t="str">
            <v>Female</v>
          </cell>
          <cell r="K348" t="str">
            <v>South</v>
          </cell>
          <cell r="L348" t="str">
            <v>Kochi</v>
          </cell>
          <cell r="M348" t="str">
            <v>Beauty</v>
          </cell>
          <cell r="N348" t="str">
            <v>Lipstick</v>
          </cell>
          <cell r="P348">
            <v>2</v>
          </cell>
          <cell r="Q348">
            <v>959.97</v>
          </cell>
          <cell r="S348">
            <v>0.05</v>
          </cell>
          <cell r="T348">
            <v>1563.91</v>
          </cell>
          <cell r="U348">
            <v>630.51</v>
          </cell>
          <cell r="V348">
            <v>0.40316258608231931</v>
          </cell>
          <cell r="W348">
            <v>71.849999999999994</v>
          </cell>
          <cell r="X348" t="str">
            <v>EMI</v>
          </cell>
          <cell r="Z348">
            <v>4</v>
          </cell>
          <cell r="AA348" t="b">
            <v>0</v>
          </cell>
          <cell r="AC348" t="str">
            <v>Delivered</v>
          </cell>
          <cell r="AE348">
            <v>2</v>
          </cell>
        </row>
        <row r="349">
          <cell r="C349">
            <v>43979</v>
          </cell>
          <cell r="D349" t="str">
            <v>CUST91659</v>
          </cell>
          <cell r="E349" t="str">
            <v>Shreya Verma</v>
          </cell>
          <cell r="G349">
            <v>20</v>
          </cell>
          <cell r="H349" t="str">
            <v>Young Adult</v>
          </cell>
          <cell r="J349" t="str">
            <v>Male</v>
          </cell>
          <cell r="K349" t="str">
            <v>Central</v>
          </cell>
          <cell r="L349" t="str">
            <v>Nagpur</v>
          </cell>
          <cell r="M349" t="str">
            <v>Clothing</v>
          </cell>
          <cell r="N349" t="str">
            <v>Kurta</v>
          </cell>
          <cell r="P349">
            <v>1</v>
          </cell>
          <cell r="Q349">
            <v>1604.88</v>
          </cell>
          <cell r="S349">
            <v>0.22</v>
          </cell>
          <cell r="T349">
            <v>1620.42</v>
          </cell>
          <cell r="U349">
            <v>414.75</v>
          </cell>
          <cell r="V349">
            <v>0.25595216055096826</v>
          </cell>
          <cell r="W349">
            <v>71.08</v>
          </cell>
          <cell r="X349" t="str">
            <v>Debit Card</v>
          </cell>
          <cell r="Z349">
            <v>3</v>
          </cell>
          <cell r="AA349" t="b">
            <v>1</v>
          </cell>
          <cell r="AC349" t="str">
            <v>Returned</v>
          </cell>
          <cell r="AE349">
            <v>4</v>
          </cell>
        </row>
        <row r="350">
          <cell r="C350">
            <v>44852</v>
          </cell>
          <cell r="D350" t="str">
            <v>CUST09796</v>
          </cell>
          <cell r="E350" t="str">
            <v>Shreya Mehta</v>
          </cell>
          <cell r="G350">
            <v>2</v>
          </cell>
          <cell r="H350" t="str">
            <v>Child</v>
          </cell>
          <cell r="J350" t="str">
            <v>Other</v>
          </cell>
          <cell r="K350" t="str">
            <v>North</v>
          </cell>
          <cell r="L350" t="str">
            <v>Ludhiana</v>
          </cell>
          <cell r="M350" t="str">
            <v>Clothing</v>
          </cell>
          <cell r="N350" t="str">
            <v>Kurta</v>
          </cell>
          <cell r="P350">
            <v>5</v>
          </cell>
          <cell r="Q350">
            <v>3077.69</v>
          </cell>
          <cell r="S350">
            <v>0.12</v>
          </cell>
          <cell r="T350">
            <v>12279.25</v>
          </cell>
          <cell r="U350">
            <v>4018.97</v>
          </cell>
          <cell r="V350">
            <v>0.32729767697538531</v>
          </cell>
          <cell r="W350">
            <v>55.38</v>
          </cell>
          <cell r="X350" t="str">
            <v>UPI</v>
          </cell>
          <cell r="Z350">
            <v>3</v>
          </cell>
          <cell r="AA350" t="b">
            <v>0</v>
          </cell>
          <cell r="AC350" t="str">
            <v>Delivered</v>
          </cell>
          <cell r="AE350">
            <v>8</v>
          </cell>
        </row>
        <row r="351">
          <cell r="C351">
            <v>44344</v>
          </cell>
          <cell r="D351" t="str">
            <v>CUST65692</v>
          </cell>
          <cell r="E351" t="str">
            <v>Aarav Kumar</v>
          </cell>
          <cell r="G351">
            <v>12</v>
          </cell>
          <cell r="H351" t="str">
            <v>Child</v>
          </cell>
          <cell r="J351" t="str">
            <v>Other</v>
          </cell>
          <cell r="K351" t="str">
            <v>Central</v>
          </cell>
          <cell r="L351" t="str">
            <v>Raipur</v>
          </cell>
          <cell r="M351" t="str">
            <v>Groceries</v>
          </cell>
          <cell r="N351" t="str">
            <v>Tea</v>
          </cell>
          <cell r="P351">
            <v>10</v>
          </cell>
          <cell r="Q351">
            <v>179.45</v>
          </cell>
          <cell r="S351">
            <v>0.1</v>
          </cell>
          <cell r="T351">
            <v>2253.34</v>
          </cell>
          <cell r="U351">
            <v>170.8</v>
          </cell>
          <cell r="V351">
            <v>7.5798592311857066E-2</v>
          </cell>
          <cell r="W351">
            <v>35.54</v>
          </cell>
          <cell r="X351" t="str">
            <v>EMI</v>
          </cell>
          <cell r="Z351">
            <v>3</v>
          </cell>
          <cell r="AA351" t="b">
            <v>0</v>
          </cell>
          <cell r="AC351" t="str">
            <v>Delivered</v>
          </cell>
          <cell r="AE351">
            <v>7</v>
          </cell>
        </row>
        <row r="352">
          <cell r="C352">
            <v>45344</v>
          </cell>
          <cell r="D352" t="str">
            <v>CUST61945</v>
          </cell>
          <cell r="E352" t="str">
            <v>Vikram Joshi</v>
          </cell>
          <cell r="G352">
            <v>25</v>
          </cell>
          <cell r="H352" t="str">
            <v>Young Adult</v>
          </cell>
          <cell r="J352" t="str">
            <v>Other</v>
          </cell>
          <cell r="K352" t="str">
            <v>West</v>
          </cell>
          <cell r="L352" t="str">
            <v>Ahmedabad</v>
          </cell>
          <cell r="M352" t="str">
            <v>Clothing</v>
          </cell>
          <cell r="N352" t="str">
            <v>T-Shirt</v>
          </cell>
          <cell r="P352">
            <v>6</v>
          </cell>
          <cell r="Q352">
            <v>1277.6600000000001</v>
          </cell>
          <cell r="S352">
            <v>0.19793402777777783</v>
          </cell>
          <cell r="T352">
            <v>7425.11</v>
          </cell>
          <cell r="U352">
            <v>2123.71</v>
          </cell>
          <cell r="V352">
            <v>0.28601731152804472</v>
          </cell>
          <cell r="W352">
            <v>43.17</v>
          </cell>
          <cell r="X352" t="str">
            <v>Net Banking</v>
          </cell>
          <cell r="Z352">
            <v>1</v>
          </cell>
          <cell r="AA352" t="b">
            <v>0</v>
          </cell>
          <cell r="AC352" t="str">
            <v>Delivered</v>
          </cell>
          <cell r="AE352">
            <v>10</v>
          </cell>
        </row>
        <row r="353">
          <cell r="C353">
            <v>44717</v>
          </cell>
          <cell r="D353" t="str">
            <v>CUST67385</v>
          </cell>
          <cell r="E353" t="str">
            <v>Kavya Shah</v>
          </cell>
          <cell r="G353">
            <v>52</v>
          </cell>
          <cell r="H353" t="str">
            <v>Senior</v>
          </cell>
          <cell r="J353" t="str">
            <v>Female</v>
          </cell>
          <cell r="K353" t="str">
            <v>West</v>
          </cell>
          <cell r="L353" t="str">
            <v>Pune</v>
          </cell>
          <cell r="M353" t="str">
            <v>Sports</v>
          </cell>
          <cell r="N353" t="str">
            <v>Cricket Bat</v>
          </cell>
          <cell r="P353">
            <v>10</v>
          </cell>
          <cell r="Q353">
            <v>6308.82</v>
          </cell>
          <cell r="S353">
            <v>0.36</v>
          </cell>
          <cell r="T353">
            <v>65319.25</v>
          </cell>
          <cell r="U353">
            <v>13727.44</v>
          </cell>
          <cell r="V353">
            <v>0.21015917972113887</v>
          </cell>
          <cell r="W353">
            <v>63.87</v>
          </cell>
          <cell r="X353" t="str">
            <v>Net Banking</v>
          </cell>
          <cell r="Z353">
            <v>1</v>
          </cell>
          <cell r="AA353" t="b">
            <v>1</v>
          </cell>
          <cell r="AC353" t="str">
            <v>Returned</v>
          </cell>
          <cell r="AE353">
            <v>7</v>
          </cell>
        </row>
        <row r="354">
          <cell r="C354">
            <v>45221</v>
          </cell>
          <cell r="D354" t="str">
            <v>CUST14537</v>
          </cell>
          <cell r="E354" t="str">
            <v>Pooja Joshi</v>
          </cell>
          <cell r="G354">
            <v>41</v>
          </cell>
          <cell r="H354" t="str">
            <v>Adult</v>
          </cell>
          <cell r="J354" t="str">
            <v>Other</v>
          </cell>
          <cell r="K354" t="str">
            <v>North</v>
          </cell>
          <cell r="L354" t="str">
            <v>Amritsar</v>
          </cell>
          <cell r="M354" t="str">
            <v>Beauty</v>
          </cell>
          <cell r="N354" t="str">
            <v>Hair Oil</v>
          </cell>
          <cell r="P354">
            <v>10</v>
          </cell>
          <cell r="Q354">
            <v>850.71</v>
          </cell>
          <cell r="S354">
            <v>0.4</v>
          </cell>
          <cell r="T354">
            <v>5762.75</v>
          </cell>
          <cell r="U354">
            <v>2735.24</v>
          </cell>
          <cell r="V354">
            <v>0.47464144722571683</v>
          </cell>
          <cell r="W354">
            <v>38.04</v>
          </cell>
          <cell r="X354" t="str">
            <v>Cash on Delivery</v>
          </cell>
          <cell r="Z354">
            <v>4</v>
          </cell>
          <cell r="AA354" t="b">
            <v>0</v>
          </cell>
          <cell r="AC354" t="str">
            <v>Delivered</v>
          </cell>
          <cell r="AE354">
            <v>6</v>
          </cell>
        </row>
        <row r="355">
          <cell r="C355">
            <v>45094</v>
          </cell>
          <cell r="D355" t="str">
            <v>CUST51781</v>
          </cell>
          <cell r="E355" t="str">
            <v>Karan Singh</v>
          </cell>
          <cell r="G355">
            <v>26</v>
          </cell>
          <cell r="H355" t="str">
            <v>Young Adult</v>
          </cell>
          <cell r="J355" t="str">
            <v>Male</v>
          </cell>
          <cell r="K355" t="str">
            <v>North</v>
          </cell>
          <cell r="L355" t="str">
            <v>Delhi</v>
          </cell>
          <cell r="M355" t="str">
            <v>Groceries</v>
          </cell>
          <cell r="N355" t="str">
            <v>Rice (5kg)</v>
          </cell>
          <cell r="P355">
            <v>5</v>
          </cell>
          <cell r="Q355">
            <v>200.85</v>
          </cell>
          <cell r="S355">
            <v>0.36</v>
          </cell>
          <cell r="T355">
            <v>1116.3800000000001</v>
          </cell>
          <cell r="U355">
            <v>71.67</v>
          </cell>
          <cell r="V355">
            <v>6.4198570379261535E-2</v>
          </cell>
          <cell r="W355">
            <v>58.1</v>
          </cell>
          <cell r="X355" t="str">
            <v>EMI</v>
          </cell>
          <cell r="Z355">
            <v>2</v>
          </cell>
          <cell r="AA355" t="b">
            <v>0</v>
          </cell>
          <cell r="AC355" t="str">
            <v>Delivered</v>
          </cell>
          <cell r="AE355">
            <v>1</v>
          </cell>
        </row>
        <row r="356">
          <cell r="C356">
            <v>44418</v>
          </cell>
          <cell r="D356" t="str">
            <v>CUST71873</v>
          </cell>
          <cell r="E356" t="str">
            <v>Aditya Singh</v>
          </cell>
          <cell r="G356">
            <v>35</v>
          </cell>
          <cell r="H356" t="str">
            <v>Young Adult</v>
          </cell>
          <cell r="J356" t="str">
            <v>Female</v>
          </cell>
          <cell r="K356" t="str">
            <v>East</v>
          </cell>
          <cell r="L356" t="str">
            <v>Bhubaneswar</v>
          </cell>
          <cell r="M356" t="str">
            <v>Furniture</v>
          </cell>
          <cell r="N356" t="str">
            <v>Sofa</v>
          </cell>
          <cell r="P356">
            <v>3</v>
          </cell>
          <cell r="Q356">
            <v>23823.69</v>
          </cell>
          <cell r="S356">
            <v>0.11</v>
          </cell>
          <cell r="T356">
            <v>88956.71</v>
          </cell>
          <cell r="U356">
            <v>26211.15</v>
          </cell>
          <cell r="V356">
            <v>0.29465062275796844</v>
          </cell>
          <cell r="W356">
            <v>95.16</v>
          </cell>
          <cell r="X356" t="str">
            <v>EMI</v>
          </cell>
          <cell r="Z356">
            <v>5</v>
          </cell>
          <cell r="AA356" t="b">
            <v>0</v>
          </cell>
          <cell r="AC356" t="str">
            <v>Delivered</v>
          </cell>
          <cell r="AE356">
            <v>6</v>
          </cell>
        </row>
        <row r="357">
          <cell r="C357">
            <v>44492</v>
          </cell>
          <cell r="D357" t="str">
            <v>CUST80946</v>
          </cell>
          <cell r="E357" t="str">
            <v>Nikhil Verma</v>
          </cell>
          <cell r="G357">
            <v>35</v>
          </cell>
          <cell r="H357" t="str">
            <v>Young Adult</v>
          </cell>
          <cell r="J357" t="str">
            <v>Other</v>
          </cell>
          <cell r="K357" t="str">
            <v>West</v>
          </cell>
          <cell r="L357" t="str">
            <v>Ahmedabad</v>
          </cell>
          <cell r="M357" t="str">
            <v>Sports</v>
          </cell>
          <cell r="N357" t="str">
            <v>Football</v>
          </cell>
          <cell r="P357">
            <v>6</v>
          </cell>
          <cell r="Q357">
            <v>10030.26</v>
          </cell>
          <cell r="S357">
            <v>0.17</v>
          </cell>
          <cell r="T357">
            <v>51174.21</v>
          </cell>
          <cell r="U357">
            <v>14093.89</v>
          </cell>
          <cell r="V357">
            <v>0.27541001609990656</v>
          </cell>
          <cell r="W357">
            <v>33.86</v>
          </cell>
          <cell r="X357" t="str">
            <v>Net Banking</v>
          </cell>
          <cell r="Z357">
            <v>4</v>
          </cell>
          <cell r="AA357" t="b">
            <v>0</v>
          </cell>
          <cell r="AC357" t="str">
            <v>Delivered</v>
          </cell>
          <cell r="AE357">
            <v>8</v>
          </cell>
        </row>
        <row r="358">
          <cell r="C358">
            <v>44873</v>
          </cell>
          <cell r="D358" t="str">
            <v>CUST04556</v>
          </cell>
          <cell r="E358" t="str">
            <v>Amit Shah</v>
          </cell>
          <cell r="G358">
            <v>43</v>
          </cell>
          <cell r="H358" t="str">
            <v>Adult</v>
          </cell>
          <cell r="J358" t="str">
            <v>Male</v>
          </cell>
          <cell r="K358" t="str">
            <v>East</v>
          </cell>
          <cell r="L358" t="str">
            <v>Kolkata</v>
          </cell>
          <cell r="M358" t="str">
            <v>Electronics</v>
          </cell>
          <cell r="N358" t="str">
            <v>Laptop</v>
          </cell>
          <cell r="P358">
            <v>9</v>
          </cell>
          <cell r="Q358">
            <v>33801.96</v>
          </cell>
          <cell r="S358">
            <v>0.4</v>
          </cell>
          <cell r="T358">
            <v>175761.72</v>
          </cell>
          <cell r="U358">
            <v>23971.25</v>
          </cell>
          <cell r="V358">
            <v>0.13638493068911706</v>
          </cell>
          <cell r="W358">
            <v>95.97</v>
          </cell>
          <cell r="X358" t="str">
            <v>Cash on Delivery</v>
          </cell>
          <cell r="Z358">
            <v>3</v>
          </cell>
          <cell r="AA358" t="b">
            <v>1</v>
          </cell>
          <cell r="AC358" t="str">
            <v>Returned</v>
          </cell>
          <cell r="AE358">
            <v>7</v>
          </cell>
        </row>
        <row r="359">
          <cell r="C359">
            <v>44732</v>
          </cell>
          <cell r="D359" t="str">
            <v>CUST98440</v>
          </cell>
          <cell r="E359" t="str">
            <v>Nikhil Nair</v>
          </cell>
          <cell r="G359">
            <v>34.294220665499125</v>
          </cell>
          <cell r="H359" t="str">
            <v>Young Adult</v>
          </cell>
          <cell r="J359" t="str">
            <v>Other</v>
          </cell>
          <cell r="K359" t="str">
            <v>South</v>
          </cell>
          <cell r="L359" t="str">
            <v>Kochi</v>
          </cell>
          <cell r="M359" t="str">
            <v>Clothing</v>
          </cell>
          <cell r="N359" t="str">
            <v>Saree</v>
          </cell>
          <cell r="P359">
            <v>4</v>
          </cell>
          <cell r="Q359">
            <v>2288.92</v>
          </cell>
          <cell r="S359">
            <v>0.09</v>
          </cell>
          <cell r="T359">
            <v>11495.42</v>
          </cell>
          <cell r="U359">
            <v>3680.34</v>
          </cell>
          <cell r="V359">
            <v>0.32015707125098519</v>
          </cell>
          <cell r="W359">
            <v>53.41</v>
          </cell>
          <cell r="X359" t="str">
            <v>Cash on Delivery</v>
          </cell>
          <cell r="Z359">
            <v>4</v>
          </cell>
          <cell r="AA359" t="b">
            <v>0</v>
          </cell>
          <cell r="AC359" t="str">
            <v>Shipped</v>
          </cell>
          <cell r="AE359">
            <v>8</v>
          </cell>
        </row>
        <row r="360">
          <cell r="C360">
            <v>44732</v>
          </cell>
          <cell r="D360" t="str">
            <v>CUST63577</v>
          </cell>
          <cell r="E360" t="str">
            <v>Sunita Iyer</v>
          </cell>
          <cell r="G360">
            <v>49</v>
          </cell>
          <cell r="H360" t="str">
            <v>Adult</v>
          </cell>
          <cell r="J360" t="str">
            <v>Male</v>
          </cell>
          <cell r="K360" t="str">
            <v>Central</v>
          </cell>
          <cell r="L360" t="str">
            <v>Indore</v>
          </cell>
          <cell r="M360" t="str">
            <v>Groceries</v>
          </cell>
          <cell r="N360" t="str">
            <v>Flour</v>
          </cell>
          <cell r="P360">
            <v>8</v>
          </cell>
          <cell r="Q360">
            <v>377.69</v>
          </cell>
          <cell r="S360">
            <v>0.27</v>
          </cell>
          <cell r="T360">
            <v>3219.24</v>
          </cell>
          <cell r="U360">
            <v>244.77</v>
          </cell>
          <cell r="V360">
            <v>7.6033473739143403E-2</v>
          </cell>
          <cell r="W360">
            <v>42.69</v>
          </cell>
          <cell r="X360" t="str">
            <v>Credit Card</v>
          </cell>
          <cell r="Z360">
            <v>1</v>
          </cell>
          <cell r="AA360" t="b">
            <v>0</v>
          </cell>
          <cell r="AC360" t="str">
            <v>Delivered</v>
          </cell>
          <cell r="AE360">
            <v>4</v>
          </cell>
        </row>
        <row r="361">
          <cell r="C361">
            <v>43918</v>
          </cell>
          <cell r="D361" t="str">
            <v>CUST04223</v>
          </cell>
          <cell r="E361" t="str">
            <v>Pooja Joshi</v>
          </cell>
          <cell r="G361">
            <v>12</v>
          </cell>
          <cell r="H361" t="str">
            <v>Child</v>
          </cell>
          <cell r="J361" t="str">
            <v>Other</v>
          </cell>
          <cell r="K361" t="str">
            <v>North</v>
          </cell>
          <cell r="L361" t="str">
            <v>Amritsar</v>
          </cell>
          <cell r="M361" t="str">
            <v>Sports</v>
          </cell>
          <cell r="N361" t="str">
            <v>Cycle</v>
          </cell>
          <cell r="P361">
            <v>8</v>
          </cell>
          <cell r="Q361">
            <v>10282.68</v>
          </cell>
          <cell r="S361">
            <v>0.11</v>
          </cell>
          <cell r="T361">
            <v>66340.960000000006</v>
          </cell>
          <cell r="U361">
            <v>13106.07</v>
          </cell>
          <cell r="V361">
            <v>0.19755623072080955</v>
          </cell>
          <cell r="W361">
            <v>65.44</v>
          </cell>
          <cell r="X361" t="str">
            <v>Net Banking</v>
          </cell>
          <cell r="Z361">
            <v>1</v>
          </cell>
          <cell r="AA361" t="b">
            <v>0</v>
          </cell>
          <cell r="AC361" t="str">
            <v>Delivered</v>
          </cell>
          <cell r="AE361">
            <v>3</v>
          </cell>
        </row>
        <row r="362">
          <cell r="C362">
            <v>44543</v>
          </cell>
          <cell r="D362" t="str">
            <v>CUST89482</v>
          </cell>
          <cell r="E362" t="str">
            <v>Nisha Chatterjee</v>
          </cell>
          <cell r="G362">
            <v>38</v>
          </cell>
          <cell r="H362" t="str">
            <v>Adult</v>
          </cell>
          <cell r="J362" t="str">
            <v>Male</v>
          </cell>
          <cell r="K362" t="str">
            <v>South</v>
          </cell>
          <cell r="L362" t="str">
            <v>Kochi</v>
          </cell>
          <cell r="M362" t="str">
            <v>Books</v>
          </cell>
          <cell r="N362" t="str">
            <v>Self-Help Book</v>
          </cell>
          <cell r="P362">
            <v>7</v>
          </cell>
          <cell r="Q362">
            <v>233.11</v>
          </cell>
          <cell r="S362">
            <v>0.36</v>
          </cell>
          <cell r="T362">
            <v>762.89</v>
          </cell>
          <cell r="U362">
            <v>271.36</v>
          </cell>
          <cell r="V362">
            <v>0.35570003539173412</v>
          </cell>
          <cell r="W362">
            <v>71.2</v>
          </cell>
          <cell r="X362" t="str">
            <v>UPI</v>
          </cell>
          <cell r="Z362">
            <v>3</v>
          </cell>
          <cell r="AA362" t="b">
            <v>0</v>
          </cell>
          <cell r="AC362" t="str">
            <v>Delivered</v>
          </cell>
          <cell r="AE362">
            <v>2</v>
          </cell>
        </row>
        <row r="363">
          <cell r="C363">
            <v>44194</v>
          </cell>
          <cell r="D363" t="str">
            <v>CUST20881</v>
          </cell>
          <cell r="E363" t="str">
            <v>Rohan Singh</v>
          </cell>
          <cell r="G363">
            <v>48</v>
          </cell>
          <cell r="H363" t="str">
            <v>Adult</v>
          </cell>
          <cell r="J363" t="str">
            <v>Male</v>
          </cell>
          <cell r="K363" t="str">
            <v>West</v>
          </cell>
          <cell r="L363" t="str">
            <v>Mumbai</v>
          </cell>
          <cell r="M363" t="str">
            <v>Sports</v>
          </cell>
          <cell r="N363" t="str">
            <v>Yoga Mat</v>
          </cell>
          <cell r="P363">
            <v>4</v>
          </cell>
          <cell r="Q363">
            <v>2347.62</v>
          </cell>
          <cell r="S363">
            <v>0.22</v>
          </cell>
          <cell r="T363">
            <v>5426.75</v>
          </cell>
          <cell r="U363">
            <v>1694.29</v>
          </cell>
          <cell r="V363">
            <v>0.31221080757359376</v>
          </cell>
          <cell r="W363">
            <v>36.229999999999997</v>
          </cell>
          <cell r="X363" t="str">
            <v>Debit Card</v>
          </cell>
          <cell r="Z363">
            <v>1</v>
          </cell>
          <cell r="AA363" t="b">
            <v>0</v>
          </cell>
          <cell r="AC363" t="str">
            <v>Delivered</v>
          </cell>
          <cell r="AE363">
            <v>10</v>
          </cell>
        </row>
        <row r="364">
          <cell r="C364">
            <v>45524</v>
          </cell>
          <cell r="D364" t="str">
            <v>CUST20311</v>
          </cell>
          <cell r="E364" t="str">
            <v>Shreya Gupta</v>
          </cell>
          <cell r="G364">
            <v>54</v>
          </cell>
          <cell r="H364" t="str">
            <v>Senior</v>
          </cell>
          <cell r="J364" t="str">
            <v>Other</v>
          </cell>
          <cell r="K364" t="str">
            <v>West</v>
          </cell>
          <cell r="L364" t="str">
            <v>Surat</v>
          </cell>
          <cell r="M364" t="str">
            <v>Sports</v>
          </cell>
          <cell r="N364" t="str">
            <v>Dumbbells</v>
          </cell>
          <cell r="P364">
            <v>8</v>
          </cell>
          <cell r="Q364">
            <v>8802.69</v>
          </cell>
          <cell r="S364">
            <v>0.36</v>
          </cell>
          <cell r="T364">
            <v>54768.47</v>
          </cell>
          <cell r="U364">
            <v>12390.55</v>
          </cell>
          <cell r="V364">
            <v>0.22623509475433581</v>
          </cell>
          <cell r="W364">
            <v>76.209999999999994</v>
          </cell>
          <cell r="X364" t="str">
            <v>Credit Card</v>
          </cell>
          <cell r="Z364">
            <v>5</v>
          </cell>
          <cell r="AA364" t="b">
            <v>0</v>
          </cell>
          <cell r="AC364" t="str">
            <v>Delivered</v>
          </cell>
          <cell r="AE364">
            <v>5</v>
          </cell>
        </row>
        <row r="365">
          <cell r="C365">
            <v>44289</v>
          </cell>
          <cell r="D365" t="str">
            <v>CUST39675</v>
          </cell>
          <cell r="E365" t="str">
            <v>Priya Kapoor</v>
          </cell>
          <cell r="G365">
            <v>24</v>
          </cell>
          <cell r="H365" t="str">
            <v>Young Adult</v>
          </cell>
          <cell r="J365" t="str">
            <v>Other</v>
          </cell>
          <cell r="K365" t="str">
            <v>East</v>
          </cell>
          <cell r="L365" t="str">
            <v>Bhubaneswar</v>
          </cell>
          <cell r="M365" t="str">
            <v>Clothing</v>
          </cell>
          <cell r="N365" t="str">
            <v>Jacket</v>
          </cell>
          <cell r="P365">
            <v>8</v>
          </cell>
          <cell r="Q365">
            <v>1837.46</v>
          </cell>
          <cell r="S365">
            <v>0.26</v>
          </cell>
          <cell r="T365">
            <v>13934.11</v>
          </cell>
          <cell r="U365">
            <v>4142.9399999999996</v>
          </cell>
          <cell r="V365">
            <v>0.29732361808540331</v>
          </cell>
          <cell r="W365">
            <v>81.400000000000006</v>
          </cell>
          <cell r="X365" t="str">
            <v>EMI</v>
          </cell>
          <cell r="Z365">
            <v>1</v>
          </cell>
          <cell r="AA365" t="b">
            <v>0</v>
          </cell>
          <cell r="AC365" t="str">
            <v>Cancelled</v>
          </cell>
          <cell r="AE365">
            <v>8</v>
          </cell>
        </row>
        <row r="366">
          <cell r="C366">
            <v>44827</v>
          </cell>
          <cell r="D366" t="str">
            <v>CUST16205</v>
          </cell>
          <cell r="E366" t="str">
            <v>Arjun Kapoor</v>
          </cell>
          <cell r="G366">
            <v>32</v>
          </cell>
          <cell r="H366" t="str">
            <v>Young Adult</v>
          </cell>
          <cell r="J366" t="str">
            <v>Male</v>
          </cell>
          <cell r="K366" t="str">
            <v>East</v>
          </cell>
          <cell r="L366" t="str">
            <v>Guwahati</v>
          </cell>
          <cell r="M366" t="str">
            <v>Sports</v>
          </cell>
          <cell r="N366" t="str">
            <v>Tennis Racket</v>
          </cell>
          <cell r="P366">
            <v>7.0954861111111107</v>
          </cell>
          <cell r="Q366">
            <v>7290.72</v>
          </cell>
          <cell r="S366">
            <v>0</v>
          </cell>
          <cell r="T366">
            <v>8729.66</v>
          </cell>
          <cell r="U366">
            <v>2532.61</v>
          </cell>
          <cell r="V366">
            <v>0.29011553714577659</v>
          </cell>
          <cell r="W366">
            <v>59.36</v>
          </cell>
          <cell r="X366" t="str">
            <v>EMI</v>
          </cell>
          <cell r="Z366">
            <v>5</v>
          </cell>
          <cell r="AA366" t="b">
            <v>0</v>
          </cell>
          <cell r="AC366" t="str">
            <v>Delivered</v>
          </cell>
          <cell r="AE366">
            <v>2</v>
          </cell>
        </row>
        <row r="367">
          <cell r="C367">
            <v>43948</v>
          </cell>
          <cell r="D367" t="str">
            <v>CUST76356</v>
          </cell>
          <cell r="E367" t="str">
            <v>Aditya Pillai</v>
          </cell>
          <cell r="G367">
            <v>21</v>
          </cell>
          <cell r="H367" t="str">
            <v>Young Adult</v>
          </cell>
          <cell r="J367" t="str">
            <v>Female</v>
          </cell>
          <cell r="K367" t="str">
            <v>East</v>
          </cell>
          <cell r="L367" t="str">
            <v>Kolkata</v>
          </cell>
          <cell r="M367" t="str">
            <v>Sports</v>
          </cell>
          <cell r="N367" t="str">
            <v>Football</v>
          </cell>
          <cell r="P367">
            <v>6</v>
          </cell>
          <cell r="Q367">
            <v>7876.81</v>
          </cell>
          <cell r="S367">
            <v>0.02</v>
          </cell>
          <cell r="T367">
            <v>58868.95</v>
          </cell>
          <cell r="U367">
            <v>12406.43</v>
          </cell>
          <cell r="V367">
            <v>0.21074658202668811</v>
          </cell>
          <cell r="W367">
            <v>62.09</v>
          </cell>
          <cell r="X367" t="str">
            <v>Debit Card</v>
          </cell>
          <cell r="Z367">
            <v>4</v>
          </cell>
          <cell r="AA367" t="b">
            <v>0</v>
          </cell>
          <cell r="AC367" t="str">
            <v>Shipped</v>
          </cell>
          <cell r="AE367">
            <v>3</v>
          </cell>
        </row>
        <row r="368">
          <cell r="C368">
            <v>44591</v>
          </cell>
          <cell r="D368" t="str">
            <v>CUST33909</v>
          </cell>
          <cell r="E368" t="str">
            <v>Amit Reddy</v>
          </cell>
          <cell r="G368">
            <v>28</v>
          </cell>
          <cell r="H368" t="str">
            <v>Young Adult</v>
          </cell>
          <cell r="J368" t="str">
            <v>Female</v>
          </cell>
          <cell r="K368" t="str">
            <v>North</v>
          </cell>
          <cell r="L368" t="str">
            <v>Chandigarh</v>
          </cell>
          <cell r="M368" t="str">
            <v>Books</v>
          </cell>
          <cell r="N368" t="str">
            <v>Comic Book</v>
          </cell>
          <cell r="P368">
            <v>4</v>
          </cell>
          <cell r="Q368">
            <v>1134.8900000000001</v>
          </cell>
          <cell r="S368">
            <v>0.05</v>
          </cell>
          <cell r="T368">
            <v>3201.22</v>
          </cell>
          <cell r="U368">
            <v>939.71</v>
          </cell>
          <cell r="V368">
            <v>0.29354746003086324</v>
          </cell>
          <cell r="W368">
            <v>68.97</v>
          </cell>
          <cell r="X368" t="str">
            <v>Net Banking</v>
          </cell>
          <cell r="Z368">
            <v>4</v>
          </cell>
          <cell r="AA368" t="b">
            <v>0</v>
          </cell>
          <cell r="AC368" t="str">
            <v>Delivered</v>
          </cell>
          <cell r="AE368">
            <v>2</v>
          </cell>
        </row>
        <row r="369">
          <cell r="C369">
            <v>44682</v>
          </cell>
          <cell r="D369" t="str">
            <v>CUST73689</v>
          </cell>
          <cell r="E369" t="str">
            <v>Meera Chatterjee</v>
          </cell>
          <cell r="G369">
            <v>41</v>
          </cell>
          <cell r="H369" t="str">
            <v>Adult</v>
          </cell>
          <cell r="J369" t="str">
            <v>Male</v>
          </cell>
          <cell r="K369" t="str">
            <v>South</v>
          </cell>
          <cell r="L369" t="str">
            <v>Kochi</v>
          </cell>
          <cell r="M369" t="str">
            <v>Clothing</v>
          </cell>
          <cell r="N369" t="str">
            <v>Jeans</v>
          </cell>
          <cell r="P369">
            <v>9</v>
          </cell>
          <cell r="Q369">
            <v>3373.39</v>
          </cell>
          <cell r="S369">
            <v>0.02</v>
          </cell>
          <cell r="T369">
            <v>45729.43</v>
          </cell>
          <cell r="U369">
            <v>18565.86</v>
          </cell>
          <cell r="V369">
            <v>0.40599368940308245</v>
          </cell>
          <cell r="W369">
            <v>73.180000000000007</v>
          </cell>
          <cell r="X369" t="str">
            <v>Cash on Delivery</v>
          </cell>
          <cell r="Z369">
            <v>2</v>
          </cell>
          <cell r="AA369" t="b">
            <v>0</v>
          </cell>
          <cell r="AC369" t="str">
            <v>Delivered</v>
          </cell>
          <cell r="AE369">
            <v>4</v>
          </cell>
        </row>
        <row r="370">
          <cell r="C370">
            <v>45021</v>
          </cell>
          <cell r="D370" t="str">
            <v>CUST72583</v>
          </cell>
          <cell r="E370" t="str">
            <v>Sunita Bose</v>
          </cell>
          <cell r="G370">
            <v>41</v>
          </cell>
          <cell r="H370" t="str">
            <v>Adult</v>
          </cell>
          <cell r="J370" t="str">
            <v>Female</v>
          </cell>
          <cell r="K370" t="str">
            <v>West</v>
          </cell>
          <cell r="L370" t="str">
            <v>Surat</v>
          </cell>
          <cell r="M370" t="str">
            <v>Groceries</v>
          </cell>
          <cell r="N370" t="str">
            <v>Tea</v>
          </cell>
          <cell r="P370">
            <v>9</v>
          </cell>
          <cell r="Q370">
            <v>467.6</v>
          </cell>
          <cell r="S370">
            <v>0.02</v>
          </cell>
          <cell r="T370">
            <v>5992.24</v>
          </cell>
          <cell r="U370">
            <v>654.29</v>
          </cell>
          <cell r="V370">
            <v>0.10918955182035432</v>
          </cell>
          <cell r="W370">
            <v>37.130000000000003</v>
          </cell>
          <cell r="X370" t="str">
            <v>EMI</v>
          </cell>
          <cell r="Z370">
            <v>4</v>
          </cell>
          <cell r="AA370" t="b">
            <v>0</v>
          </cell>
          <cell r="AC370" t="str">
            <v>Delivered</v>
          </cell>
          <cell r="AE370">
            <v>7</v>
          </cell>
        </row>
        <row r="371">
          <cell r="C371">
            <v>44088</v>
          </cell>
          <cell r="D371" t="str">
            <v>CUST39101</v>
          </cell>
          <cell r="E371" t="str">
            <v>Sunita Mehta</v>
          </cell>
          <cell r="G371">
            <v>32</v>
          </cell>
          <cell r="H371" t="str">
            <v>Young Adult</v>
          </cell>
          <cell r="J371" t="str">
            <v>Other</v>
          </cell>
          <cell r="K371" t="str">
            <v>East</v>
          </cell>
          <cell r="L371" t="str">
            <v>Guwahati</v>
          </cell>
          <cell r="M371" t="str">
            <v>Furniture</v>
          </cell>
          <cell r="N371" t="str">
            <v>Bookshelf</v>
          </cell>
          <cell r="P371">
            <v>7</v>
          </cell>
          <cell r="Q371">
            <v>5932.53</v>
          </cell>
          <cell r="S371">
            <v>0.39</v>
          </cell>
          <cell r="T371">
            <v>23093.119999999999</v>
          </cell>
          <cell r="U371">
            <v>8164.97</v>
          </cell>
          <cell r="V371">
            <v>0.35356720962780258</v>
          </cell>
          <cell r="W371">
            <v>84.41</v>
          </cell>
          <cell r="X371" t="str">
            <v>UPI</v>
          </cell>
          <cell r="Z371">
            <v>3</v>
          </cell>
          <cell r="AA371" t="b">
            <v>0</v>
          </cell>
          <cell r="AC371" t="str">
            <v>Delivered</v>
          </cell>
          <cell r="AE371">
            <v>1</v>
          </cell>
        </row>
        <row r="372">
          <cell r="C372">
            <v>45511</v>
          </cell>
          <cell r="D372" t="str">
            <v>CUST07406</v>
          </cell>
          <cell r="E372" t="str">
            <v>Sunita Pillai</v>
          </cell>
          <cell r="G372">
            <v>54</v>
          </cell>
          <cell r="H372" t="str">
            <v>Senior</v>
          </cell>
          <cell r="J372" t="str">
            <v>Other</v>
          </cell>
          <cell r="K372" t="str">
            <v>West</v>
          </cell>
          <cell r="L372" t="str">
            <v>Pune</v>
          </cell>
          <cell r="M372" t="str">
            <v>Clothing</v>
          </cell>
          <cell r="N372" t="str">
            <v>Jeans</v>
          </cell>
          <cell r="P372">
            <v>7.0954861111111107</v>
          </cell>
          <cell r="Q372">
            <v>545.99</v>
          </cell>
          <cell r="S372">
            <v>0.34</v>
          </cell>
          <cell r="T372">
            <v>578.97</v>
          </cell>
          <cell r="U372">
            <v>183.45</v>
          </cell>
          <cell r="V372">
            <v>0.31685579563707961</v>
          </cell>
          <cell r="W372">
            <v>68.2</v>
          </cell>
          <cell r="X372" t="str">
            <v>Credit Card</v>
          </cell>
          <cell r="Z372">
            <v>1</v>
          </cell>
          <cell r="AA372" t="b">
            <v>0</v>
          </cell>
          <cell r="AC372" t="str">
            <v>Delivered</v>
          </cell>
          <cell r="AE372">
            <v>9</v>
          </cell>
        </row>
        <row r="373">
          <cell r="C373">
            <v>44871</v>
          </cell>
          <cell r="D373" t="str">
            <v>CUST13324</v>
          </cell>
          <cell r="E373" t="str">
            <v>Sanjay Iyer</v>
          </cell>
          <cell r="G373">
            <v>31</v>
          </cell>
          <cell r="H373" t="str">
            <v>Young Adult</v>
          </cell>
          <cell r="J373" t="str">
            <v>Other</v>
          </cell>
          <cell r="K373" t="str">
            <v>North</v>
          </cell>
          <cell r="L373" t="str">
            <v>Delhi</v>
          </cell>
          <cell r="M373" t="str">
            <v>Groceries</v>
          </cell>
          <cell r="N373" t="str">
            <v>Tea</v>
          </cell>
          <cell r="P373">
            <v>8</v>
          </cell>
          <cell r="Q373">
            <v>163.97</v>
          </cell>
          <cell r="S373">
            <v>0.16</v>
          </cell>
          <cell r="T373">
            <v>1055.3399999999999</v>
          </cell>
          <cell r="U373">
            <v>91.59</v>
          </cell>
          <cell r="V373">
            <v>8.6787196543294115E-2</v>
          </cell>
          <cell r="W373">
            <v>24.74</v>
          </cell>
          <cell r="X373" t="str">
            <v>Debit Card</v>
          </cell>
          <cell r="Z373">
            <v>4</v>
          </cell>
          <cell r="AA373" t="b">
            <v>0</v>
          </cell>
          <cell r="AC373" t="str">
            <v>Shipped</v>
          </cell>
          <cell r="AE373">
            <v>8</v>
          </cell>
        </row>
        <row r="374">
          <cell r="C374">
            <v>44963</v>
          </cell>
          <cell r="D374" t="str">
            <v>CUST96115</v>
          </cell>
          <cell r="E374" t="str">
            <v>Sanjay Rao</v>
          </cell>
          <cell r="G374">
            <v>39</v>
          </cell>
          <cell r="H374" t="str">
            <v>Adult</v>
          </cell>
          <cell r="J374" t="str">
            <v>Male</v>
          </cell>
          <cell r="K374" t="str">
            <v>South</v>
          </cell>
          <cell r="L374" t="str">
            <v>Kochi</v>
          </cell>
          <cell r="M374" t="str">
            <v>Books</v>
          </cell>
          <cell r="N374" t="str">
            <v>Self-Help Book</v>
          </cell>
          <cell r="P374">
            <v>10</v>
          </cell>
          <cell r="Q374">
            <v>947.87</v>
          </cell>
          <cell r="S374">
            <v>0.24</v>
          </cell>
          <cell r="T374">
            <v>7234.13</v>
          </cell>
          <cell r="U374">
            <v>3527.5</v>
          </cell>
          <cell r="V374">
            <v>0.48761910554551824</v>
          </cell>
          <cell r="W374">
            <v>84.4</v>
          </cell>
          <cell r="X374" t="str">
            <v>Credit Card</v>
          </cell>
          <cell r="Z374">
            <v>4</v>
          </cell>
          <cell r="AA374" t="b">
            <v>0</v>
          </cell>
          <cell r="AC374" t="str">
            <v>Delivered</v>
          </cell>
          <cell r="AE374">
            <v>4</v>
          </cell>
        </row>
        <row r="375">
          <cell r="C375">
            <v>44243</v>
          </cell>
          <cell r="D375" t="str">
            <v>CUST76268</v>
          </cell>
          <cell r="E375" t="str">
            <v>Arjun Patel</v>
          </cell>
          <cell r="G375">
            <v>36</v>
          </cell>
          <cell r="H375" t="str">
            <v>Adult</v>
          </cell>
          <cell r="J375" t="str">
            <v>Other</v>
          </cell>
          <cell r="K375" t="str">
            <v>North</v>
          </cell>
          <cell r="L375" t="str">
            <v>Amritsar</v>
          </cell>
          <cell r="M375" t="str">
            <v>Electronics</v>
          </cell>
          <cell r="N375" t="str">
            <v>Smartwatch</v>
          </cell>
          <cell r="P375">
            <v>3</v>
          </cell>
          <cell r="Q375">
            <v>48921.59</v>
          </cell>
          <cell r="S375">
            <v>0.19</v>
          </cell>
          <cell r="T375">
            <v>107608.01</v>
          </cell>
          <cell r="U375">
            <v>16935.060000000001</v>
          </cell>
          <cell r="V375">
            <v>0.15737731791527418</v>
          </cell>
          <cell r="W375">
            <v>46.65</v>
          </cell>
          <cell r="X375" t="str">
            <v>Credit Card</v>
          </cell>
          <cell r="Z375">
            <v>1</v>
          </cell>
          <cell r="AA375" t="b">
            <v>0</v>
          </cell>
          <cell r="AC375" t="str">
            <v>Delivered</v>
          </cell>
          <cell r="AE375">
            <v>3</v>
          </cell>
        </row>
        <row r="376">
          <cell r="C376">
            <v>45002</v>
          </cell>
          <cell r="D376" t="str">
            <v>CUST85785</v>
          </cell>
          <cell r="E376" t="str">
            <v>Meera Rao</v>
          </cell>
          <cell r="G376">
            <v>41</v>
          </cell>
          <cell r="H376" t="str">
            <v>Adult</v>
          </cell>
          <cell r="J376" t="str">
            <v>Female</v>
          </cell>
          <cell r="K376" t="str">
            <v>West</v>
          </cell>
          <cell r="L376" t="str">
            <v>Surat</v>
          </cell>
          <cell r="M376" t="str">
            <v>Beauty</v>
          </cell>
          <cell r="N376" t="str">
            <v>Perfume</v>
          </cell>
          <cell r="P376">
            <v>2</v>
          </cell>
          <cell r="Q376">
            <v>888.49</v>
          </cell>
          <cell r="S376">
            <v>0.08</v>
          </cell>
          <cell r="T376">
            <v>2115.7399999999998</v>
          </cell>
          <cell r="U376">
            <v>795.3</v>
          </cell>
          <cell r="V376">
            <v>0.37589684932931267</v>
          </cell>
          <cell r="W376">
            <v>42.25</v>
          </cell>
          <cell r="X376" t="str">
            <v>Debit Card</v>
          </cell>
          <cell r="Z376">
            <v>1</v>
          </cell>
          <cell r="AA376" t="b">
            <v>0</v>
          </cell>
          <cell r="AC376" t="str">
            <v>Pending</v>
          </cell>
          <cell r="AE376">
            <v>8</v>
          </cell>
        </row>
        <row r="377">
          <cell r="C377">
            <v>44516</v>
          </cell>
          <cell r="D377" t="str">
            <v>CUST61294</v>
          </cell>
          <cell r="E377" t="str">
            <v>Shreya Mishra</v>
          </cell>
          <cell r="G377">
            <v>34.294220665499125</v>
          </cell>
          <cell r="H377" t="str">
            <v>Young Adult</v>
          </cell>
          <cell r="J377" t="str">
            <v>Other</v>
          </cell>
          <cell r="K377" t="str">
            <v>North</v>
          </cell>
          <cell r="L377" t="str">
            <v>Amritsar</v>
          </cell>
          <cell r="M377" t="str">
            <v>Groceries</v>
          </cell>
          <cell r="N377" t="str">
            <v>Rice (5kg)</v>
          </cell>
          <cell r="P377">
            <v>1</v>
          </cell>
          <cell r="Q377">
            <v>148.49</v>
          </cell>
          <cell r="S377">
            <v>0.12</v>
          </cell>
          <cell r="T377">
            <v>100.14</v>
          </cell>
          <cell r="U377">
            <v>7.46</v>
          </cell>
          <cell r="V377">
            <v>7.4495706011583784E-2</v>
          </cell>
          <cell r="W377">
            <v>70.77</v>
          </cell>
          <cell r="X377" t="str">
            <v>Credit Card</v>
          </cell>
          <cell r="Z377">
            <v>1</v>
          </cell>
          <cell r="AA377" t="b">
            <v>0</v>
          </cell>
          <cell r="AC377" t="str">
            <v>Delivered</v>
          </cell>
          <cell r="AE377">
            <v>9</v>
          </cell>
        </row>
        <row r="378">
          <cell r="C378">
            <v>44098</v>
          </cell>
          <cell r="D378" t="str">
            <v>CUST03651</v>
          </cell>
          <cell r="E378" t="str">
            <v>Arjun Patel</v>
          </cell>
          <cell r="G378">
            <v>55</v>
          </cell>
          <cell r="H378" t="str">
            <v>Senior</v>
          </cell>
          <cell r="J378" t="str">
            <v>Female</v>
          </cell>
          <cell r="K378" t="str">
            <v>West</v>
          </cell>
          <cell r="L378" t="str">
            <v>Surat</v>
          </cell>
          <cell r="M378" t="str">
            <v>Electronics</v>
          </cell>
          <cell r="N378" t="str">
            <v>Tablet</v>
          </cell>
          <cell r="P378">
            <v>1</v>
          </cell>
          <cell r="Q378">
            <v>38379.550000000003</v>
          </cell>
          <cell r="S378">
            <v>0.18</v>
          </cell>
          <cell r="T378">
            <v>33725.89</v>
          </cell>
          <cell r="U378">
            <v>4708.0600000000004</v>
          </cell>
          <cell r="V378">
            <v>0.13959779860516655</v>
          </cell>
          <cell r="W378">
            <v>49.85</v>
          </cell>
          <cell r="X378" t="str">
            <v>EMI</v>
          </cell>
          <cell r="Z378">
            <v>2</v>
          </cell>
          <cell r="AA378" t="b">
            <v>0</v>
          </cell>
          <cell r="AC378" t="str">
            <v>Delivered</v>
          </cell>
          <cell r="AE378">
            <v>5</v>
          </cell>
        </row>
        <row r="379">
          <cell r="C379">
            <v>45626</v>
          </cell>
          <cell r="D379" t="str">
            <v>CUST88649</v>
          </cell>
          <cell r="E379" t="str">
            <v>Pooja Iyer</v>
          </cell>
          <cell r="G379">
            <v>30</v>
          </cell>
          <cell r="H379" t="str">
            <v>Young Adult</v>
          </cell>
          <cell r="J379" t="str">
            <v>Female</v>
          </cell>
          <cell r="K379" t="str">
            <v>South</v>
          </cell>
          <cell r="L379" t="str">
            <v>Chennai</v>
          </cell>
          <cell r="M379" t="str">
            <v>Books</v>
          </cell>
          <cell r="N379" t="str">
            <v>Self-Help Book</v>
          </cell>
          <cell r="P379">
            <v>10</v>
          </cell>
          <cell r="Q379">
            <v>1308.6300000000001</v>
          </cell>
          <cell r="S379">
            <v>0.39</v>
          </cell>
          <cell r="T379">
            <v>8038.79</v>
          </cell>
          <cell r="U379">
            <v>3691.88</v>
          </cell>
          <cell r="V379">
            <v>0.45925817193881169</v>
          </cell>
          <cell r="W379">
            <v>59.74</v>
          </cell>
          <cell r="X379" t="str">
            <v>EMI</v>
          </cell>
          <cell r="Z379">
            <v>5</v>
          </cell>
          <cell r="AA379" t="b">
            <v>0</v>
          </cell>
          <cell r="AC379" t="str">
            <v>Delivered</v>
          </cell>
          <cell r="AE379">
            <v>9</v>
          </cell>
        </row>
        <row r="380">
          <cell r="C380">
            <v>44411</v>
          </cell>
          <cell r="D380" t="str">
            <v>CUST60491</v>
          </cell>
          <cell r="E380" t="str">
            <v>Shreya Bhat</v>
          </cell>
          <cell r="G380">
            <v>24</v>
          </cell>
          <cell r="H380" t="str">
            <v>Young Adult</v>
          </cell>
          <cell r="J380" t="str">
            <v>Other</v>
          </cell>
          <cell r="K380" t="str">
            <v>East</v>
          </cell>
          <cell r="L380" t="str">
            <v>Bhubaneswar</v>
          </cell>
          <cell r="M380" t="str">
            <v>Sports</v>
          </cell>
          <cell r="N380" t="str">
            <v>Cycle</v>
          </cell>
          <cell r="P380">
            <v>2</v>
          </cell>
          <cell r="Q380">
            <v>8857.58</v>
          </cell>
          <cell r="S380">
            <v>0.05</v>
          </cell>
          <cell r="T380">
            <v>21239.19</v>
          </cell>
          <cell r="U380">
            <v>3446.13</v>
          </cell>
          <cell r="V380">
            <v>0.16225336276948416</v>
          </cell>
          <cell r="W380">
            <v>90.64</v>
          </cell>
          <cell r="X380" t="str">
            <v>Net Banking</v>
          </cell>
          <cell r="Z380">
            <v>3</v>
          </cell>
          <cell r="AA380" t="b">
            <v>1</v>
          </cell>
          <cell r="AC380" t="str">
            <v>Returned</v>
          </cell>
          <cell r="AE380">
            <v>8</v>
          </cell>
        </row>
        <row r="381">
          <cell r="C381">
            <v>44711</v>
          </cell>
          <cell r="D381" t="str">
            <v>CUST42274</v>
          </cell>
          <cell r="E381" t="str">
            <v>Nisha Reddy</v>
          </cell>
          <cell r="G381">
            <v>38</v>
          </cell>
          <cell r="H381" t="str">
            <v>Adult</v>
          </cell>
          <cell r="J381" t="str">
            <v>Other</v>
          </cell>
          <cell r="K381" t="str">
            <v>South</v>
          </cell>
          <cell r="L381" t="str">
            <v>Chennai</v>
          </cell>
          <cell r="M381" t="str">
            <v>Sports</v>
          </cell>
          <cell r="N381" t="str">
            <v>Tennis Racket</v>
          </cell>
          <cell r="P381">
            <v>10</v>
          </cell>
          <cell r="Q381">
            <v>2313.34</v>
          </cell>
          <cell r="S381">
            <v>7.0000000000000007E-2</v>
          </cell>
          <cell r="T381">
            <v>26178.67</v>
          </cell>
          <cell r="U381">
            <v>6071.72</v>
          </cell>
          <cell r="V381">
            <v>0.23193386065831459</v>
          </cell>
          <cell r="W381">
            <v>54.61</v>
          </cell>
          <cell r="X381" t="str">
            <v>Debit Card</v>
          </cell>
          <cell r="Z381">
            <v>1</v>
          </cell>
          <cell r="AA381" t="b">
            <v>1</v>
          </cell>
          <cell r="AC381" t="str">
            <v>Returned</v>
          </cell>
          <cell r="AE381">
            <v>3</v>
          </cell>
        </row>
        <row r="382">
          <cell r="C382">
            <v>44998</v>
          </cell>
          <cell r="D382" t="str">
            <v>CUST42802</v>
          </cell>
          <cell r="E382" t="str">
            <v>Sanjay Rao</v>
          </cell>
          <cell r="G382">
            <v>25</v>
          </cell>
          <cell r="H382" t="str">
            <v>Young Adult</v>
          </cell>
          <cell r="J382" t="str">
            <v>Male</v>
          </cell>
          <cell r="K382" t="str">
            <v>South</v>
          </cell>
          <cell r="L382" t="str">
            <v>Hyderabad</v>
          </cell>
          <cell r="M382" t="str">
            <v>Sports</v>
          </cell>
          <cell r="N382" t="str">
            <v>Cycle</v>
          </cell>
          <cell r="P382">
            <v>4</v>
          </cell>
          <cell r="Q382">
            <v>7081.6</v>
          </cell>
          <cell r="S382">
            <v>0.31</v>
          </cell>
          <cell r="T382">
            <v>25039.19</v>
          </cell>
          <cell r="U382">
            <v>6611.41</v>
          </cell>
          <cell r="V382">
            <v>0.26404248699738292</v>
          </cell>
          <cell r="W382">
            <v>89.06</v>
          </cell>
          <cell r="X382" t="str">
            <v>Debit Card</v>
          </cell>
          <cell r="Z382">
            <v>3</v>
          </cell>
          <cell r="AA382" t="b">
            <v>1</v>
          </cell>
          <cell r="AC382" t="str">
            <v>Returned</v>
          </cell>
          <cell r="AE382">
            <v>10</v>
          </cell>
        </row>
        <row r="383">
          <cell r="C383">
            <v>44786</v>
          </cell>
          <cell r="D383" t="str">
            <v>CUST50045</v>
          </cell>
          <cell r="E383" t="str">
            <v>Arjun Verma</v>
          </cell>
          <cell r="G383">
            <v>21</v>
          </cell>
          <cell r="H383" t="str">
            <v>Young Adult</v>
          </cell>
          <cell r="J383" t="str">
            <v>Male</v>
          </cell>
          <cell r="K383" t="str">
            <v>North</v>
          </cell>
          <cell r="L383" t="str">
            <v>Chandigarh</v>
          </cell>
          <cell r="M383" t="str">
            <v>Clothing</v>
          </cell>
          <cell r="N383" t="str">
            <v>Jeans</v>
          </cell>
          <cell r="P383">
            <v>8</v>
          </cell>
          <cell r="Q383">
            <v>3588.17</v>
          </cell>
          <cell r="S383">
            <v>0.24</v>
          </cell>
          <cell r="T383">
            <v>31618.79</v>
          </cell>
          <cell r="U383">
            <v>13674.74</v>
          </cell>
          <cell r="V383">
            <v>0.43248777072114397</v>
          </cell>
          <cell r="W383">
            <v>86.78</v>
          </cell>
          <cell r="X383" t="str">
            <v>EMI</v>
          </cell>
          <cell r="Z383">
            <v>1</v>
          </cell>
          <cell r="AA383" t="b">
            <v>0</v>
          </cell>
          <cell r="AC383" t="str">
            <v>Delivered</v>
          </cell>
          <cell r="AE383">
            <v>7</v>
          </cell>
        </row>
        <row r="384">
          <cell r="C384">
            <v>45503</v>
          </cell>
          <cell r="D384" t="str">
            <v>CUST24550</v>
          </cell>
          <cell r="E384" t="str">
            <v>Amit Nair</v>
          </cell>
          <cell r="G384">
            <v>19</v>
          </cell>
          <cell r="H384" t="str">
            <v>Teen</v>
          </cell>
          <cell r="J384" t="str">
            <v>Other</v>
          </cell>
          <cell r="K384" t="str">
            <v>West</v>
          </cell>
          <cell r="L384" t="str">
            <v>Pune</v>
          </cell>
          <cell r="M384" t="str">
            <v>Clothing</v>
          </cell>
          <cell r="N384" t="str">
            <v>Kurta</v>
          </cell>
          <cell r="P384">
            <v>4</v>
          </cell>
          <cell r="Q384">
            <v>2461.65</v>
          </cell>
          <cell r="S384">
            <v>0.33</v>
          </cell>
          <cell r="T384">
            <v>9963.8700000000008</v>
          </cell>
          <cell r="U384">
            <v>2386.31</v>
          </cell>
          <cell r="V384">
            <v>0.23949630013237827</v>
          </cell>
          <cell r="W384">
            <v>85.19</v>
          </cell>
          <cell r="X384" t="str">
            <v>Net Banking</v>
          </cell>
          <cell r="Z384">
            <v>4</v>
          </cell>
          <cell r="AA384" t="b">
            <v>0</v>
          </cell>
          <cell r="AC384" t="str">
            <v>Delivered</v>
          </cell>
          <cell r="AE384">
            <v>1</v>
          </cell>
        </row>
        <row r="385">
          <cell r="C385">
            <v>44118</v>
          </cell>
          <cell r="D385" t="str">
            <v>CUST94203</v>
          </cell>
          <cell r="E385" t="str">
            <v>Sanjay Nair</v>
          </cell>
          <cell r="G385">
            <v>34</v>
          </cell>
          <cell r="H385" t="str">
            <v>Young Adult</v>
          </cell>
          <cell r="J385" t="str">
            <v>Other</v>
          </cell>
          <cell r="K385" t="str">
            <v>Central</v>
          </cell>
          <cell r="L385" t="str">
            <v>Bhopal</v>
          </cell>
          <cell r="M385" t="str">
            <v>Furniture</v>
          </cell>
          <cell r="N385" t="str">
            <v>Bed Frame</v>
          </cell>
          <cell r="P385">
            <v>4</v>
          </cell>
          <cell r="Q385">
            <v>22879.02</v>
          </cell>
          <cell r="S385">
            <v>0.1</v>
          </cell>
          <cell r="T385">
            <v>63905.82</v>
          </cell>
          <cell r="U385">
            <v>18612.63</v>
          </cell>
          <cell r="V385">
            <v>0.29125093770802096</v>
          </cell>
          <cell r="W385">
            <v>53.94</v>
          </cell>
          <cell r="X385" t="str">
            <v>Cash on Delivery</v>
          </cell>
          <cell r="Z385">
            <v>1</v>
          </cell>
          <cell r="AA385" t="b">
            <v>0</v>
          </cell>
          <cell r="AC385" t="str">
            <v>Cancelled</v>
          </cell>
          <cell r="AE385">
            <v>6</v>
          </cell>
        </row>
        <row r="386">
          <cell r="C386">
            <v>45095</v>
          </cell>
          <cell r="D386" t="str">
            <v>CUST62956</v>
          </cell>
          <cell r="E386" t="str">
            <v>Pooja Mishra</v>
          </cell>
          <cell r="G386">
            <v>15</v>
          </cell>
          <cell r="H386" t="str">
            <v>Teen</v>
          </cell>
          <cell r="J386" t="str">
            <v>Male</v>
          </cell>
          <cell r="K386" t="str">
            <v>North</v>
          </cell>
          <cell r="L386" t="str">
            <v>Ludhiana</v>
          </cell>
          <cell r="M386" t="str">
            <v>Books</v>
          </cell>
          <cell r="N386" t="str">
            <v>Cook Book</v>
          </cell>
          <cell r="P386">
            <v>9</v>
          </cell>
          <cell r="Q386">
            <v>916.14</v>
          </cell>
          <cell r="S386">
            <v>0.36</v>
          </cell>
          <cell r="T386">
            <v>8220.0400000000009</v>
          </cell>
          <cell r="U386">
            <v>2666.27</v>
          </cell>
          <cell r="V386">
            <v>0.3243621685539243</v>
          </cell>
          <cell r="W386">
            <v>63.91</v>
          </cell>
          <cell r="X386" t="str">
            <v>Cash on Delivery</v>
          </cell>
          <cell r="Z386">
            <v>4</v>
          </cell>
          <cell r="AA386" t="b">
            <v>0</v>
          </cell>
          <cell r="AC386" t="str">
            <v>Cancelled</v>
          </cell>
          <cell r="AE386">
            <v>7</v>
          </cell>
        </row>
        <row r="387">
          <cell r="C387">
            <v>44468</v>
          </cell>
          <cell r="D387" t="str">
            <v>CUST00909</v>
          </cell>
          <cell r="E387" t="str">
            <v>Ananya Verma</v>
          </cell>
          <cell r="G387">
            <v>32</v>
          </cell>
          <cell r="H387" t="str">
            <v>Young Adult</v>
          </cell>
          <cell r="J387" t="str">
            <v>Other</v>
          </cell>
          <cell r="K387" t="str">
            <v>South</v>
          </cell>
          <cell r="L387" t="str">
            <v>Bangalore</v>
          </cell>
          <cell r="M387" t="str">
            <v>Furniture</v>
          </cell>
          <cell r="N387" t="str">
            <v>Sofa</v>
          </cell>
          <cell r="P387">
            <v>6</v>
          </cell>
          <cell r="Q387">
            <v>3717.72</v>
          </cell>
          <cell r="S387">
            <v>0.22</v>
          </cell>
          <cell r="T387">
            <v>17177.150000000001</v>
          </cell>
          <cell r="U387">
            <v>4949.58</v>
          </cell>
          <cell r="V387">
            <v>0.2881490817743339</v>
          </cell>
          <cell r="W387">
            <v>62.81</v>
          </cell>
          <cell r="X387" t="str">
            <v>Net Banking</v>
          </cell>
          <cell r="Z387">
            <v>2</v>
          </cell>
          <cell r="AA387" t="b">
            <v>0</v>
          </cell>
          <cell r="AC387" t="str">
            <v>Delivered</v>
          </cell>
          <cell r="AE387">
            <v>3</v>
          </cell>
        </row>
        <row r="388">
          <cell r="C388">
            <v>45180</v>
          </cell>
          <cell r="D388" t="str">
            <v>CUST84742</v>
          </cell>
          <cell r="E388" t="str">
            <v>Sunita Patel</v>
          </cell>
          <cell r="G388">
            <v>42</v>
          </cell>
          <cell r="H388" t="str">
            <v>Adult</v>
          </cell>
          <cell r="J388" t="str">
            <v>Other</v>
          </cell>
          <cell r="K388" t="str">
            <v>South</v>
          </cell>
          <cell r="L388" t="str">
            <v>Bangalore</v>
          </cell>
          <cell r="M388" t="str">
            <v>Sports</v>
          </cell>
          <cell r="N388" t="str">
            <v>Cricket Bat</v>
          </cell>
          <cell r="P388">
            <v>7</v>
          </cell>
          <cell r="Q388">
            <v>7005.09</v>
          </cell>
          <cell r="S388">
            <v>0.19793402777777783</v>
          </cell>
          <cell r="T388">
            <v>55004.13</v>
          </cell>
          <cell r="U388">
            <v>13825.48</v>
          </cell>
          <cell r="V388">
            <v>0.25135348927435086</v>
          </cell>
          <cell r="W388">
            <v>39.04</v>
          </cell>
          <cell r="X388" t="str">
            <v>Net Banking</v>
          </cell>
          <cell r="Z388">
            <v>3</v>
          </cell>
          <cell r="AA388" t="b">
            <v>0</v>
          </cell>
          <cell r="AC388" t="str">
            <v>Delivered</v>
          </cell>
          <cell r="AE388">
            <v>3</v>
          </cell>
        </row>
        <row r="389">
          <cell r="C389">
            <v>43941</v>
          </cell>
          <cell r="D389" t="str">
            <v>CUST66007</v>
          </cell>
          <cell r="E389" t="str">
            <v>Sunita Bose</v>
          </cell>
          <cell r="G389">
            <v>26</v>
          </cell>
          <cell r="H389" t="str">
            <v>Young Adult</v>
          </cell>
          <cell r="J389" t="str">
            <v>Male</v>
          </cell>
          <cell r="K389" t="str">
            <v>North</v>
          </cell>
          <cell r="L389" t="str">
            <v>Ludhiana</v>
          </cell>
          <cell r="M389" t="str">
            <v>Furniture</v>
          </cell>
          <cell r="N389" t="str">
            <v>Sofa</v>
          </cell>
          <cell r="P389">
            <v>1</v>
          </cell>
          <cell r="Q389">
            <v>6470.7</v>
          </cell>
          <cell r="S389">
            <v>0.34</v>
          </cell>
          <cell r="T389">
            <v>4394.74</v>
          </cell>
          <cell r="U389">
            <v>1235.03</v>
          </cell>
          <cell r="V389">
            <v>0.28102458848532563</v>
          </cell>
          <cell r="W389">
            <v>66.87</v>
          </cell>
          <cell r="X389" t="str">
            <v>Net Banking</v>
          </cell>
          <cell r="Z389">
            <v>4</v>
          </cell>
          <cell r="AA389" t="b">
            <v>0</v>
          </cell>
          <cell r="AC389" t="str">
            <v>Delivered</v>
          </cell>
          <cell r="AE389">
            <v>7</v>
          </cell>
        </row>
        <row r="390">
          <cell r="C390">
            <v>45131</v>
          </cell>
          <cell r="D390" t="str">
            <v>CUST96839</v>
          </cell>
          <cell r="E390" t="str">
            <v>Amit Sharma</v>
          </cell>
          <cell r="G390">
            <v>38</v>
          </cell>
          <cell r="H390" t="str">
            <v>Adult</v>
          </cell>
          <cell r="J390" t="str">
            <v>Female</v>
          </cell>
          <cell r="K390" t="str">
            <v>Central</v>
          </cell>
          <cell r="L390" t="str">
            <v>Raipur</v>
          </cell>
          <cell r="M390" t="str">
            <v>Books</v>
          </cell>
          <cell r="N390" t="str">
            <v>Cook Book</v>
          </cell>
          <cell r="P390">
            <v>10</v>
          </cell>
          <cell r="Q390">
            <v>680.67</v>
          </cell>
          <cell r="S390">
            <v>0.28000000000000003</v>
          </cell>
          <cell r="T390">
            <v>7920.13</v>
          </cell>
          <cell r="U390">
            <v>4381.82</v>
          </cell>
          <cell r="V390">
            <v>0.55325101986962333</v>
          </cell>
          <cell r="W390">
            <v>60.91</v>
          </cell>
          <cell r="X390" t="str">
            <v>Credit Card</v>
          </cell>
          <cell r="Z390">
            <v>3</v>
          </cell>
          <cell r="AA390" t="b">
            <v>0</v>
          </cell>
          <cell r="AC390" t="str">
            <v>Delivered</v>
          </cell>
          <cell r="AE390">
            <v>4</v>
          </cell>
        </row>
        <row r="391">
          <cell r="C391">
            <v>44464</v>
          </cell>
          <cell r="D391" t="str">
            <v>CUST62870</v>
          </cell>
          <cell r="E391" t="str">
            <v>Shreya Mehta</v>
          </cell>
          <cell r="G391">
            <v>38</v>
          </cell>
          <cell r="H391" t="str">
            <v>Adult</v>
          </cell>
          <cell r="J391" t="str">
            <v>Female</v>
          </cell>
          <cell r="K391" t="str">
            <v>Central</v>
          </cell>
          <cell r="L391" t="str">
            <v>Raipur</v>
          </cell>
          <cell r="M391" t="str">
            <v>Beauty</v>
          </cell>
          <cell r="N391" t="str">
            <v>Face Cream</v>
          </cell>
          <cell r="P391">
            <v>2</v>
          </cell>
          <cell r="Q391">
            <v>1348.14</v>
          </cell>
          <cell r="S391">
            <v>0.25</v>
          </cell>
          <cell r="T391">
            <v>2363.6999999999998</v>
          </cell>
          <cell r="U391">
            <v>904.82</v>
          </cell>
          <cell r="V391">
            <v>0.38279815543427681</v>
          </cell>
          <cell r="W391">
            <v>48.59</v>
          </cell>
          <cell r="X391" t="str">
            <v>UPI</v>
          </cell>
          <cell r="Z391">
            <v>2</v>
          </cell>
          <cell r="AA391" t="b">
            <v>0</v>
          </cell>
          <cell r="AC391" t="str">
            <v>Delivered</v>
          </cell>
          <cell r="AE391">
            <v>5</v>
          </cell>
        </row>
        <row r="392">
          <cell r="C392">
            <v>44836</v>
          </cell>
          <cell r="D392" t="str">
            <v>CUST66337</v>
          </cell>
          <cell r="E392" t="str">
            <v>Kavya Singh</v>
          </cell>
          <cell r="G392">
            <v>34.294220665499125</v>
          </cell>
          <cell r="H392" t="str">
            <v>Young Adult</v>
          </cell>
          <cell r="J392" t="str">
            <v>Female</v>
          </cell>
          <cell r="K392" t="str">
            <v>South</v>
          </cell>
          <cell r="L392" t="str">
            <v>Bangalore</v>
          </cell>
          <cell r="M392" t="str">
            <v>Clothing</v>
          </cell>
          <cell r="N392" t="str">
            <v>Dress</v>
          </cell>
          <cell r="P392">
            <v>10</v>
          </cell>
          <cell r="Q392">
            <v>2259.7800000000002</v>
          </cell>
          <cell r="S392">
            <v>0.04</v>
          </cell>
          <cell r="T392">
            <v>20953.37</v>
          </cell>
          <cell r="U392">
            <v>7949.05</v>
          </cell>
          <cell r="V392">
            <v>0.37936856935185131</v>
          </cell>
          <cell r="W392">
            <v>52.93</v>
          </cell>
          <cell r="X392" t="str">
            <v>UPI</v>
          </cell>
          <cell r="Z392">
            <v>5</v>
          </cell>
          <cell r="AA392" t="b">
            <v>0</v>
          </cell>
          <cell r="AC392" t="str">
            <v>Delivered</v>
          </cell>
          <cell r="AE392">
            <v>7</v>
          </cell>
        </row>
        <row r="393">
          <cell r="C393">
            <v>44555</v>
          </cell>
          <cell r="D393" t="str">
            <v>CUST54344</v>
          </cell>
          <cell r="E393" t="str">
            <v>Nisha Bhat</v>
          </cell>
          <cell r="G393">
            <v>27</v>
          </cell>
          <cell r="H393" t="str">
            <v>Young Adult</v>
          </cell>
          <cell r="J393" t="str">
            <v>Female</v>
          </cell>
          <cell r="K393" t="str">
            <v>North</v>
          </cell>
          <cell r="L393" t="str">
            <v>Amritsar</v>
          </cell>
          <cell r="M393" t="str">
            <v>Beauty</v>
          </cell>
          <cell r="N393" t="str">
            <v>Sunscreen</v>
          </cell>
          <cell r="P393">
            <v>1</v>
          </cell>
          <cell r="Q393">
            <v>805.29</v>
          </cell>
          <cell r="S393">
            <v>0.36</v>
          </cell>
          <cell r="T393">
            <v>359.88</v>
          </cell>
          <cell r="U393">
            <v>172.3</v>
          </cell>
          <cell r="V393">
            <v>0.4787707013448928</v>
          </cell>
          <cell r="W393">
            <v>52.35</v>
          </cell>
          <cell r="X393" t="str">
            <v>Net Banking</v>
          </cell>
          <cell r="Z393">
            <v>3</v>
          </cell>
          <cell r="AA393" t="b">
            <v>0</v>
          </cell>
          <cell r="AC393" t="str">
            <v>Delivered</v>
          </cell>
          <cell r="AE393">
            <v>6</v>
          </cell>
        </row>
        <row r="394">
          <cell r="C394">
            <v>44081</v>
          </cell>
          <cell r="D394" t="str">
            <v>CUST44323</v>
          </cell>
          <cell r="E394" t="str">
            <v>Ritu Bose</v>
          </cell>
          <cell r="G394">
            <v>33</v>
          </cell>
          <cell r="H394" t="str">
            <v>Young Adult</v>
          </cell>
          <cell r="J394" t="str">
            <v>Female</v>
          </cell>
          <cell r="K394" t="str">
            <v>South</v>
          </cell>
          <cell r="L394" t="str">
            <v>Bangalore</v>
          </cell>
          <cell r="M394" t="str">
            <v>Books</v>
          </cell>
          <cell r="N394" t="str">
            <v>Cook Book</v>
          </cell>
          <cell r="P394">
            <v>6</v>
          </cell>
          <cell r="Q394">
            <v>1105.96</v>
          </cell>
          <cell r="S394">
            <v>0.28999999999999998</v>
          </cell>
          <cell r="T394">
            <v>5241.79</v>
          </cell>
          <cell r="U394">
            <v>1716.01</v>
          </cell>
          <cell r="V394">
            <v>0.32737099349649645</v>
          </cell>
          <cell r="W394">
            <v>67.650000000000006</v>
          </cell>
          <cell r="X394" t="str">
            <v>Debit Card</v>
          </cell>
          <cell r="Z394">
            <v>3</v>
          </cell>
          <cell r="AA394" t="b">
            <v>1</v>
          </cell>
          <cell r="AC394" t="str">
            <v>Returned</v>
          </cell>
          <cell r="AE394">
            <v>5</v>
          </cell>
        </row>
        <row r="395">
          <cell r="C395">
            <v>44687</v>
          </cell>
          <cell r="D395" t="str">
            <v>CUST29935</v>
          </cell>
          <cell r="E395" t="str">
            <v>Sanjay Mishra</v>
          </cell>
          <cell r="G395">
            <v>30</v>
          </cell>
          <cell r="H395" t="str">
            <v>Young Adult</v>
          </cell>
          <cell r="J395" t="str">
            <v>Female</v>
          </cell>
          <cell r="K395" t="str">
            <v>West</v>
          </cell>
          <cell r="L395" t="str">
            <v>Surat</v>
          </cell>
          <cell r="M395" t="str">
            <v>Beauty</v>
          </cell>
          <cell r="N395" t="str">
            <v>Sunscreen</v>
          </cell>
          <cell r="P395">
            <v>8</v>
          </cell>
          <cell r="Q395">
            <v>2364.86</v>
          </cell>
          <cell r="S395">
            <v>0.15</v>
          </cell>
          <cell r="T395">
            <v>20195.66</v>
          </cell>
          <cell r="U395">
            <v>11817.43</v>
          </cell>
          <cell r="V395">
            <v>0.58514700683216103</v>
          </cell>
          <cell r="W395">
            <v>58.27</v>
          </cell>
          <cell r="X395" t="str">
            <v>Debit Card</v>
          </cell>
          <cell r="Z395">
            <v>5</v>
          </cell>
          <cell r="AA395" t="b">
            <v>0</v>
          </cell>
          <cell r="AC395" t="str">
            <v>Delivered</v>
          </cell>
          <cell r="AE395">
            <v>5</v>
          </cell>
        </row>
        <row r="396">
          <cell r="C396">
            <v>43888</v>
          </cell>
          <cell r="D396" t="str">
            <v>CUST82516</v>
          </cell>
          <cell r="E396" t="str">
            <v>Ritu Joshi</v>
          </cell>
          <cell r="G396">
            <v>40</v>
          </cell>
          <cell r="H396" t="str">
            <v>Adult</v>
          </cell>
          <cell r="J396" t="str">
            <v>Female</v>
          </cell>
          <cell r="K396" t="str">
            <v>East</v>
          </cell>
          <cell r="L396" t="str">
            <v>Bhubaneswar</v>
          </cell>
          <cell r="M396" t="str">
            <v>Sports</v>
          </cell>
          <cell r="N396" t="str">
            <v>Tennis Racket</v>
          </cell>
          <cell r="P396">
            <v>1</v>
          </cell>
          <cell r="Q396">
            <v>11227.96</v>
          </cell>
          <cell r="S396">
            <v>0.31</v>
          </cell>
          <cell r="T396">
            <v>6220.68</v>
          </cell>
          <cell r="U396">
            <v>1706.13</v>
          </cell>
          <cell r="V396">
            <v>0.27426744343062176</v>
          </cell>
          <cell r="W396">
            <v>87.6</v>
          </cell>
          <cell r="X396" t="str">
            <v>Net Banking</v>
          </cell>
          <cell r="Z396">
            <v>2</v>
          </cell>
          <cell r="AA396" t="b">
            <v>0</v>
          </cell>
          <cell r="AC396" t="str">
            <v>Shipped</v>
          </cell>
          <cell r="AE396">
            <v>3</v>
          </cell>
        </row>
        <row r="397">
          <cell r="C397">
            <v>45143</v>
          </cell>
          <cell r="D397" t="str">
            <v>CUST76199</v>
          </cell>
          <cell r="E397" t="str">
            <v>Meera Pillai</v>
          </cell>
          <cell r="G397">
            <v>60</v>
          </cell>
          <cell r="H397" t="str">
            <v>Senior</v>
          </cell>
          <cell r="J397" t="str">
            <v>Other</v>
          </cell>
          <cell r="K397" t="str">
            <v>West</v>
          </cell>
          <cell r="L397" t="str">
            <v>Ahmedabad</v>
          </cell>
          <cell r="M397" t="str">
            <v>Sports</v>
          </cell>
          <cell r="N397" t="str">
            <v>Tennis Racket</v>
          </cell>
          <cell r="P397">
            <v>3</v>
          </cell>
          <cell r="Q397">
            <v>6247.18</v>
          </cell>
          <cell r="S397">
            <v>0.23</v>
          </cell>
          <cell r="T397">
            <v>19652.060000000001</v>
          </cell>
          <cell r="U397">
            <v>5128.8900000000003</v>
          </cell>
          <cell r="V397">
            <v>0.2609848534962747</v>
          </cell>
          <cell r="W397">
            <v>52.48</v>
          </cell>
          <cell r="X397" t="str">
            <v>Credit Card</v>
          </cell>
          <cell r="Z397">
            <v>4</v>
          </cell>
          <cell r="AA397" t="b">
            <v>0</v>
          </cell>
          <cell r="AC397" t="str">
            <v>Delivered</v>
          </cell>
          <cell r="AE397">
            <v>7</v>
          </cell>
        </row>
        <row r="398">
          <cell r="C398">
            <v>45607</v>
          </cell>
          <cell r="D398" t="str">
            <v>CUST78442</v>
          </cell>
          <cell r="E398" t="str">
            <v>Arjun Gupta</v>
          </cell>
          <cell r="G398">
            <v>43</v>
          </cell>
          <cell r="H398" t="str">
            <v>Adult</v>
          </cell>
          <cell r="J398" t="str">
            <v>Female</v>
          </cell>
          <cell r="K398" t="str">
            <v>South</v>
          </cell>
          <cell r="L398" t="str">
            <v>Kochi</v>
          </cell>
          <cell r="M398" t="str">
            <v>Furniture</v>
          </cell>
          <cell r="N398" t="str">
            <v>Bed Frame</v>
          </cell>
          <cell r="P398">
            <v>2</v>
          </cell>
          <cell r="Q398">
            <v>28947.69</v>
          </cell>
          <cell r="S398">
            <v>0.39</v>
          </cell>
          <cell r="T398">
            <v>35266.769999999997</v>
          </cell>
          <cell r="U398">
            <v>8167.38</v>
          </cell>
          <cell r="V398">
            <v>0.23158854638516657</v>
          </cell>
          <cell r="W398">
            <v>63.11</v>
          </cell>
          <cell r="X398" t="str">
            <v>UPI</v>
          </cell>
          <cell r="Z398">
            <v>3</v>
          </cell>
          <cell r="AA398" t="b">
            <v>0</v>
          </cell>
          <cell r="AC398" t="str">
            <v>Delivered</v>
          </cell>
          <cell r="AE398">
            <v>1</v>
          </cell>
        </row>
        <row r="399">
          <cell r="C399">
            <v>45164</v>
          </cell>
          <cell r="D399" t="str">
            <v>CUST49151</v>
          </cell>
          <cell r="E399" t="str">
            <v>Sunita Patel</v>
          </cell>
          <cell r="G399">
            <v>35</v>
          </cell>
          <cell r="H399" t="str">
            <v>Young Adult</v>
          </cell>
          <cell r="J399" t="str">
            <v>Other</v>
          </cell>
          <cell r="K399" t="str">
            <v>West</v>
          </cell>
          <cell r="L399" t="str">
            <v>Mumbai</v>
          </cell>
          <cell r="M399" t="str">
            <v>Electronics</v>
          </cell>
          <cell r="N399" t="str">
            <v>Headphones</v>
          </cell>
          <cell r="P399">
            <v>1</v>
          </cell>
          <cell r="Q399">
            <v>41296.1</v>
          </cell>
          <cell r="S399">
            <v>7.0000000000000007E-2</v>
          </cell>
          <cell r="T399">
            <v>53611.5</v>
          </cell>
          <cell r="U399">
            <v>4184.2299999999996</v>
          </cell>
          <cell r="V399">
            <v>7.8047247325667063E-2</v>
          </cell>
          <cell r="W399">
            <v>65.67</v>
          </cell>
          <cell r="X399" t="str">
            <v>Credit Card</v>
          </cell>
          <cell r="Z399">
            <v>5</v>
          </cell>
          <cell r="AA399" t="b">
            <v>0</v>
          </cell>
          <cell r="AC399" t="str">
            <v>Delivered</v>
          </cell>
          <cell r="AE399">
            <v>5</v>
          </cell>
        </row>
        <row r="400">
          <cell r="C400">
            <v>43956</v>
          </cell>
          <cell r="D400" t="str">
            <v>CUST17741</v>
          </cell>
          <cell r="E400" t="str">
            <v>Arjun Verma</v>
          </cell>
          <cell r="G400">
            <v>32</v>
          </cell>
          <cell r="H400" t="str">
            <v>Young Adult</v>
          </cell>
          <cell r="J400" t="str">
            <v>Female</v>
          </cell>
          <cell r="K400" t="str">
            <v>East</v>
          </cell>
          <cell r="L400" t="str">
            <v>Patna</v>
          </cell>
          <cell r="M400" t="str">
            <v>Books</v>
          </cell>
          <cell r="N400" t="str">
            <v>Cook Book</v>
          </cell>
          <cell r="P400">
            <v>10</v>
          </cell>
          <cell r="Q400">
            <v>1387.77</v>
          </cell>
          <cell r="S400">
            <v>0.03</v>
          </cell>
          <cell r="T400">
            <v>15244.18</v>
          </cell>
          <cell r="U400">
            <v>5378.75</v>
          </cell>
          <cell r="V400">
            <v>0.35283957549700934</v>
          </cell>
          <cell r="W400">
            <v>88.89</v>
          </cell>
          <cell r="X400" t="str">
            <v>Net Banking</v>
          </cell>
          <cell r="Z400">
            <v>4</v>
          </cell>
          <cell r="AA400" t="b">
            <v>0</v>
          </cell>
          <cell r="AC400" t="str">
            <v>Delivered</v>
          </cell>
          <cell r="AE400">
            <v>9</v>
          </cell>
        </row>
        <row r="401">
          <cell r="C401">
            <v>44636</v>
          </cell>
          <cell r="D401" t="str">
            <v>CUST07773</v>
          </cell>
          <cell r="E401" t="str">
            <v>Karan Gupta</v>
          </cell>
          <cell r="G401">
            <v>41</v>
          </cell>
          <cell r="H401" t="str">
            <v>Adult</v>
          </cell>
          <cell r="J401" t="str">
            <v>Female</v>
          </cell>
          <cell r="K401" t="str">
            <v>South</v>
          </cell>
          <cell r="L401" t="str">
            <v>Hyderabad</v>
          </cell>
          <cell r="M401" t="str">
            <v>Books</v>
          </cell>
          <cell r="N401" t="str">
            <v>Comic Book</v>
          </cell>
          <cell r="P401">
            <v>2</v>
          </cell>
          <cell r="Q401">
            <v>1012.58</v>
          </cell>
          <cell r="S401">
            <v>0.19793402777777783</v>
          </cell>
          <cell r="T401">
            <v>2058.59</v>
          </cell>
          <cell r="U401">
            <v>942.39</v>
          </cell>
          <cell r="V401">
            <v>0.45778421152342136</v>
          </cell>
          <cell r="W401">
            <v>79.239999999999995</v>
          </cell>
          <cell r="X401" t="str">
            <v>UPI</v>
          </cell>
          <cell r="Z401">
            <v>5</v>
          </cell>
          <cell r="AA401" t="b">
            <v>0</v>
          </cell>
          <cell r="AC401" t="str">
            <v>Delivered</v>
          </cell>
          <cell r="AE401">
            <v>5</v>
          </cell>
        </row>
        <row r="402">
          <cell r="C402">
            <v>44557</v>
          </cell>
          <cell r="D402" t="str">
            <v>CUST42701</v>
          </cell>
          <cell r="E402" t="str">
            <v>Aarav Joshi</v>
          </cell>
          <cell r="G402">
            <v>48</v>
          </cell>
          <cell r="H402" t="str">
            <v>Adult</v>
          </cell>
          <cell r="J402" t="str">
            <v>Male</v>
          </cell>
          <cell r="K402" t="str">
            <v>South</v>
          </cell>
          <cell r="L402" t="str">
            <v>Kochi</v>
          </cell>
          <cell r="M402" t="str">
            <v>Clothing</v>
          </cell>
          <cell r="N402" t="str">
            <v>Jacket</v>
          </cell>
          <cell r="P402">
            <v>10</v>
          </cell>
          <cell r="Q402">
            <v>593.54999999999995</v>
          </cell>
          <cell r="S402">
            <v>0.18</v>
          </cell>
          <cell r="T402">
            <v>3624.78</v>
          </cell>
          <cell r="U402">
            <v>896.12</v>
          </cell>
          <cell r="V402">
            <v>0.2472205209695485</v>
          </cell>
          <cell r="W402">
            <v>78</v>
          </cell>
          <cell r="X402" t="str">
            <v>Debit Card</v>
          </cell>
          <cell r="Z402">
            <v>5</v>
          </cell>
          <cell r="AA402" t="b">
            <v>0</v>
          </cell>
          <cell r="AC402" t="str">
            <v>Delivered</v>
          </cell>
          <cell r="AE402">
            <v>9</v>
          </cell>
        </row>
        <row r="403">
          <cell r="C403">
            <v>44819</v>
          </cell>
          <cell r="D403" t="str">
            <v>CUST66737</v>
          </cell>
          <cell r="E403" t="str">
            <v>Ananya Patel</v>
          </cell>
          <cell r="G403">
            <v>43</v>
          </cell>
          <cell r="H403" t="str">
            <v>Adult</v>
          </cell>
          <cell r="J403" t="str">
            <v>Female</v>
          </cell>
          <cell r="K403" t="str">
            <v>South</v>
          </cell>
          <cell r="L403" t="str">
            <v>Chennai</v>
          </cell>
          <cell r="M403" t="str">
            <v>Clothing</v>
          </cell>
          <cell r="N403" t="str">
            <v>T-Shirt</v>
          </cell>
          <cell r="P403">
            <v>7.0954861111111107</v>
          </cell>
          <cell r="Q403">
            <v>803.12</v>
          </cell>
          <cell r="S403">
            <v>7.0000000000000007E-2</v>
          </cell>
          <cell r="T403">
            <v>911.76</v>
          </cell>
          <cell r="U403">
            <v>328.33</v>
          </cell>
          <cell r="V403">
            <v>0.36010572957795911</v>
          </cell>
          <cell r="W403">
            <v>73.010000000000005</v>
          </cell>
          <cell r="X403" t="str">
            <v>Credit Card</v>
          </cell>
          <cell r="Z403">
            <v>3</v>
          </cell>
          <cell r="AA403" t="b">
            <v>0</v>
          </cell>
          <cell r="AC403" t="str">
            <v>Delivered</v>
          </cell>
          <cell r="AE403">
            <v>7</v>
          </cell>
        </row>
        <row r="404">
          <cell r="C404">
            <v>45219</v>
          </cell>
          <cell r="D404" t="str">
            <v>CUST59240</v>
          </cell>
          <cell r="E404" t="str">
            <v>Ananya Mehta</v>
          </cell>
          <cell r="G404">
            <v>47</v>
          </cell>
          <cell r="H404" t="str">
            <v>Adult</v>
          </cell>
          <cell r="J404" t="str">
            <v>Male</v>
          </cell>
          <cell r="K404" t="str">
            <v>North</v>
          </cell>
          <cell r="L404" t="str">
            <v>Ludhiana</v>
          </cell>
          <cell r="M404" t="str">
            <v>Beauty</v>
          </cell>
          <cell r="N404" t="str">
            <v>Shampoo</v>
          </cell>
          <cell r="P404">
            <v>3</v>
          </cell>
          <cell r="Q404">
            <v>2099.98</v>
          </cell>
          <cell r="S404">
            <v>0.35</v>
          </cell>
          <cell r="T404">
            <v>4400.47</v>
          </cell>
          <cell r="U404">
            <v>2125.89</v>
          </cell>
          <cell r="V404">
            <v>0.48310521376125726</v>
          </cell>
          <cell r="W404">
            <v>50.77</v>
          </cell>
          <cell r="X404" t="str">
            <v>Cash on Delivery</v>
          </cell>
          <cell r="Z404">
            <v>3</v>
          </cell>
          <cell r="AA404" t="b">
            <v>1</v>
          </cell>
          <cell r="AC404" t="str">
            <v>Returned</v>
          </cell>
          <cell r="AE404">
            <v>7</v>
          </cell>
        </row>
        <row r="405">
          <cell r="C405">
            <v>45118</v>
          </cell>
          <cell r="D405" t="str">
            <v>CUST55824</v>
          </cell>
          <cell r="E405" t="str">
            <v>Ritu Kumar</v>
          </cell>
          <cell r="G405">
            <v>27</v>
          </cell>
          <cell r="H405" t="str">
            <v>Young Adult</v>
          </cell>
          <cell r="J405" t="str">
            <v>Male</v>
          </cell>
          <cell r="K405" t="str">
            <v>West</v>
          </cell>
          <cell r="L405" t="str">
            <v>Pune</v>
          </cell>
          <cell r="M405" t="str">
            <v>Books</v>
          </cell>
          <cell r="N405" t="str">
            <v>Fiction Novel</v>
          </cell>
          <cell r="P405">
            <v>1</v>
          </cell>
          <cell r="Q405">
            <v>623.96</v>
          </cell>
          <cell r="S405">
            <v>0.21</v>
          </cell>
          <cell r="T405">
            <v>778.16</v>
          </cell>
          <cell r="U405">
            <v>263.81</v>
          </cell>
          <cell r="V405">
            <v>0.33901768273876837</v>
          </cell>
          <cell r="W405">
            <v>68.14</v>
          </cell>
          <cell r="X405" t="str">
            <v>Cash on Delivery</v>
          </cell>
          <cell r="Z405">
            <v>3</v>
          </cell>
          <cell r="AA405" t="b">
            <v>0</v>
          </cell>
          <cell r="AC405" t="str">
            <v>Delivered</v>
          </cell>
          <cell r="AE405">
            <v>6</v>
          </cell>
        </row>
        <row r="406">
          <cell r="C406">
            <v>45184</v>
          </cell>
          <cell r="D406" t="str">
            <v>CUST60904</v>
          </cell>
          <cell r="E406" t="str">
            <v>Aditya Shah</v>
          </cell>
          <cell r="G406">
            <v>29</v>
          </cell>
          <cell r="H406" t="str">
            <v>Young Adult</v>
          </cell>
          <cell r="J406" t="str">
            <v>Female</v>
          </cell>
          <cell r="K406" t="str">
            <v>North</v>
          </cell>
          <cell r="L406" t="str">
            <v>Chandigarh</v>
          </cell>
          <cell r="M406" t="str">
            <v>Groceries</v>
          </cell>
          <cell r="N406" t="str">
            <v>Dal (1kg)</v>
          </cell>
          <cell r="P406">
            <v>1</v>
          </cell>
          <cell r="Q406">
            <v>394.11</v>
          </cell>
          <cell r="S406">
            <v>0.22</v>
          </cell>
          <cell r="T406">
            <v>414.31</v>
          </cell>
          <cell r="U406">
            <v>32.520000000000003</v>
          </cell>
          <cell r="V406">
            <v>7.8491950471868896E-2</v>
          </cell>
          <cell r="W406">
            <v>55.15</v>
          </cell>
          <cell r="X406" t="str">
            <v>UPI</v>
          </cell>
          <cell r="Z406">
            <v>3</v>
          </cell>
          <cell r="AA406" t="b">
            <v>0</v>
          </cell>
          <cell r="AC406" t="str">
            <v>Delivered</v>
          </cell>
          <cell r="AE406">
            <v>2</v>
          </cell>
        </row>
        <row r="407">
          <cell r="C407">
            <v>44355</v>
          </cell>
          <cell r="D407" t="str">
            <v>CUST04051</v>
          </cell>
          <cell r="E407" t="str">
            <v>Ananya Sharma</v>
          </cell>
          <cell r="G407">
            <v>40</v>
          </cell>
          <cell r="H407" t="str">
            <v>Adult</v>
          </cell>
          <cell r="J407" t="str">
            <v>Male</v>
          </cell>
          <cell r="K407" t="str">
            <v>South</v>
          </cell>
          <cell r="L407" t="str">
            <v>Hyderabad</v>
          </cell>
          <cell r="M407" t="str">
            <v>Furniture</v>
          </cell>
          <cell r="N407" t="str">
            <v>Sofa</v>
          </cell>
          <cell r="P407">
            <v>5</v>
          </cell>
          <cell r="Q407">
            <v>23260.25</v>
          </cell>
          <cell r="S407">
            <v>0.33</v>
          </cell>
          <cell r="T407">
            <v>119013.87</v>
          </cell>
          <cell r="U407">
            <v>32585.16</v>
          </cell>
          <cell r="V407">
            <v>0.27379296211441573</v>
          </cell>
          <cell r="W407">
            <v>74.55</v>
          </cell>
          <cell r="X407" t="str">
            <v>EMI</v>
          </cell>
          <cell r="Z407">
            <v>5</v>
          </cell>
          <cell r="AA407" t="b">
            <v>0</v>
          </cell>
          <cell r="AC407" t="str">
            <v>Delivered</v>
          </cell>
          <cell r="AE407">
            <v>9</v>
          </cell>
        </row>
        <row r="408">
          <cell r="C408">
            <v>44776</v>
          </cell>
          <cell r="D408" t="str">
            <v>CUST05495</v>
          </cell>
          <cell r="E408" t="str">
            <v>Vikram Singh</v>
          </cell>
          <cell r="G408">
            <v>45</v>
          </cell>
          <cell r="H408" t="str">
            <v>Adult</v>
          </cell>
          <cell r="J408" t="str">
            <v>Female</v>
          </cell>
          <cell r="K408" t="str">
            <v>North</v>
          </cell>
          <cell r="L408" t="str">
            <v>Delhi</v>
          </cell>
          <cell r="M408" t="str">
            <v>Clothing</v>
          </cell>
          <cell r="N408" t="str">
            <v>Kurta</v>
          </cell>
          <cell r="P408">
            <v>1</v>
          </cell>
          <cell r="Q408">
            <v>2503.3000000000002</v>
          </cell>
          <cell r="S408">
            <v>0.15</v>
          </cell>
          <cell r="T408">
            <v>2937.26</v>
          </cell>
          <cell r="U408">
            <v>723.88</v>
          </cell>
          <cell r="V408">
            <v>0.24644736931698247</v>
          </cell>
          <cell r="W408">
            <v>47.55</v>
          </cell>
          <cell r="X408" t="str">
            <v>EMI</v>
          </cell>
          <cell r="Z408">
            <v>2</v>
          </cell>
          <cell r="AA408" t="b">
            <v>1</v>
          </cell>
          <cell r="AC408" t="str">
            <v>Returned</v>
          </cell>
          <cell r="AE408">
            <v>10</v>
          </cell>
        </row>
        <row r="409">
          <cell r="C409">
            <v>44814</v>
          </cell>
          <cell r="D409" t="str">
            <v>CUST10492</v>
          </cell>
          <cell r="E409" t="str">
            <v>Rahul Patel</v>
          </cell>
          <cell r="G409">
            <v>61</v>
          </cell>
          <cell r="H409" t="str">
            <v>Senior</v>
          </cell>
          <cell r="J409" t="str">
            <v>Other</v>
          </cell>
          <cell r="K409" t="str">
            <v>West</v>
          </cell>
          <cell r="L409" t="str">
            <v>Surat</v>
          </cell>
          <cell r="M409" t="str">
            <v>Beauty</v>
          </cell>
          <cell r="N409" t="str">
            <v>Lipstick</v>
          </cell>
          <cell r="P409">
            <v>9</v>
          </cell>
          <cell r="Q409">
            <v>1292.1600000000001</v>
          </cell>
          <cell r="S409">
            <v>0.22</v>
          </cell>
          <cell r="T409">
            <v>10154.82</v>
          </cell>
          <cell r="U409">
            <v>3046.85</v>
          </cell>
          <cell r="V409">
            <v>0.30003978406313453</v>
          </cell>
          <cell r="W409">
            <v>70.59</v>
          </cell>
          <cell r="X409" t="str">
            <v>Credit Card</v>
          </cell>
          <cell r="Z409">
            <v>2</v>
          </cell>
          <cell r="AA409" t="b">
            <v>1</v>
          </cell>
          <cell r="AC409" t="str">
            <v>Returned</v>
          </cell>
          <cell r="AE409">
            <v>6</v>
          </cell>
        </row>
        <row r="410">
          <cell r="C410">
            <v>44444</v>
          </cell>
          <cell r="D410" t="str">
            <v>CUST15260</v>
          </cell>
          <cell r="E410" t="str">
            <v>Meera Patel</v>
          </cell>
          <cell r="G410">
            <v>40</v>
          </cell>
          <cell r="H410" t="str">
            <v>Adult</v>
          </cell>
          <cell r="J410" t="str">
            <v>Female</v>
          </cell>
          <cell r="K410" t="str">
            <v>East</v>
          </cell>
          <cell r="L410" t="str">
            <v>Bhubaneswar</v>
          </cell>
          <cell r="M410" t="str">
            <v>Electronics</v>
          </cell>
          <cell r="N410" t="str">
            <v>Camera</v>
          </cell>
          <cell r="P410">
            <v>10</v>
          </cell>
          <cell r="Q410">
            <v>55908.72</v>
          </cell>
          <cell r="S410">
            <v>0.11</v>
          </cell>
          <cell r="T410">
            <v>627898.81000000006</v>
          </cell>
          <cell r="U410">
            <v>86690.85</v>
          </cell>
          <cell r="V410">
            <v>0.13806500126987023</v>
          </cell>
          <cell r="W410">
            <v>75.650000000000006</v>
          </cell>
          <cell r="X410" t="str">
            <v>Cash on Delivery</v>
          </cell>
          <cell r="Z410">
            <v>5</v>
          </cell>
          <cell r="AA410" t="b">
            <v>0</v>
          </cell>
          <cell r="AC410" t="str">
            <v>Shipped</v>
          </cell>
          <cell r="AE410">
            <v>4</v>
          </cell>
        </row>
        <row r="411">
          <cell r="C411">
            <v>44622</v>
          </cell>
          <cell r="D411" t="str">
            <v>CUST31446</v>
          </cell>
          <cell r="E411" t="str">
            <v>Priya Singh</v>
          </cell>
          <cell r="G411">
            <v>57</v>
          </cell>
          <cell r="H411" t="str">
            <v>Senior</v>
          </cell>
          <cell r="J411" t="str">
            <v>Female</v>
          </cell>
          <cell r="K411" t="str">
            <v>North</v>
          </cell>
          <cell r="L411" t="str">
            <v>Chandigarh</v>
          </cell>
          <cell r="M411" t="str">
            <v>Beauty</v>
          </cell>
          <cell r="N411" t="str">
            <v>Face Cream</v>
          </cell>
          <cell r="P411">
            <v>6</v>
          </cell>
          <cell r="Q411">
            <v>583.99</v>
          </cell>
          <cell r="S411">
            <v>0.26</v>
          </cell>
          <cell r="T411">
            <v>2822.23</v>
          </cell>
          <cell r="U411">
            <v>1322.69</v>
          </cell>
          <cell r="V411">
            <v>0.46866839343356143</v>
          </cell>
          <cell r="W411">
            <v>22.05</v>
          </cell>
          <cell r="X411" t="str">
            <v>Credit Card</v>
          </cell>
          <cell r="Z411">
            <v>4</v>
          </cell>
          <cell r="AA411" t="b">
            <v>0</v>
          </cell>
          <cell r="AC411" t="str">
            <v>Shipped</v>
          </cell>
          <cell r="AE411">
            <v>6</v>
          </cell>
        </row>
        <row r="412">
          <cell r="C412">
            <v>45050</v>
          </cell>
          <cell r="D412" t="str">
            <v>CUST82471</v>
          </cell>
          <cell r="E412" t="str">
            <v>Pooja Shah</v>
          </cell>
          <cell r="G412">
            <v>36</v>
          </cell>
          <cell r="H412" t="str">
            <v>Adult</v>
          </cell>
          <cell r="J412" t="str">
            <v>Female</v>
          </cell>
          <cell r="K412" t="str">
            <v>South</v>
          </cell>
          <cell r="L412" t="str">
            <v>Kochi</v>
          </cell>
          <cell r="M412" t="str">
            <v>Clothing</v>
          </cell>
          <cell r="N412" t="str">
            <v>Saree</v>
          </cell>
          <cell r="P412">
            <v>2</v>
          </cell>
          <cell r="Q412">
            <v>3236.58</v>
          </cell>
          <cell r="S412">
            <v>0.04</v>
          </cell>
          <cell r="T412">
            <v>9893.9699999999993</v>
          </cell>
          <cell r="U412">
            <v>3171.49</v>
          </cell>
          <cell r="V412">
            <v>0.32054776798393364</v>
          </cell>
          <cell r="W412">
            <v>71.87</v>
          </cell>
          <cell r="X412" t="str">
            <v>Cash on Delivery</v>
          </cell>
          <cell r="Z412">
            <v>1</v>
          </cell>
          <cell r="AA412" t="b">
            <v>0</v>
          </cell>
          <cell r="AC412" t="str">
            <v>Delivered</v>
          </cell>
          <cell r="AE412">
            <v>9</v>
          </cell>
        </row>
        <row r="413">
          <cell r="C413">
            <v>45642</v>
          </cell>
          <cell r="D413" t="str">
            <v>CUST68700</v>
          </cell>
          <cell r="E413" t="str">
            <v>Aditya Mehta</v>
          </cell>
          <cell r="G413">
            <v>33</v>
          </cell>
          <cell r="H413" t="str">
            <v>Young Adult</v>
          </cell>
          <cell r="J413" t="str">
            <v>Female</v>
          </cell>
          <cell r="K413" t="str">
            <v>South</v>
          </cell>
          <cell r="L413" t="str">
            <v>Bangalore</v>
          </cell>
          <cell r="M413" t="str">
            <v>Sports</v>
          </cell>
          <cell r="N413" t="str">
            <v>Football</v>
          </cell>
          <cell r="P413">
            <v>9</v>
          </cell>
          <cell r="Q413">
            <v>7976.73</v>
          </cell>
          <cell r="S413">
            <v>0.19793402777777783</v>
          </cell>
          <cell r="T413">
            <v>57905.39</v>
          </cell>
          <cell r="U413">
            <v>13844.42</v>
          </cell>
          <cell r="V413">
            <v>0.2390868967465723</v>
          </cell>
          <cell r="W413">
            <v>69.849999999999994</v>
          </cell>
          <cell r="X413" t="str">
            <v>EMI</v>
          </cell>
          <cell r="Z413">
            <v>1</v>
          </cell>
          <cell r="AA413" t="b">
            <v>0</v>
          </cell>
          <cell r="AC413" t="str">
            <v>Delivered</v>
          </cell>
          <cell r="AE413">
            <v>8</v>
          </cell>
        </row>
        <row r="414">
          <cell r="C414">
            <v>43994</v>
          </cell>
          <cell r="D414" t="str">
            <v>CUST60562</v>
          </cell>
          <cell r="E414" t="str">
            <v>Kavya Rao</v>
          </cell>
          <cell r="G414">
            <v>25</v>
          </cell>
          <cell r="H414" t="str">
            <v>Young Adult</v>
          </cell>
          <cell r="J414" t="str">
            <v>Male</v>
          </cell>
          <cell r="K414" t="str">
            <v>North</v>
          </cell>
          <cell r="L414" t="str">
            <v>Ludhiana</v>
          </cell>
          <cell r="M414" t="str">
            <v>Clothing</v>
          </cell>
          <cell r="N414" t="str">
            <v>Dress</v>
          </cell>
          <cell r="P414">
            <v>10</v>
          </cell>
          <cell r="Q414">
            <v>658.16</v>
          </cell>
          <cell r="S414">
            <v>0.25</v>
          </cell>
          <cell r="T414">
            <v>6367.6</v>
          </cell>
          <cell r="U414">
            <v>1841.64</v>
          </cell>
          <cell r="V414">
            <v>0.28922042841887052</v>
          </cell>
          <cell r="W414">
            <v>63.58</v>
          </cell>
          <cell r="X414" t="str">
            <v>Cash on Delivery</v>
          </cell>
          <cell r="Z414">
            <v>1</v>
          </cell>
          <cell r="AA414" t="b">
            <v>0</v>
          </cell>
          <cell r="AC414" t="str">
            <v>Delivered</v>
          </cell>
          <cell r="AE414">
            <v>7</v>
          </cell>
        </row>
        <row r="415">
          <cell r="C415">
            <v>45530</v>
          </cell>
          <cell r="D415" t="str">
            <v>CUST96355</v>
          </cell>
          <cell r="E415" t="str">
            <v>Shreya Bose</v>
          </cell>
          <cell r="G415">
            <v>35</v>
          </cell>
          <cell r="H415" t="str">
            <v>Young Adult</v>
          </cell>
          <cell r="J415" t="str">
            <v>Female</v>
          </cell>
          <cell r="K415" t="str">
            <v>East</v>
          </cell>
          <cell r="L415" t="str">
            <v>Bhubaneswar</v>
          </cell>
          <cell r="M415" t="str">
            <v>Books</v>
          </cell>
          <cell r="N415" t="str">
            <v>Comic Book</v>
          </cell>
          <cell r="P415">
            <v>2</v>
          </cell>
          <cell r="Q415">
            <v>1157.8900000000001</v>
          </cell>
          <cell r="S415">
            <v>0.35</v>
          </cell>
          <cell r="T415">
            <v>2443.04</v>
          </cell>
          <cell r="U415">
            <v>649.16</v>
          </cell>
          <cell r="V415">
            <v>0.26571812168445869</v>
          </cell>
          <cell r="W415">
            <v>56.27</v>
          </cell>
          <cell r="X415" t="str">
            <v>Debit Card</v>
          </cell>
          <cell r="Z415">
            <v>1</v>
          </cell>
          <cell r="AA415" t="b">
            <v>0</v>
          </cell>
          <cell r="AC415" t="str">
            <v>Delivered</v>
          </cell>
          <cell r="AE415">
            <v>9</v>
          </cell>
        </row>
        <row r="416">
          <cell r="C416">
            <v>44311</v>
          </cell>
          <cell r="D416" t="str">
            <v>CUST64001</v>
          </cell>
          <cell r="E416" t="str">
            <v>Ananya Das</v>
          </cell>
          <cell r="G416">
            <v>63</v>
          </cell>
          <cell r="H416" t="str">
            <v>Senior</v>
          </cell>
          <cell r="J416" t="str">
            <v>Other</v>
          </cell>
          <cell r="K416" t="str">
            <v>South</v>
          </cell>
          <cell r="L416" t="str">
            <v>Hyderabad</v>
          </cell>
          <cell r="M416" t="str">
            <v>Electronics</v>
          </cell>
          <cell r="N416" t="str">
            <v>Tablet</v>
          </cell>
          <cell r="P416">
            <v>8</v>
          </cell>
          <cell r="Q416">
            <v>28211.93</v>
          </cell>
          <cell r="S416">
            <v>0.33</v>
          </cell>
          <cell r="T416">
            <v>175402.71</v>
          </cell>
          <cell r="U416">
            <v>20772.79</v>
          </cell>
          <cell r="V416">
            <v>0.11842912803342663</v>
          </cell>
          <cell r="W416">
            <v>61.29</v>
          </cell>
          <cell r="X416" t="str">
            <v>Debit Card</v>
          </cell>
          <cell r="Z416">
            <v>5</v>
          </cell>
          <cell r="AA416" t="b">
            <v>0</v>
          </cell>
          <cell r="AC416" t="str">
            <v>Delivered</v>
          </cell>
          <cell r="AE416">
            <v>4</v>
          </cell>
        </row>
        <row r="417">
          <cell r="C417">
            <v>45556</v>
          </cell>
          <cell r="D417" t="str">
            <v>CUST60857</v>
          </cell>
          <cell r="E417" t="str">
            <v>Aarav Kapoor</v>
          </cell>
          <cell r="G417">
            <v>30</v>
          </cell>
          <cell r="H417" t="str">
            <v>Young Adult</v>
          </cell>
          <cell r="J417" t="str">
            <v>Male</v>
          </cell>
          <cell r="K417" t="str">
            <v>Central</v>
          </cell>
          <cell r="L417" t="str">
            <v>Raipur</v>
          </cell>
          <cell r="M417" t="str">
            <v>Beauty</v>
          </cell>
          <cell r="N417" t="str">
            <v>Sunscreen</v>
          </cell>
          <cell r="P417">
            <v>7</v>
          </cell>
          <cell r="Q417">
            <v>2114.17</v>
          </cell>
          <cell r="S417">
            <v>0.39</v>
          </cell>
          <cell r="T417">
            <v>13036.59</v>
          </cell>
          <cell r="U417">
            <v>6081.67</v>
          </cell>
          <cell r="V417">
            <v>0.46650772939856205</v>
          </cell>
          <cell r="W417">
            <v>26.71</v>
          </cell>
          <cell r="X417" t="str">
            <v>Debit Card</v>
          </cell>
          <cell r="Z417">
            <v>3</v>
          </cell>
          <cell r="AA417" t="b">
            <v>0</v>
          </cell>
          <cell r="AC417" t="str">
            <v>Delivered</v>
          </cell>
          <cell r="AE417">
            <v>5</v>
          </cell>
        </row>
        <row r="418">
          <cell r="C418">
            <v>45457</v>
          </cell>
          <cell r="D418" t="str">
            <v>CUST27952</v>
          </cell>
          <cell r="E418" t="str">
            <v>Pooja Rao</v>
          </cell>
          <cell r="G418">
            <v>33</v>
          </cell>
          <cell r="H418" t="str">
            <v>Young Adult</v>
          </cell>
          <cell r="J418" t="str">
            <v>Other</v>
          </cell>
          <cell r="K418" t="str">
            <v>West</v>
          </cell>
          <cell r="L418" t="str">
            <v>Ahmedabad</v>
          </cell>
          <cell r="M418" t="str">
            <v>Clothing</v>
          </cell>
          <cell r="N418" t="str">
            <v>Dress</v>
          </cell>
          <cell r="P418">
            <v>1</v>
          </cell>
          <cell r="Q418">
            <v>3581.25</v>
          </cell>
          <cell r="S418">
            <v>0.01</v>
          </cell>
          <cell r="T418">
            <v>6175.08</v>
          </cell>
          <cell r="U418">
            <v>1771.61</v>
          </cell>
          <cell r="V418">
            <v>0.28689668797813145</v>
          </cell>
          <cell r="W418">
            <v>56.33</v>
          </cell>
          <cell r="X418" t="str">
            <v>Credit Card</v>
          </cell>
          <cell r="Z418">
            <v>1</v>
          </cell>
          <cell r="AA418" t="b">
            <v>0</v>
          </cell>
          <cell r="AC418" t="str">
            <v>Delivered</v>
          </cell>
          <cell r="AE418">
            <v>5</v>
          </cell>
        </row>
        <row r="419">
          <cell r="C419">
            <v>45178</v>
          </cell>
          <cell r="D419" t="str">
            <v>CUST56458</v>
          </cell>
          <cell r="E419" t="str">
            <v>Kavya Das</v>
          </cell>
          <cell r="G419">
            <v>30</v>
          </cell>
          <cell r="H419" t="str">
            <v>Young Adult</v>
          </cell>
          <cell r="J419" t="str">
            <v>Other</v>
          </cell>
          <cell r="K419" t="str">
            <v>East</v>
          </cell>
          <cell r="L419" t="str">
            <v>Kolkata</v>
          </cell>
          <cell r="M419" t="str">
            <v>Furniture</v>
          </cell>
          <cell r="N419" t="str">
            <v>Desk</v>
          </cell>
          <cell r="P419">
            <v>9</v>
          </cell>
          <cell r="Q419">
            <v>24481.84</v>
          </cell>
          <cell r="S419">
            <v>0.18</v>
          </cell>
          <cell r="T419">
            <v>236017.16</v>
          </cell>
          <cell r="U419">
            <v>68746.179999999993</v>
          </cell>
          <cell r="V419">
            <v>0.29127619364625856</v>
          </cell>
          <cell r="W419">
            <v>92.95</v>
          </cell>
          <cell r="X419" t="str">
            <v>Net Banking</v>
          </cell>
          <cell r="Z419">
            <v>3</v>
          </cell>
          <cell r="AA419" t="b">
            <v>0</v>
          </cell>
          <cell r="AC419" t="str">
            <v>Pending</v>
          </cell>
          <cell r="AE419">
            <v>10</v>
          </cell>
        </row>
        <row r="420">
          <cell r="C420">
            <v>44785</v>
          </cell>
          <cell r="D420" t="str">
            <v>CUST51575</v>
          </cell>
          <cell r="E420" t="str">
            <v>Karan Mishra</v>
          </cell>
          <cell r="G420">
            <v>30</v>
          </cell>
          <cell r="H420" t="str">
            <v>Young Adult</v>
          </cell>
          <cell r="J420" t="str">
            <v>Other</v>
          </cell>
          <cell r="K420" t="str">
            <v>North</v>
          </cell>
          <cell r="L420" t="str">
            <v>Ludhiana</v>
          </cell>
          <cell r="M420" t="str">
            <v>Sports</v>
          </cell>
          <cell r="N420" t="str">
            <v>Football</v>
          </cell>
          <cell r="P420">
            <v>7</v>
          </cell>
          <cell r="Q420">
            <v>14759.38</v>
          </cell>
          <cell r="S420">
            <v>0</v>
          </cell>
          <cell r="T420">
            <v>128001.22</v>
          </cell>
          <cell r="U420">
            <v>25740.07</v>
          </cell>
          <cell r="V420">
            <v>0.2010923802132511</v>
          </cell>
          <cell r="W420">
            <v>70.7</v>
          </cell>
          <cell r="X420" t="str">
            <v>Net Banking</v>
          </cell>
          <cell r="Z420">
            <v>3</v>
          </cell>
          <cell r="AA420" t="b">
            <v>0</v>
          </cell>
          <cell r="AC420" t="str">
            <v>Delivered</v>
          </cell>
          <cell r="AE420">
            <v>7</v>
          </cell>
        </row>
        <row r="421">
          <cell r="C421">
            <v>44319</v>
          </cell>
          <cell r="D421" t="str">
            <v>CUST72966</v>
          </cell>
          <cell r="E421" t="str">
            <v>Vikram Verma</v>
          </cell>
          <cell r="G421">
            <v>52</v>
          </cell>
          <cell r="H421" t="str">
            <v>Senior</v>
          </cell>
          <cell r="J421" t="str">
            <v>Female</v>
          </cell>
          <cell r="K421" t="str">
            <v>East</v>
          </cell>
          <cell r="L421" t="str">
            <v>Kolkata</v>
          </cell>
          <cell r="M421" t="str">
            <v>Beauty</v>
          </cell>
          <cell r="N421" t="str">
            <v>Perfume</v>
          </cell>
          <cell r="P421">
            <v>2</v>
          </cell>
          <cell r="Q421">
            <v>608.88</v>
          </cell>
          <cell r="S421">
            <v>0.23</v>
          </cell>
          <cell r="T421">
            <v>1272.71</v>
          </cell>
          <cell r="U421">
            <v>511.96</v>
          </cell>
          <cell r="V421">
            <v>0.4022597449536815</v>
          </cell>
          <cell r="W421">
            <v>106.95</v>
          </cell>
          <cell r="X421" t="str">
            <v>UPI</v>
          </cell>
          <cell r="Z421">
            <v>4</v>
          </cell>
          <cell r="AA421" t="b">
            <v>1</v>
          </cell>
          <cell r="AC421" t="str">
            <v>Returned</v>
          </cell>
          <cell r="AE421">
            <v>4</v>
          </cell>
        </row>
        <row r="422">
          <cell r="C422">
            <v>45539</v>
          </cell>
          <cell r="D422" t="str">
            <v>CUST64416</v>
          </cell>
          <cell r="E422" t="str">
            <v>Pooja Reddy</v>
          </cell>
          <cell r="G422">
            <v>35</v>
          </cell>
          <cell r="H422" t="str">
            <v>Young Adult</v>
          </cell>
          <cell r="J422" t="str">
            <v>Other</v>
          </cell>
          <cell r="K422" t="str">
            <v>West</v>
          </cell>
          <cell r="L422" t="str">
            <v>Surat</v>
          </cell>
          <cell r="M422" t="str">
            <v>Clothing</v>
          </cell>
          <cell r="N422" t="str">
            <v>Jacket</v>
          </cell>
          <cell r="P422">
            <v>10</v>
          </cell>
          <cell r="Q422">
            <v>1823.02</v>
          </cell>
          <cell r="S422">
            <v>0.19</v>
          </cell>
          <cell r="T422">
            <v>21680.07</v>
          </cell>
          <cell r="U422">
            <v>11667.37</v>
          </cell>
          <cell r="V422">
            <v>0.53816108527324868</v>
          </cell>
          <cell r="W422">
            <v>63.11</v>
          </cell>
          <cell r="X422" t="str">
            <v>UPI</v>
          </cell>
          <cell r="Z422">
            <v>5</v>
          </cell>
          <cell r="AA422" t="b">
            <v>0</v>
          </cell>
          <cell r="AC422" t="str">
            <v>Delivered</v>
          </cell>
          <cell r="AE422">
            <v>6</v>
          </cell>
        </row>
        <row r="423">
          <cell r="C423">
            <v>44999</v>
          </cell>
          <cell r="D423" t="str">
            <v>CUST37138</v>
          </cell>
          <cell r="E423" t="str">
            <v>Ritu Nair</v>
          </cell>
          <cell r="G423">
            <v>42</v>
          </cell>
          <cell r="H423" t="str">
            <v>Adult</v>
          </cell>
          <cell r="J423" t="str">
            <v>Other</v>
          </cell>
          <cell r="K423" t="str">
            <v>West</v>
          </cell>
          <cell r="L423" t="str">
            <v>Pune</v>
          </cell>
          <cell r="M423" t="str">
            <v>Electronics</v>
          </cell>
          <cell r="N423" t="str">
            <v>Headphones</v>
          </cell>
          <cell r="P423">
            <v>2</v>
          </cell>
          <cell r="Q423">
            <v>76935.789999999994</v>
          </cell>
          <cell r="S423">
            <v>0.01</v>
          </cell>
          <cell r="T423">
            <v>171768.97</v>
          </cell>
          <cell r="U423">
            <v>27234.01</v>
          </cell>
          <cell r="V423">
            <v>0.1585502317444181</v>
          </cell>
          <cell r="W423">
            <v>63.96</v>
          </cell>
          <cell r="X423" t="str">
            <v>Cash on Delivery</v>
          </cell>
          <cell r="Z423">
            <v>1</v>
          </cell>
          <cell r="AA423" t="b">
            <v>0</v>
          </cell>
          <cell r="AC423" t="str">
            <v>Delivered</v>
          </cell>
          <cell r="AE423">
            <v>3</v>
          </cell>
        </row>
        <row r="424">
          <cell r="C424">
            <v>43949</v>
          </cell>
          <cell r="D424" t="str">
            <v>CUST73911</v>
          </cell>
          <cell r="E424" t="str">
            <v>Ritu Patel</v>
          </cell>
          <cell r="G424">
            <v>34.294220665499125</v>
          </cell>
          <cell r="H424" t="str">
            <v>Young Adult</v>
          </cell>
          <cell r="J424" t="str">
            <v>Other</v>
          </cell>
          <cell r="K424" t="str">
            <v>East</v>
          </cell>
          <cell r="L424" t="str">
            <v>Kolkata</v>
          </cell>
          <cell r="M424" t="str">
            <v>Clothing</v>
          </cell>
          <cell r="N424" t="str">
            <v>Jeans</v>
          </cell>
          <cell r="P424">
            <v>6</v>
          </cell>
          <cell r="Q424">
            <v>2934.92</v>
          </cell>
          <cell r="S424">
            <v>0.1</v>
          </cell>
          <cell r="T424">
            <v>18790.52</v>
          </cell>
          <cell r="U424">
            <v>7715.18</v>
          </cell>
          <cell r="V424">
            <v>0.41058895655894567</v>
          </cell>
          <cell r="W424">
            <v>74.02</v>
          </cell>
          <cell r="X424" t="str">
            <v>Debit Card</v>
          </cell>
          <cell r="Z424">
            <v>5</v>
          </cell>
          <cell r="AA424" t="b">
            <v>0</v>
          </cell>
          <cell r="AC424" t="str">
            <v>Cancelled</v>
          </cell>
          <cell r="AE424">
            <v>8</v>
          </cell>
        </row>
        <row r="425">
          <cell r="C425">
            <v>44923</v>
          </cell>
          <cell r="D425" t="str">
            <v>CUST66205</v>
          </cell>
          <cell r="E425" t="str">
            <v>Ritu Verma</v>
          </cell>
          <cell r="G425">
            <v>30</v>
          </cell>
          <cell r="H425" t="str">
            <v>Young Adult</v>
          </cell>
          <cell r="J425" t="str">
            <v>Male</v>
          </cell>
          <cell r="K425" t="str">
            <v>West</v>
          </cell>
          <cell r="L425" t="str">
            <v>Pune</v>
          </cell>
          <cell r="M425" t="str">
            <v>Books</v>
          </cell>
          <cell r="N425" t="str">
            <v>Biography</v>
          </cell>
          <cell r="P425">
            <v>5</v>
          </cell>
          <cell r="Q425">
            <v>1103.75</v>
          </cell>
          <cell r="S425">
            <v>0.25</v>
          </cell>
          <cell r="T425">
            <v>3579.91</v>
          </cell>
          <cell r="U425">
            <v>1891.54</v>
          </cell>
          <cell r="V425">
            <v>0.52837641169750083</v>
          </cell>
          <cell r="W425">
            <v>60.86</v>
          </cell>
          <cell r="X425" t="str">
            <v>Cash on Delivery</v>
          </cell>
          <cell r="Z425">
            <v>3</v>
          </cell>
          <cell r="AA425" t="b">
            <v>0</v>
          </cell>
          <cell r="AC425" t="str">
            <v>Cancelled</v>
          </cell>
          <cell r="AE425">
            <v>1</v>
          </cell>
        </row>
        <row r="426">
          <cell r="C426">
            <v>45015</v>
          </cell>
          <cell r="D426" t="str">
            <v>CUST60872</v>
          </cell>
          <cell r="E426" t="str">
            <v>Kavya Shah</v>
          </cell>
          <cell r="G426">
            <v>38</v>
          </cell>
          <cell r="H426" t="str">
            <v>Adult</v>
          </cell>
          <cell r="J426" t="str">
            <v>Male</v>
          </cell>
          <cell r="K426" t="str">
            <v>South</v>
          </cell>
          <cell r="L426" t="str">
            <v>Chennai</v>
          </cell>
          <cell r="M426" t="str">
            <v>Furniture</v>
          </cell>
          <cell r="N426" t="str">
            <v>Chair</v>
          </cell>
          <cell r="P426">
            <v>1</v>
          </cell>
          <cell r="Q426">
            <v>7329.9</v>
          </cell>
          <cell r="S426">
            <v>0.35</v>
          </cell>
          <cell r="T426">
            <v>6777.56</v>
          </cell>
          <cell r="U426">
            <v>2396.7199999999998</v>
          </cell>
          <cell r="V426">
            <v>0.35362578863189698</v>
          </cell>
          <cell r="W426">
            <v>101.29</v>
          </cell>
          <cell r="X426" t="str">
            <v>Credit Card</v>
          </cell>
          <cell r="Z426">
            <v>5</v>
          </cell>
          <cell r="AA426" t="b">
            <v>0</v>
          </cell>
          <cell r="AC426" t="str">
            <v>Shipped</v>
          </cell>
          <cell r="AE426">
            <v>10</v>
          </cell>
        </row>
        <row r="427">
          <cell r="C427">
            <v>44613</v>
          </cell>
          <cell r="D427" t="str">
            <v>CUST87890</v>
          </cell>
          <cell r="E427" t="str">
            <v>Karan Mishra</v>
          </cell>
          <cell r="G427">
            <v>46</v>
          </cell>
          <cell r="H427" t="str">
            <v>Adult</v>
          </cell>
          <cell r="J427" t="str">
            <v>Other</v>
          </cell>
          <cell r="K427" t="str">
            <v>Central</v>
          </cell>
          <cell r="L427" t="str">
            <v>Nagpur</v>
          </cell>
          <cell r="M427" t="str">
            <v>Books</v>
          </cell>
          <cell r="N427" t="str">
            <v>Textbook</v>
          </cell>
          <cell r="P427">
            <v>4</v>
          </cell>
          <cell r="Q427">
            <v>378.9</v>
          </cell>
          <cell r="S427">
            <v>0.39</v>
          </cell>
          <cell r="T427">
            <v>957.41</v>
          </cell>
          <cell r="U427">
            <v>235.48</v>
          </cell>
          <cell r="V427">
            <v>0.24595523339008366</v>
          </cell>
          <cell r="W427">
            <v>29.15</v>
          </cell>
          <cell r="X427" t="str">
            <v>Credit Card</v>
          </cell>
          <cell r="Z427">
            <v>5</v>
          </cell>
          <cell r="AA427" t="b">
            <v>0</v>
          </cell>
          <cell r="AC427" t="str">
            <v>Delivered</v>
          </cell>
          <cell r="AE427">
            <v>3</v>
          </cell>
        </row>
        <row r="428">
          <cell r="C428">
            <v>45003</v>
          </cell>
          <cell r="D428" t="str">
            <v>CUST97042</v>
          </cell>
          <cell r="E428" t="str">
            <v>Ananya Mishra</v>
          </cell>
          <cell r="G428">
            <v>28</v>
          </cell>
          <cell r="H428" t="str">
            <v>Young Adult</v>
          </cell>
          <cell r="J428" t="str">
            <v>Other</v>
          </cell>
          <cell r="K428" t="str">
            <v>Central</v>
          </cell>
          <cell r="L428" t="str">
            <v>Bhopal</v>
          </cell>
          <cell r="M428" t="str">
            <v>Books</v>
          </cell>
          <cell r="N428" t="str">
            <v>Cook Book</v>
          </cell>
          <cell r="P428">
            <v>4</v>
          </cell>
          <cell r="Q428">
            <v>1221.1099999999999</v>
          </cell>
          <cell r="S428">
            <v>0.25</v>
          </cell>
          <cell r="T428">
            <v>5162.57</v>
          </cell>
          <cell r="U428">
            <v>1875.62</v>
          </cell>
          <cell r="V428">
            <v>0.36331129650542271</v>
          </cell>
          <cell r="W428">
            <v>43.22</v>
          </cell>
          <cell r="X428" t="str">
            <v>EMI</v>
          </cell>
          <cell r="Z428">
            <v>5</v>
          </cell>
          <cell r="AA428" t="b">
            <v>0</v>
          </cell>
          <cell r="AC428" t="str">
            <v>Delivered</v>
          </cell>
          <cell r="AE428">
            <v>5</v>
          </cell>
        </row>
        <row r="429">
          <cell r="C429">
            <v>44135</v>
          </cell>
          <cell r="D429" t="str">
            <v>CUST93387</v>
          </cell>
          <cell r="E429" t="str">
            <v>Ritu Bose</v>
          </cell>
          <cell r="G429">
            <v>43</v>
          </cell>
          <cell r="H429" t="str">
            <v>Adult</v>
          </cell>
          <cell r="J429" t="str">
            <v>Other</v>
          </cell>
          <cell r="K429" t="str">
            <v>West</v>
          </cell>
          <cell r="L429" t="str">
            <v>Surat</v>
          </cell>
          <cell r="M429" t="str">
            <v>Groceries</v>
          </cell>
          <cell r="N429" t="str">
            <v>Cooking Oil</v>
          </cell>
          <cell r="P429">
            <v>8</v>
          </cell>
          <cell r="Q429">
            <v>347.71</v>
          </cell>
          <cell r="S429">
            <v>0.08</v>
          </cell>
          <cell r="T429">
            <v>2265.2800000000002</v>
          </cell>
          <cell r="U429">
            <v>178.59</v>
          </cell>
          <cell r="V429">
            <v>7.8837936149173601E-2</v>
          </cell>
          <cell r="W429">
            <v>64.88</v>
          </cell>
          <cell r="X429" t="str">
            <v>Credit Card</v>
          </cell>
          <cell r="Z429">
            <v>5</v>
          </cell>
          <cell r="AA429" t="b">
            <v>0</v>
          </cell>
          <cell r="AC429" t="str">
            <v>Delivered</v>
          </cell>
          <cell r="AE429">
            <v>9</v>
          </cell>
        </row>
        <row r="430">
          <cell r="C430">
            <v>45527</v>
          </cell>
          <cell r="D430" t="str">
            <v>CUST94914</v>
          </cell>
          <cell r="E430" t="str">
            <v>Sunita Verma</v>
          </cell>
          <cell r="G430">
            <v>31</v>
          </cell>
          <cell r="H430" t="str">
            <v>Young Adult</v>
          </cell>
          <cell r="J430" t="str">
            <v>Other</v>
          </cell>
          <cell r="K430" t="str">
            <v>South</v>
          </cell>
          <cell r="L430" t="str">
            <v>Chennai</v>
          </cell>
          <cell r="M430" t="str">
            <v>Sports</v>
          </cell>
          <cell r="N430" t="str">
            <v>Yoga Mat</v>
          </cell>
          <cell r="P430">
            <v>6</v>
          </cell>
          <cell r="Q430">
            <v>9574.41</v>
          </cell>
          <cell r="S430">
            <v>0.02</v>
          </cell>
          <cell r="T430">
            <v>81951.13</v>
          </cell>
          <cell r="U430">
            <v>15952.26</v>
          </cell>
          <cell r="V430">
            <v>0.19465576618650651</v>
          </cell>
          <cell r="W430">
            <v>75.33</v>
          </cell>
          <cell r="X430" t="str">
            <v>EMI</v>
          </cell>
          <cell r="Z430">
            <v>4</v>
          </cell>
          <cell r="AA430" t="b">
            <v>0</v>
          </cell>
          <cell r="AC430" t="str">
            <v>Delivered</v>
          </cell>
          <cell r="AE430">
            <v>6</v>
          </cell>
        </row>
        <row r="431">
          <cell r="C431">
            <v>45574</v>
          </cell>
          <cell r="D431" t="str">
            <v>CUST76630</v>
          </cell>
          <cell r="E431" t="str">
            <v>Aarav Patel</v>
          </cell>
          <cell r="G431">
            <v>34.294220665499125</v>
          </cell>
          <cell r="H431" t="str">
            <v>Young Adult</v>
          </cell>
          <cell r="J431" t="str">
            <v>Male</v>
          </cell>
          <cell r="K431" t="str">
            <v>South</v>
          </cell>
          <cell r="L431" t="str">
            <v>Kochi</v>
          </cell>
          <cell r="M431" t="str">
            <v>Books</v>
          </cell>
          <cell r="N431" t="str">
            <v>Cook Book</v>
          </cell>
          <cell r="P431">
            <v>8</v>
          </cell>
          <cell r="Q431">
            <v>1268.46</v>
          </cell>
          <cell r="S431">
            <v>0.05</v>
          </cell>
          <cell r="T431">
            <v>12103.46</v>
          </cell>
          <cell r="U431">
            <v>3618.98</v>
          </cell>
          <cell r="V431">
            <v>0.29900375595077772</v>
          </cell>
          <cell r="W431">
            <v>30.55</v>
          </cell>
          <cell r="X431" t="str">
            <v>EMI</v>
          </cell>
          <cell r="Z431">
            <v>2</v>
          </cell>
          <cell r="AA431" t="b">
            <v>0</v>
          </cell>
          <cell r="AC431" t="str">
            <v>Delivered</v>
          </cell>
          <cell r="AE431">
            <v>10</v>
          </cell>
        </row>
        <row r="432">
          <cell r="C432">
            <v>44597</v>
          </cell>
          <cell r="D432" t="str">
            <v>CUST05033</v>
          </cell>
          <cell r="E432" t="str">
            <v>Pooja Mishra</v>
          </cell>
          <cell r="G432">
            <v>22</v>
          </cell>
          <cell r="H432" t="str">
            <v>Young Adult</v>
          </cell>
          <cell r="J432" t="str">
            <v>Male</v>
          </cell>
          <cell r="K432" t="str">
            <v>West</v>
          </cell>
          <cell r="L432" t="str">
            <v>Ahmedabad</v>
          </cell>
          <cell r="M432" t="str">
            <v>Sports</v>
          </cell>
          <cell r="N432" t="str">
            <v>Football</v>
          </cell>
          <cell r="P432">
            <v>8</v>
          </cell>
          <cell r="Q432">
            <v>11620.56</v>
          </cell>
          <cell r="S432">
            <v>0.18</v>
          </cell>
          <cell r="T432">
            <v>89828.71</v>
          </cell>
          <cell r="U432">
            <v>25898.31</v>
          </cell>
          <cell r="V432">
            <v>0.28830771364745189</v>
          </cell>
          <cell r="W432">
            <v>50.64</v>
          </cell>
          <cell r="X432" t="str">
            <v>Debit Card</v>
          </cell>
          <cell r="Z432">
            <v>4</v>
          </cell>
          <cell r="AA432" t="b">
            <v>0</v>
          </cell>
          <cell r="AC432" t="str">
            <v>Delivered</v>
          </cell>
          <cell r="AE432">
            <v>2</v>
          </cell>
        </row>
        <row r="433">
          <cell r="C433">
            <v>45152</v>
          </cell>
          <cell r="D433" t="str">
            <v>CUST26906</v>
          </cell>
          <cell r="E433" t="str">
            <v>Nisha Iyer</v>
          </cell>
          <cell r="G433">
            <v>39</v>
          </cell>
          <cell r="H433" t="str">
            <v>Adult</v>
          </cell>
          <cell r="J433" t="str">
            <v>Female</v>
          </cell>
          <cell r="K433" t="str">
            <v>East</v>
          </cell>
          <cell r="L433" t="str">
            <v>Patna</v>
          </cell>
          <cell r="M433" t="str">
            <v>Electronics</v>
          </cell>
          <cell r="N433" t="str">
            <v>Smartphone</v>
          </cell>
          <cell r="P433">
            <v>1</v>
          </cell>
          <cell r="Q433">
            <v>34885.370000000003</v>
          </cell>
          <cell r="S433">
            <v>0.1</v>
          </cell>
          <cell r="T433">
            <v>44683.38</v>
          </cell>
          <cell r="U433">
            <v>3420.51</v>
          </cell>
          <cell r="V433">
            <v>7.6549938702040896E-2</v>
          </cell>
          <cell r="W433">
            <v>85.38</v>
          </cell>
          <cell r="X433" t="str">
            <v>Credit Card</v>
          </cell>
          <cell r="Z433">
            <v>4</v>
          </cell>
          <cell r="AA433" t="b">
            <v>0</v>
          </cell>
          <cell r="AC433" t="str">
            <v>Shipped</v>
          </cell>
          <cell r="AE433">
            <v>3</v>
          </cell>
        </row>
        <row r="434">
          <cell r="C434">
            <v>45371</v>
          </cell>
          <cell r="D434" t="str">
            <v>CUST14777</v>
          </cell>
          <cell r="E434" t="str">
            <v>Aarav Shah</v>
          </cell>
          <cell r="G434">
            <v>60</v>
          </cell>
          <cell r="H434" t="str">
            <v>Senior</v>
          </cell>
          <cell r="J434" t="str">
            <v>Other</v>
          </cell>
          <cell r="K434" t="str">
            <v>Central</v>
          </cell>
          <cell r="L434" t="str">
            <v>Nagpur</v>
          </cell>
          <cell r="M434" t="str">
            <v>Furniture</v>
          </cell>
          <cell r="N434" t="str">
            <v>Bed Frame</v>
          </cell>
          <cell r="P434">
            <v>7</v>
          </cell>
          <cell r="Q434">
            <v>28445.23</v>
          </cell>
          <cell r="S434">
            <v>0.28000000000000003</v>
          </cell>
          <cell r="T434">
            <v>189614.18</v>
          </cell>
          <cell r="U434">
            <v>42435.49</v>
          </cell>
          <cell r="V434">
            <v>0.22379913780709859</v>
          </cell>
          <cell r="W434">
            <v>18.04</v>
          </cell>
          <cell r="X434" t="str">
            <v>UPI</v>
          </cell>
          <cell r="Z434">
            <v>2</v>
          </cell>
          <cell r="AA434" t="b">
            <v>0</v>
          </cell>
          <cell r="AC434" t="str">
            <v>Cancelled</v>
          </cell>
          <cell r="AE434">
            <v>10</v>
          </cell>
        </row>
        <row r="435">
          <cell r="C435">
            <v>45046</v>
          </cell>
          <cell r="D435" t="str">
            <v>CUST07347</v>
          </cell>
          <cell r="E435" t="str">
            <v>Priya Mehta</v>
          </cell>
          <cell r="G435">
            <v>28</v>
          </cell>
          <cell r="H435" t="str">
            <v>Young Adult</v>
          </cell>
          <cell r="J435" t="str">
            <v>Female</v>
          </cell>
          <cell r="K435" t="str">
            <v>West</v>
          </cell>
          <cell r="L435" t="str">
            <v>Mumbai</v>
          </cell>
          <cell r="M435" t="str">
            <v>Electronics</v>
          </cell>
          <cell r="N435" t="str">
            <v>Smartwatch</v>
          </cell>
          <cell r="P435">
            <v>6</v>
          </cell>
          <cell r="Q435">
            <v>64360.23</v>
          </cell>
          <cell r="S435">
            <v>0.32</v>
          </cell>
          <cell r="T435">
            <v>385580.53</v>
          </cell>
          <cell r="U435">
            <v>28776.57</v>
          </cell>
          <cell r="V435">
            <v>7.4631802596464084E-2</v>
          </cell>
          <cell r="W435">
            <v>55.31</v>
          </cell>
          <cell r="X435" t="str">
            <v>Debit Card</v>
          </cell>
          <cell r="Z435">
            <v>1</v>
          </cell>
          <cell r="AA435" t="b">
            <v>0</v>
          </cell>
          <cell r="AC435" t="str">
            <v>Delivered</v>
          </cell>
          <cell r="AE435">
            <v>1</v>
          </cell>
        </row>
        <row r="436">
          <cell r="C436">
            <v>45228</v>
          </cell>
          <cell r="D436" t="str">
            <v>CUST88608</v>
          </cell>
          <cell r="E436" t="str">
            <v>Nikhil Nair</v>
          </cell>
          <cell r="G436">
            <v>50</v>
          </cell>
          <cell r="H436" t="str">
            <v>Adult</v>
          </cell>
          <cell r="J436" t="str">
            <v>Male</v>
          </cell>
          <cell r="K436" t="str">
            <v>South</v>
          </cell>
          <cell r="L436" t="str">
            <v>Hyderabad</v>
          </cell>
          <cell r="M436" t="str">
            <v>Beauty</v>
          </cell>
          <cell r="N436" t="str">
            <v>Sunscreen</v>
          </cell>
          <cell r="P436">
            <v>2</v>
          </cell>
          <cell r="Q436">
            <v>1820.95</v>
          </cell>
          <cell r="S436">
            <v>0.15</v>
          </cell>
          <cell r="T436">
            <v>2961.7</v>
          </cell>
          <cell r="U436">
            <v>1317.61</v>
          </cell>
          <cell r="V436">
            <v>0.4448830063814701</v>
          </cell>
          <cell r="W436">
            <v>69.89</v>
          </cell>
          <cell r="X436" t="str">
            <v>Net Banking</v>
          </cell>
          <cell r="Z436">
            <v>4</v>
          </cell>
          <cell r="AA436" t="b">
            <v>0</v>
          </cell>
          <cell r="AC436" t="str">
            <v>Delivered</v>
          </cell>
          <cell r="AE436">
            <v>5</v>
          </cell>
        </row>
        <row r="437">
          <cell r="C437">
            <v>44986</v>
          </cell>
          <cell r="D437" t="str">
            <v>CUST97216</v>
          </cell>
          <cell r="E437" t="str">
            <v>Deepa Pillai</v>
          </cell>
          <cell r="G437">
            <v>29</v>
          </cell>
          <cell r="H437" t="str">
            <v>Young Adult</v>
          </cell>
          <cell r="J437" t="str">
            <v>Female</v>
          </cell>
          <cell r="K437" t="str">
            <v>East</v>
          </cell>
          <cell r="L437" t="str">
            <v>Bhubaneswar</v>
          </cell>
          <cell r="M437" t="str">
            <v>Electronics</v>
          </cell>
          <cell r="N437" t="str">
            <v>Headphones</v>
          </cell>
          <cell r="P437">
            <v>6</v>
          </cell>
          <cell r="Q437">
            <v>78301.55</v>
          </cell>
          <cell r="S437">
            <v>0.24</v>
          </cell>
          <cell r="T437">
            <v>446345.61</v>
          </cell>
          <cell r="U437">
            <v>61437.599999999999</v>
          </cell>
          <cell r="V437">
            <v>0.13764580321513636</v>
          </cell>
          <cell r="W437">
            <v>87.28</v>
          </cell>
          <cell r="X437" t="str">
            <v>EMI</v>
          </cell>
          <cell r="Z437">
            <v>4</v>
          </cell>
          <cell r="AA437" t="b">
            <v>0</v>
          </cell>
          <cell r="AC437" t="str">
            <v>Delivered</v>
          </cell>
          <cell r="AE437">
            <v>7</v>
          </cell>
        </row>
        <row r="438">
          <cell r="C438">
            <v>43932</v>
          </cell>
          <cell r="D438" t="str">
            <v>CUST30800</v>
          </cell>
          <cell r="E438" t="str">
            <v>Rohan Chatterjee</v>
          </cell>
          <cell r="G438">
            <v>36</v>
          </cell>
          <cell r="H438" t="str">
            <v>Adult</v>
          </cell>
          <cell r="J438" t="str">
            <v>Other</v>
          </cell>
          <cell r="K438" t="str">
            <v>Central</v>
          </cell>
          <cell r="L438" t="str">
            <v>Nagpur</v>
          </cell>
          <cell r="M438" t="str">
            <v>Beauty</v>
          </cell>
          <cell r="N438" t="str">
            <v>Perfume</v>
          </cell>
          <cell r="P438">
            <v>4</v>
          </cell>
          <cell r="Q438">
            <v>171.85</v>
          </cell>
          <cell r="S438">
            <v>0.03</v>
          </cell>
          <cell r="T438">
            <v>902.31</v>
          </cell>
          <cell r="U438">
            <v>591.14</v>
          </cell>
          <cell r="V438">
            <v>0.6551406944398267</v>
          </cell>
          <cell r="W438">
            <v>34.270000000000003</v>
          </cell>
          <cell r="X438" t="str">
            <v>Debit Card</v>
          </cell>
          <cell r="Z438">
            <v>3</v>
          </cell>
          <cell r="AA438" t="b">
            <v>0</v>
          </cell>
          <cell r="AC438" t="str">
            <v>Shipped</v>
          </cell>
          <cell r="AE438">
            <v>8</v>
          </cell>
        </row>
        <row r="439">
          <cell r="C439">
            <v>44083</v>
          </cell>
          <cell r="D439" t="str">
            <v>CUST67628</v>
          </cell>
          <cell r="E439" t="str">
            <v>Meera Chatterjee</v>
          </cell>
          <cell r="G439">
            <v>25</v>
          </cell>
          <cell r="H439" t="str">
            <v>Young Adult</v>
          </cell>
          <cell r="J439" t="str">
            <v>Other</v>
          </cell>
          <cell r="K439" t="str">
            <v>North</v>
          </cell>
          <cell r="L439" t="str">
            <v>Amritsar</v>
          </cell>
          <cell r="M439" t="str">
            <v>Sports</v>
          </cell>
          <cell r="N439" t="str">
            <v>Dumbbells</v>
          </cell>
          <cell r="P439">
            <v>7.0954861111111107</v>
          </cell>
          <cell r="Q439">
            <v>603.71</v>
          </cell>
          <cell r="S439">
            <v>0.39</v>
          </cell>
          <cell r="T439">
            <v>373.9</v>
          </cell>
          <cell r="U439">
            <v>76.010000000000005</v>
          </cell>
          <cell r="V439">
            <v>0.20328964963894092</v>
          </cell>
          <cell r="W439">
            <v>68.010000000000005</v>
          </cell>
          <cell r="X439" t="str">
            <v>Net Banking</v>
          </cell>
          <cell r="Z439">
            <v>3</v>
          </cell>
          <cell r="AA439" t="b">
            <v>0</v>
          </cell>
          <cell r="AC439" t="str">
            <v>Shipped</v>
          </cell>
          <cell r="AE439">
            <v>9</v>
          </cell>
        </row>
        <row r="440">
          <cell r="C440">
            <v>44356</v>
          </cell>
          <cell r="D440" t="str">
            <v>CUST88311</v>
          </cell>
          <cell r="E440" t="str">
            <v>Karan Gupta</v>
          </cell>
          <cell r="G440">
            <v>31</v>
          </cell>
          <cell r="H440" t="str">
            <v>Young Adult</v>
          </cell>
          <cell r="J440" t="str">
            <v>Female</v>
          </cell>
          <cell r="K440" t="str">
            <v>East</v>
          </cell>
          <cell r="L440" t="str">
            <v>Patna</v>
          </cell>
          <cell r="M440" t="str">
            <v>Groceries</v>
          </cell>
          <cell r="N440" t="str">
            <v>Dal (1kg)</v>
          </cell>
          <cell r="P440">
            <v>6</v>
          </cell>
          <cell r="Q440">
            <v>57.72</v>
          </cell>
          <cell r="S440">
            <v>0.19793402777777783</v>
          </cell>
          <cell r="T440">
            <v>553.5</v>
          </cell>
          <cell r="U440">
            <v>48.28</v>
          </cell>
          <cell r="V440">
            <v>8.7226738934056011E-2</v>
          </cell>
          <cell r="W440">
            <v>80.69</v>
          </cell>
          <cell r="X440" t="str">
            <v>EMI</v>
          </cell>
          <cell r="Z440">
            <v>3</v>
          </cell>
          <cell r="AA440" t="b">
            <v>0</v>
          </cell>
          <cell r="AC440" t="str">
            <v>Shipped</v>
          </cell>
          <cell r="AE440">
            <v>5</v>
          </cell>
        </row>
        <row r="441">
          <cell r="C441">
            <v>44062</v>
          </cell>
          <cell r="D441" t="str">
            <v>CUST28496</v>
          </cell>
          <cell r="E441" t="str">
            <v>Ritu Gupta</v>
          </cell>
          <cell r="G441">
            <v>49</v>
          </cell>
          <cell r="H441" t="str">
            <v>Adult</v>
          </cell>
          <cell r="J441" t="str">
            <v>Female</v>
          </cell>
          <cell r="K441" t="str">
            <v>South</v>
          </cell>
          <cell r="L441" t="str">
            <v>Hyderabad</v>
          </cell>
          <cell r="M441" t="str">
            <v>Furniture</v>
          </cell>
          <cell r="N441" t="str">
            <v>Desk</v>
          </cell>
          <cell r="P441">
            <v>3</v>
          </cell>
          <cell r="Q441">
            <v>28093.41</v>
          </cell>
          <cell r="S441">
            <v>0.11</v>
          </cell>
          <cell r="T441">
            <v>80865.399999999994</v>
          </cell>
          <cell r="U441">
            <v>14166.32</v>
          </cell>
          <cell r="V441">
            <v>0.17518394764633577</v>
          </cell>
          <cell r="W441">
            <v>69.8</v>
          </cell>
          <cell r="X441" t="str">
            <v>Net Banking</v>
          </cell>
          <cell r="Z441">
            <v>3</v>
          </cell>
          <cell r="AA441" t="b">
            <v>1</v>
          </cell>
          <cell r="AC441" t="str">
            <v>Returned</v>
          </cell>
          <cell r="AE441">
            <v>3</v>
          </cell>
        </row>
        <row r="442">
          <cell r="C442">
            <v>45482</v>
          </cell>
          <cell r="D442" t="str">
            <v>CUST19882</v>
          </cell>
          <cell r="E442" t="str">
            <v>Sanjay Gupta</v>
          </cell>
          <cell r="G442">
            <v>30</v>
          </cell>
          <cell r="H442" t="str">
            <v>Young Adult</v>
          </cell>
          <cell r="J442" t="str">
            <v>Male</v>
          </cell>
          <cell r="K442" t="str">
            <v>North</v>
          </cell>
          <cell r="L442" t="str">
            <v>Chandigarh</v>
          </cell>
          <cell r="M442" t="str">
            <v>Electronics</v>
          </cell>
          <cell r="N442" t="str">
            <v>Headphones</v>
          </cell>
          <cell r="P442">
            <v>3</v>
          </cell>
          <cell r="Q442">
            <v>39483.93</v>
          </cell>
          <cell r="S442">
            <v>0.01</v>
          </cell>
          <cell r="T442">
            <v>188221.16</v>
          </cell>
          <cell r="U442">
            <v>17116.650000000001</v>
          </cell>
          <cell r="V442">
            <v>9.0939031509528478E-2</v>
          </cell>
          <cell r="W442">
            <v>68.56</v>
          </cell>
          <cell r="X442" t="str">
            <v>UPI</v>
          </cell>
          <cell r="Z442">
            <v>3</v>
          </cell>
          <cell r="AA442" t="b">
            <v>1</v>
          </cell>
          <cell r="AC442" t="str">
            <v>Returned</v>
          </cell>
          <cell r="AE442">
            <v>2</v>
          </cell>
        </row>
        <row r="443">
          <cell r="C443">
            <v>45642</v>
          </cell>
          <cell r="D443" t="str">
            <v>CUST70820</v>
          </cell>
          <cell r="E443" t="str">
            <v>Nikhil Iyer</v>
          </cell>
          <cell r="G443">
            <v>14</v>
          </cell>
          <cell r="H443" t="str">
            <v>Teen</v>
          </cell>
          <cell r="J443" t="str">
            <v>Male</v>
          </cell>
          <cell r="K443" t="str">
            <v>East</v>
          </cell>
          <cell r="L443" t="str">
            <v>Kolkata</v>
          </cell>
          <cell r="M443" t="str">
            <v>Clothing</v>
          </cell>
          <cell r="N443" t="str">
            <v>Jeans</v>
          </cell>
          <cell r="P443">
            <v>4</v>
          </cell>
          <cell r="Q443">
            <v>1999.6</v>
          </cell>
          <cell r="S443">
            <v>0.4</v>
          </cell>
          <cell r="T443">
            <v>4690.45</v>
          </cell>
          <cell r="U443">
            <v>1146.5999999999999</v>
          </cell>
          <cell r="V443">
            <v>0.244454156850622</v>
          </cell>
          <cell r="W443">
            <v>66.84</v>
          </cell>
          <cell r="X443" t="str">
            <v>Net Banking</v>
          </cell>
          <cell r="Z443">
            <v>3</v>
          </cell>
          <cell r="AA443" t="b">
            <v>0</v>
          </cell>
          <cell r="AC443" t="str">
            <v>Delivered</v>
          </cell>
          <cell r="AE443">
            <v>5</v>
          </cell>
        </row>
        <row r="444">
          <cell r="C444">
            <v>45270</v>
          </cell>
          <cell r="D444" t="str">
            <v>CUST05689</v>
          </cell>
          <cell r="E444" t="str">
            <v>Ananya Bhat</v>
          </cell>
          <cell r="G444">
            <v>30</v>
          </cell>
          <cell r="H444" t="str">
            <v>Young Adult</v>
          </cell>
          <cell r="J444" t="str">
            <v>Male</v>
          </cell>
          <cell r="K444" t="str">
            <v>North</v>
          </cell>
          <cell r="L444" t="str">
            <v>Ludhiana</v>
          </cell>
          <cell r="M444" t="str">
            <v>Groceries</v>
          </cell>
          <cell r="N444" t="str">
            <v>Cooking Oil</v>
          </cell>
          <cell r="P444">
            <v>9</v>
          </cell>
          <cell r="Q444">
            <v>407.05</v>
          </cell>
          <cell r="S444">
            <v>0.3</v>
          </cell>
          <cell r="T444">
            <v>1997.66</v>
          </cell>
          <cell r="U444">
            <v>139.6</v>
          </cell>
          <cell r="V444">
            <v>6.9881761661143529E-2</v>
          </cell>
          <cell r="W444">
            <v>72.88</v>
          </cell>
          <cell r="X444" t="str">
            <v>Net Banking</v>
          </cell>
          <cell r="Z444">
            <v>4</v>
          </cell>
          <cell r="AA444" t="b">
            <v>0</v>
          </cell>
          <cell r="AC444" t="str">
            <v>Cancelled</v>
          </cell>
          <cell r="AE444">
            <v>6</v>
          </cell>
        </row>
        <row r="445">
          <cell r="C445">
            <v>45520</v>
          </cell>
          <cell r="D445" t="str">
            <v>CUST07299</v>
          </cell>
          <cell r="E445" t="str">
            <v>Karan Reddy</v>
          </cell>
          <cell r="G445">
            <v>46</v>
          </cell>
          <cell r="H445" t="str">
            <v>Adult</v>
          </cell>
          <cell r="J445" t="str">
            <v>Female</v>
          </cell>
          <cell r="K445" t="str">
            <v>Central</v>
          </cell>
          <cell r="L445" t="str">
            <v>Nagpur</v>
          </cell>
          <cell r="M445" t="str">
            <v>Sports</v>
          </cell>
          <cell r="N445" t="str">
            <v>Yoga Mat</v>
          </cell>
          <cell r="P445">
            <v>9</v>
          </cell>
          <cell r="Q445">
            <v>3110.88</v>
          </cell>
          <cell r="S445">
            <v>0.28000000000000003</v>
          </cell>
          <cell r="T445">
            <v>29090.53</v>
          </cell>
          <cell r="U445">
            <v>4498.07</v>
          </cell>
          <cell r="V445">
            <v>0.15462317118319949</v>
          </cell>
          <cell r="W445">
            <v>43.42</v>
          </cell>
          <cell r="X445" t="str">
            <v>EMI</v>
          </cell>
          <cell r="Z445">
            <v>2</v>
          </cell>
          <cell r="AA445" t="b">
            <v>0</v>
          </cell>
          <cell r="AC445" t="str">
            <v>Delivered</v>
          </cell>
          <cell r="AE445">
            <v>8</v>
          </cell>
        </row>
        <row r="446">
          <cell r="C446">
            <v>44966</v>
          </cell>
          <cell r="D446" t="str">
            <v>CUST69520</v>
          </cell>
          <cell r="E446" t="str">
            <v>Vikram Pillai</v>
          </cell>
          <cell r="G446">
            <v>18</v>
          </cell>
          <cell r="H446" t="str">
            <v>Teen</v>
          </cell>
          <cell r="J446" t="str">
            <v>Male</v>
          </cell>
          <cell r="K446" t="str">
            <v>North</v>
          </cell>
          <cell r="L446" t="str">
            <v>Delhi</v>
          </cell>
          <cell r="M446" t="str">
            <v>Sports</v>
          </cell>
          <cell r="N446" t="str">
            <v>Yoga Mat</v>
          </cell>
          <cell r="P446">
            <v>1</v>
          </cell>
          <cell r="Q446">
            <v>12495.08</v>
          </cell>
          <cell r="S446">
            <v>0.27</v>
          </cell>
          <cell r="T446">
            <v>9249.06</v>
          </cell>
          <cell r="U446">
            <v>1686.4</v>
          </cell>
          <cell r="V446">
            <v>0.18233204239133494</v>
          </cell>
          <cell r="W446">
            <v>55.06</v>
          </cell>
          <cell r="X446" t="str">
            <v>Credit Card</v>
          </cell>
          <cell r="Z446">
            <v>5</v>
          </cell>
          <cell r="AA446" t="b">
            <v>0</v>
          </cell>
          <cell r="AC446" t="str">
            <v>Delivered</v>
          </cell>
          <cell r="AE446">
            <v>9</v>
          </cell>
        </row>
        <row r="447">
          <cell r="C447">
            <v>45640</v>
          </cell>
          <cell r="D447" t="str">
            <v>CUST96903</v>
          </cell>
          <cell r="E447" t="str">
            <v>Deepa Kapoor</v>
          </cell>
          <cell r="G447">
            <v>46</v>
          </cell>
          <cell r="H447" t="str">
            <v>Adult</v>
          </cell>
          <cell r="J447" t="str">
            <v>Other</v>
          </cell>
          <cell r="K447" t="str">
            <v>North</v>
          </cell>
          <cell r="L447" t="str">
            <v>Amritsar</v>
          </cell>
          <cell r="M447" t="str">
            <v>Furniture</v>
          </cell>
          <cell r="N447" t="str">
            <v>Chair</v>
          </cell>
          <cell r="P447">
            <v>1</v>
          </cell>
          <cell r="Q447">
            <v>9449.94</v>
          </cell>
          <cell r="S447">
            <v>0.15</v>
          </cell>
          <cell r="T447">
            <v>7223.61</v>
          </cell>
          <cell r="U447">
            <v>2224.5100000000002</v>
          </cell>
          <cell r="V447">
            <v>0.30794990316476117</v>
          </cell>
          <cell r="W447">
            <v>32.57</v>
          </cell>
          <cell r="X447" t="str">
            <v>UPI</v>
          </cell>
          <cell r="Z447">
            <v>1</v>
          </cell>
          <cell r="AA447" t="b">
            <v>1</v>
          </cell>
          <cell r="AC447" t="str">
            <v>Returned</v>
          </cell>
          <cell r="AE447">
            <v>2</v>
          </cell>
        </row>
        <row r="448">
          <cell r="C448">
            <v>44313</v>
          </cell>
          <cell r="D448" t="str">
            <v>CUST39633</v>
          </cell>
          <cell r="E448" t="str">
            <v>Aarav Mishra</v>
          </cell>
          <cell r="G448">
            <v>35</v>
          </cell>
          <cell r="H448" t="str">
            <v>Young Adult</v>
          </cell>
          <cell r="J448" t="str">
            <v>Male</v>
          </cell>
          <cell r="K448" t="str">
            <v>Central</v>
          </cell>
          <cell r="L448" t="str">
            <v>Bhopal</v>
          </cell>
          <cell r="M448" t="str">
            <v>Electronics</v>
          </cell>
          <cell r="N448" t="str">
            <v>Headphones</v>
          </cell>
          <cell r="P448">
            <v>8</v>
          </cell>
          <cell r="Q448">
            <v>30314.74</v>
          </cell>
          <cell r="S448">
            <v>0.06</v>
          </cell>
          <cell r="T448">
            <v>283224.55</v>
          </cell>
          <cell r="U448">
            <v>33093.14</v>
          </cell>
          <cell r="V448">
            <v>0.11684417893858424</v>
          </cell>
          <cell r="W448">
            <v>68.75</v>
          </cell>
          <cell r="X448" t="str">
            <v>Credit Card</v>
          </cell>
          <cell r="Z448">
            <v>1</v>
          </cell>
          <cell r="AA448" t="b">
            <v>1</v>
          </cell>
          <cell r="AC448" t="str">
            <v>Returned</v>
          </cell>
          <cell r="AE448">
            <v>9</v>
          </cell>
        </row>
        <row r="449">
          <cell r="C449">
            <v>44126</v>
          </cell>
          <cell r="D449" t="str">
            <v>CUST42875</v>
          </cell>
          <cell r="E449" t="str">
            <v>Sanjay Verma</v>
          </cell>
          <cell r="G449">
            <v>26</v>
          </cell>
          <cell r="H449" t="str">
            <v>Young Adult</v>
          </cell>
          <cell r="J449" t="str">
            <v>Other</v>
          </cell>
          <cell r="K449" t="str">
            <v>South</v>
          </cell>
          <cell r="L449" t="str">
            <v>Hyderabad</v>
          </cell>
          <cell r="M449" t="str">
            <v>Sports</v>
          </cell>
          <cell r="N449" t="str">
            <v>Cycle</v>
          </cell>
          <cell r="P449">
            <v>1</v>
          </cell>
          <cell r="Q449">
            <v>12380.73</v>
          </cell>
          <cell r="S449">
            <v>0.24</v>
          </cell>
          <cell r="T449">
            <v>8294.2999999999993</v>
          </cell>
          <cell r="U449">
            <v>2144.64</v>
          </cell>
          <cell r="V449">
            <v>0.25856793219439855</v>
          </cell>
          <cell r="W449">
            <v>80.23</v>
          </cell>
          <cell r="X449" t="str">
            <v>Credit Card</v>
          </cell>
          <cell r="Z449">
            <v>4</v>
          </cell>
          <cell r="AA449" t="b">
            <v>0</v>
          </cell>
          <cell r="AC449" t="str">
            <v>Cancelled</v>
          </cell>
          <cell r="AE449">
            <v>5</v>
          </cell>
        </row>
        <row r="450">
          <cell r="C450">
            <v>44956</v>
          </cell>
          <cell r="D450" t="str">
            <v>CUST71632</v>
          </cell>
          <cell r="E450" t="str">
            <v>Karan Sharma</v>
          </cell>
          <cell r="G450">
            <v>13</v>
          </cell>
          <cell r="H450" t="str">
            <v>Teen</v>
          </cell>
          <cell r="J450" t="str">
            <v>Male</v>
          </cell>
          <cell r="K450" t="str">
            <v>West</v>
          </cell>
          <cell r="L450" t="str">
            <v>Surat</v>
          </cell>
          <cell r="M450" t="str">
            <v>Sports</v>
          </cell>
          <cell r="N450" t="str">
            <v>Dumbbells</v>
          </cell>
          <cell r="P450">
            <v>4</v>
          </cell>
          <cell r="Q450">
            <v>6304.42</v>
          </cell>
          <cell r="S450">
            <v>0.31</v>
          </cell>
          <cell r="T450">
            <v>15164.38</v>
          </cell>
          <cell r="U450">
            <v>3544.74</v>
          </cell>
          <cell r="V450">
            <v>0.23375436384474671</v>
          </cell>
          <cell r="W450">
            <v>95.26</v>
          </cell>
          <cell r="X450" t="str">
            <v>Credit Card</v>
          </cell>
          <cell r="Z450">
            <v>5</v>
          </cell>
          <cell r="AA450" t="b">
            <v>0</v>
          </cell>
          <cell r="AC450" t="str">
            <v>Delivered</v>
          </cell>
          <cell r="AE450">
            <v>6</v>
          </cell>
        </row>
        <row r="451">
          <cell r="C451">
            <v>43905</v>
          </cell>
          <cell r="D451" t="str">
            <v>CUST40704</v>
          </cell>
          <cell r="E451" t="str">
            <v>Aarav Rao</v>
          </cell>
          <cell r="G451">
            <v>16</v>
          </cell>
          <cell r="H451" t="str">
            <v>Teen</v>
          </cell>
          <cell r="J451" t="str">
            <v>Other</v>
          </cell>
          <cell r="K451" t="str">
            <v>East</v>
          </cell>
          <cell r="L451" t="str">
            <v>Guwahati</v>
          </cell>
          <cell r="M451" t="str">
            <v>Clothing</v>
          </cell>
          <cell r="N451" t="str">
            <v>Saree</v>
          </cell>
          <cell r="P451">
            <v>2</v>
          </cell>
          <cell r="Q451">
            <v>2448.31</v>
          </cell>
          <cell r="S451">
            <v>0.35</v>
          </cell>
          <cell r="T451">
            <v>3584.88</v>
          </cell>
          <cell r="U451">
            <v>1270.1600000000001</v>
          </cell>
          <cell r="V451">
            <v>0.35431032558969899</v>
          </cell>
          <cell r="W451">
            <v>79.97</v>
          </cell>
          <cell r="X451" t="str">
            <v>Credit Card</v>
          </cell>
          <cell r="Z451">
            <v>4</v>
          </cell>
          <cell r="AA451" t="b">
            <v>0</v>
          </cell>
          <cell r="AC451" t="str">
            <v>Delivered</v>
          </cell>
          <cell r="AE451">
            <v>7</v>
          </cell>
        </row>
        <row r="452">
          <cell r="C452">
            <v>45343</v>
          </cell>
          <cell r="D452" t="str">
            <v>CUST39897</v>
          </cell>
          <cell r="E452" t="str">
            <v>Sunita Singh</v>
          </cell>
          <cell r="G452">
            <v>30</v>
          </cell>
          <cell r="H452" t="str">
            <v>Young Adult</v>
          </cell>
          <cell r="J452" t="str">
            <v>Other</v>
          </cell>
          <cell r="K452" t="str">
            <v>South</v>
          </cell>
          <cell r="L452" t="str">
            <v>Chennai</v>
          </cell>
          <cell r="M452" t="str">
            <v>Electronics</v>
          </cell>
          <cell r="N452" t="str">
            <v>Headphones</v>
          </cell>
          <cell r="P452">
            <v>3</v>
          </cell>
          <cell r="Q452">
            <v>50121.13</v>
          </cell>
          <cell r="S452">
            <v>0.25</v>
          </cell>
          <cell r="T452">
            <v>130268.18</v>
          </cell>
          <cell r="U452">
            <v>18524</v>
          </cell>
          <cell r="V452">
            <v>0.14219896217172912</v>
          </cell>
          <cell r="W452">
            <v>68.489999999999995</v>
          </cell>
          <cell r="X452" t="str">
            <v>Debit Card</v>
          </cell>
          <cell r="Z452">
            <v>5</v>
          </cell>
          <cell r="AA452" t="b">
            <v>0</v>
          </cell>
          <cell r="AC452" t="str">
            <v>Cancelled</v>
          </cell>
          <cell r="AE452">
            <v>4</v>
          </cell>
        </row>
        <row r="453">
          <cell r="C453">
            <v>45133</v>
          </cell>
          <cell r="D453" t="str">
            <v>CUST03875</v>
          </cell>
          <cell r="E453" t="str">
            <v>Arjun Patel</v>
          </cell>
          <cell r="G453">
            <v>35</v>
          </cell>
          <cell r="H453" t="str">
            <v>Young Adult</v>
          </cell>
          <cell r="J453" t="str">
            <v>Other</v>
          </cell>
          <cell r="K453" t="str">
            <v>North</v>
          </cell>
          <cell r="L453" t="str">
            <v>Chandigarh</v>
          </cell>
          <cell r="M453" t="str">
            <v>Sports</v>
          </cell>
          <cell r="N453" t="str">
            <v>Tennis Racket</v>
          </cell>
          <cell r="P453">
            <v>5</v>
          </cell>
          <cell r="Q453">
            <v>1956.54</v>
          </cell>
          <cell r="S453">
            <v>0.2</v>
          </cell>
          <cell r="T453">
            <v>10411.35</v>
          </cell>
          <cell r="U453">
            <v>2723.2</v>
          </cell>
          <cell r="V453">
            <v>0.26156070058157682</v>
          </cell>
          <cell r="W453">
            <v>60.98</v>
          </cell>
          <cell r="X453" t="str">
            <v>UPI</v>
          </cell>
          <cell r="Z453">
            <v>3</v>
          </cell>
          <cell r="AA453" t="b">
            <v>0</v>
          </cell>
          <cell r="AC453" t="str">
            <v>Delivered</v>
          </cell>
          <cell r="AE453">
            <v>3</v>
          </cell>
        </row>
        <row r="454">
          <cell r="C454">
            <v>45360</v>
          </cell>
          <cell r="D454" t="str">
            <v>CUST89317</v>
          </cell>
          <cell r="E454" t="str">
            <v>Vikram Singh</v>
          </cell>
          <cell r="G454">
            <v>28</v>
          </cell>
          <cell r="H454" t="str">
            <v>Young Adult</v>
          </cell>
          <cell r="J454" t="str">
            <v>Other</v>
          </cell>
          <cell r="K454" t="str">
            <v>North</v>
          </cell>
          <cell r="L454" t="str">
            <v>Ludhiana</v>
          </cell>
          <cell r="M454" t="str">
            <v>Electronics</v>
          </cell>
          <cell r="N454" t="str">
            <v>Laptop</v>
          </cell>
          <cell r="P454">
            <v>5</v>
          </cell>
          <cell r="Q454">
            <v>35958.57</v>
          </cell>
          <cell r="S454">
            <v>0.23</v>
          </cell>
          <cell r="T454">
            <v>180888.8</v>
          </cell>
          <cell r="U454">
            <v>18318.66</v>
          </cell>
          <cell r="V454">
            <v>0.10127028317950033</v>
          </cell>
          <cell r="W454">
            <v>45.69</v>
          </cell>
          <cell r="X454" t="str">
            <v>UPI</v>
          </cell>
          <cell r="Z454">
            <v>1</v>
          </cell>
          <cell r="AA454" t="b">
            <v>0</v>
          </cell>
          <cell r="AC454" t="str">
            <v>Delivered</v>
          </cell>
          <cell r="AE454">
            <v>6</v>
          </cell>
        </row>
        <row r="455">
          <cell r="C455">
            <v>44593</v>
          </cell>
          <cell r="D455" t="str">
            <v>CUST71903</v>
          </cell>
          <cell r="E455" t="str">
            <v>Rahul Sharma</v>
          </cell>
          <cell r="G455">
            <v>30</v>
          </cell>
          <cell r="H455" t="str">
            <v>Young Adult</v>
          </cell>
          <cell r="J455" t="str">
            <v>Female</v>
          </cell>
          <cell r="K455" t="str">
            <v>East</v>
          </cell>
          <cell r="L455" t="str">
            <v>Bhubaneswar</v>
          </cell>
          <cell r="M455" t="str">
            <v>Beauty</v>
          </cell>
          <cell r="N455" t="str">
            <v>Shampoo</v>
          </cell>
          <cell r="P455">
            <v>10</v>
          </cell>
          <cell r="Q455">
            <v>1797.87</v>
          </cell>
          <cell r="S455">
            <v>0.31</v>
          </cell>
          <cell r="T455">
            <v>12188.57</v>
          </cell>
          <cell r="U455">
            <v>2948.45</v>
          </cell>
          <cell r="V455">
            <v>0.24190286473310649</v>
          </cell>
          <cell r="W455">
            <v>85.14</v>
          </cell>
          <cell r="X455" t="str">
            <v>Cash on Delivery</v>
          </cell>
          <cell r="Z455">
            <v>3</v>
          </cell>
          <cell r="AA455" t="b">
            <v>0</v>
          </cell>
          <cell r="AC455" t="str">
            <v>Shipped</v>
          </cell>
          <cell r="AE455">
            <v>4</v>
          </cell>
        </row>
        <row r="456">
          <cell r="C456">
            <v>44600</v>
          </cell>
          <cell r="D456" t="str">
            <v>CUST81381</v>
          </cell>
          <cell r="E456" t="str">
            <v>Aarav Bose</v>
          </cell>
          <cell r="G456">
            <v>65</v>
          </cell>
          <cell r="H456" t="str">
            <v>Senior</v>
          </cell>
          <cell r="J456" t="str">
            <v>Male</v>
          </cell>
          <cell r="K456" t="str">
            <v>North</v>
          </cell>
          <cell r="L456" t="str">
            <v>Chandigarh</v>
          </cell>
          <cell r="M456" t="str">
            <v>Groceries</v>
          </cell>
          <cell r="N456" t="str">
            <v>Flour</v>
          </cell>
          <cell r="P456">
            <v>10</v>
          </cell>
          <cell r="Q456">
            <v>299.20999999999998</v>
          </cell>
          <cell r="S456">
            <v>0.19</v>
          </cell>
          <cell r="T456">
            <v>2491.46</v>
          </cell>
          <cell r="U456">
            <v>268.35000000000002</v>
          </cell>
          <cell r="V456">
            <v>0.1077079302898702</v>
          </cell>
          <cell r="W456">
            <v>16.739999999999998</v>
          </cell>
          <cell r="X456" t="str">
            <v>Net Banking</v>
          </cell>
          <cell r="Z456">
            <v>3</v>
          </cell>
          <cell r="AA456" t="b">
            <v>0</v>
          </cell>
          <cell r="AC456" t="str">
            <v>Delivered</v>
          </cell>
          <cell r="AE456">
            <v>9</v>
          </cell>
        </row>
        <row r="457">
          <cell r="C457">
            <v>44839</v>
          </cell>
          <cell r="D457" t="str">
            <v>CUST93809</v>
          </cell>
          <cell r="E457" t="str">
            <v>Kavya Sharma</v>
          </cell>
          <cell r="G457">
            <v>44</v>
          </cell>
          <cell r="H457" t="str">
            <v>Adult</v>
          </cell>
          <cell r="J457" t="str">
            <v>Other</v>
          </cell>
          <cell r="K457" t="str">
            <v>Central</v>
          </cell>
          <cell r="L457" t="str">
            <v>Indore</v>
          </cell>
          <cell r="M457" t="str">
            <v>Furniture</v>
          </cell>
          <cell r="N457" t="str">
            <v>Bookshelf</v>
          </cell>
          <cell r="P457">
            <v>8</v>
          </cell>
          <cell r="Q457">
            <v>32195.15</v>
          </cell>
          <cell r="S457">
            <v>0.25</v>
          </cell>
          <cell r="T457">
            <v>191258.73</v>
          </cell>
          <cell r="U457">
            <v>53878.3</v>
          </cell>
          <cell r="V457">
            <v>0.28170374235989121</v>
          </cell>
          <cell r="W457">
            <v>67.87</v>
          </cell>
          <cell r="X457" t="str">
            <v>Cash on Delivery</v>
          </cell>
          <cell r="Z457">
            <v>2</v>
          </cell>
          <cell r="AA457" t="b">
            <v>0</v>
          </cell>
          <cell r="AC457" t="str">
            <v>Delivered</v>
          </cell>
          <cell r="AE457">
            <v>4</v>
          </cell>
        </row>
        <row r="458">
          <cell r="C458">
            <v>44570</v>
          </cell>
          <cell r="D458" t="str">
            <v>CUST72759</v>
          </cell>
          <cell r="E458" t="str">
            <v>Pooja Patel</v>
          </cell>
          <cell r="G458">
            <v>26</v>
          </cell>
          <cell r="H458" t="str">
            <v>Young Adult</v>
          </cell>
          <cell r="J458" t="str">
            <v>Other</v>
          </cell>
          <cell r="K458" t="str">
            <v>South</v>
          </cell>
          <cell r="L458" t="str">
            <v>Hyderabad</v>
          </cell>
          <cell r="M458" t="str">
            <v>Furniture</v>
          </cell>
          <cell r="N458" t="str">
            <v>Chair</v>
          </cell>
          <cell r="P458">
            <v>7</v>
          </cell>
          <cell r="Q458">
            <v>2529.87</v>
          </cell>
          <cell r="S458">
            <v>0.12</v>
          </cell>
          <cell r="T458">
            <v>14719.17</v>
          </cell>
          <cell r="U458">
            <v>4154.01</v>
          </cell>
          <cell r="V458">
            <v>0.28221767939360715</v>
          </cell>
          <cell r="W458">
            <v>90.47</v>
          </cell>
          <cell r="X458" t="str">
            <v>EMI</v>
          </cell>
          <cell r="Z458">
            <v>5</v>
          </cell>
          <cell r="AA458" t="b">
            <v>0</v>
          </cell>
          <cell r="AC458" t="str">
            <v>Delivered</v>
          </cell>
          <cell r="AE458">
            <v>5</v>
          </cell>
        </row>
        <row r="459">
          <cell r="C459">
            <v>44852</v>
          </cell>
          <cell r="D459" t="str">
            <v>CUST12074</v>
          </cell>
          <cell r="E459" t="str">
            <v>Ritu Joshi</v>
          </cell>
          <cell r="G459">
            <v>51</v>
          </cell>
          <cell r="H459" t="str">
            <v>Senior</v>
          </cell>
          <cell r="J459" t="str">
            <v>Female</v>
          </cell>
          <cell r="K459" t="str">
            <v>North</v>
          </cell>
          <cell r="L459" t="str">
            <v>Amritsar</v>
          </cell>
          <cell r="M459" t="str">
            <v>Sports</v>
          </cell>
          <cell r="N459" t="str">
            <v>Football</v>
          </cell>
          <cell r="P459">
            <v>10</v>
          </cell>
          <cell r="Q459">
            <v>14562.6</v>
          </cell>
          <cell r="S459">
            <v>0.31</v>
          </cell>
          <cell r="T459">
            <v>86000.34</v>
          </cell>
          <cell r="U459">
            <v>18267.52</v>
          </cell>
          <cell r="V459">
            <v>0.21241218348671645</v>
          </cell>
          <cell r="W459">
            <v>33.549999999999997</v>
          </cell>
          <cell r="X459" t="str">
            <v>Cash on Delivery</v>
          </cell>
          <cell r="Z459">
            <v>5</v>
          </cell>
          <cell r="AA459" t="b">
            <v>0</v>
          </cell>
          <cell r="AC459" t="str">
            <v>Delivered</v>
          </cell>
          <cell r="AE459">
            <v>4</v>
          </cell>
        </row>
        <row r="460">
          <cell r="C460">
            <v>43873</v>
          </cell>
          <cell r="D460" t="str">
            <v>CUST05374</v>
          </cell>
          <cell r="E460" t="str">
            <v>Aditya Chatterjee</v>
          </cell>
          <cell r="G460">
            <v>39</v>
          </cell>
          <cell r="H460" t="str">
            <v>Adult</v>
          </cell>
          <cell r="J460" t="str">
            <v>Female</v>
          </cell>
          <cell r="K460" t="str">
            <v>South</v>
          </cell>
          <cell r="L460" t="str">
            <v>Chennai</v>
          </cell>
          <cell r="M460" t="str">
            <v>Beauty</v>
          </cell>
          <cell r="N460" t="str">
            <v>Hair Oil</v>
          </cell>
          <cell r="P460">
            <v>6</v>
          </cell>
          <cell r="Q460">
            <v>1270.3599999999999</v>
          </cell>
          <cell r="S460">
            <v>0.06</v>
          </cell>
          <cell r="T460">
            <v>5747.77</v>
          </cell>
          <cell r="U460">
            <v>2669</v>
          </cell>
          <cell r="V460">
            <v>0.46435400163889645</v>
          </cell>
          <cell r="W460">
            <v>62.46</v>
          </cell>
          <cell r="X460" t="str">
            <v>EMI</v>
          </cell>
          <cell r="Z460">
            <v>3</v>
          </cell>
          <cell r="AA460" t="b">
            <v>0</v>
          </cell>
          <cell r="AC460" t="str">
            <v>Delivered</v>
          </cell>
          <cell r="AE460">
            <v>8</v>
          </cell>
        </row>
        <row r="461">
          <cell r="C461">
            <v>44529</v>
          </cell>
          <cell r="D461" t="str">
            <v>CUST23869</v>
          </cell>
          <cell r="E461" t="str">
            <v>Amit Reddy</v>
          </cell>
          <cell r="G461">
            <v>54</v>
          </cell>
          <cell r="H461" t="str">
            <v>Senior</v>
          </cell>
          <cell r="J461" t="str">
            <v>Other</v>
          </cell>
          <cell r="K461" t="str">
            <v>South</v>
          </cell>
          <cell r="L461" t="str">
            <v>Bangalore</v>
          </cell>
          <cell r="M461" t="str">
            <v>Books</v>
          </cell>
          <cell r="N461" t="str">
            <v>Fiction Novel</v>
          </cell>
          <cell r="P461">
            <v>3</v>
          </cell>
          <cell r="Q461">
            <v>789.1</v>
          </cell>
          <cell r="S461">
            <v>0.18</v>
          </cell>
          <cell r="T461">
            <v>1449.86</v>
          </cell>
          <cell r="U461">
            <v>562.04</v>
          </cell>
          <cell r="V461">
            <v>0.38765122149724801</v>
          </cell>
          <cell r="W461">
            <v>72.430000000000007</v>
          </cell>
          <cell r="X461" t="str">
            <v>UPI</v>
          </cell>
          <cell r="Z461">
            <v>3</v>
          </cell>
          <cell r="AA461" t="b">
            <v>0</v>
          </cell>
          <cell r="AC461" t="str">
            <v>Cancelled</v>
          </cell>
          <cell r="AE461">
            <v>2</v>
          </cell>
        </row>
        <row r="462">
          <cell r="C462">
            <v>44195</v>
          </cell>
          <cell r="D462" t="str">
            <v>CUST77423</v>
          </cell>
          <cell r="E462" t="str">
            <v>Priya Shah</v>
          </cell>
          <cell r="G462">
            <v>33</v>
          </cell>
          <cell r="H462" t="str">
            <v>Young Adult</v>
          </cell>
          <cell r="J462" t="str">
            <v>Other</v>
          </cell>
          <cell r="K462" t="str">
            <v>East</v>
          </cell>
          <cell r="L462" t="str">
            <v>Patna</v>
          </cell>
          <cell r="M462" t="str">
            <v>Electronics</v>
          </cell>
          <cell r="N462" t="str">
            <v>Camera</v>
          </cell>
          <cell r="P462">
            <v>7</v>
          </cell>
          <cell r="Q462">
            <v>56504.32</v>
          </cell>
          <cell r="S462">
            <v>0.3</v>
          </cell>
          <cell r="T462">
            <v>197546.47</v>
          </cell>
          <cell r="U462">
            <v>21532.46</v>
          </cell>
          <cell r="V462">
            <v>0.10899946731520943</v>
          </cell>
          <cell r="W462">
            <v>53.78</v>
          </cell>
          <cell r="X462" t="str">
            <v>Cash on Delivery</v>
          </cell>
          <cell r="Z462">
            <v>5</v>
          </cell>
          <cell r="AA462" t="b">
            <v>0</v>
          </cell>
          <cell r="AC462" t="str">
            <v>Delivered</v>
          </cell>
          <cell r="AE462">
            <v>1</v>
          </cell>
        </row>
        <row r="463">
          <cell r="C463">
            <v>43838</v>
          </cell>
          <cell r="D463" t="str">
            <v>CUST05879</v>
          </cell>
          <cell r="E463" t="str">
            <v>Nisha Nair</v>
          </cell>
          <cell r="G463">
            <v>12</v>
          </cell>
          <cell r="H463" t="str">
            <v>Child</v>
          </cell>
          <cell r="J463" t="str">
            <v>Other</v>
          </cell>
          <cell r="K463" t="str">
            <v>Central</v>
          </cell>
          <cell r="L463" t="str">
            <v>Nagpur</v>
          </cell>
          <cell r="M463" t="str">
            <v>Sports</v>
          </cell>
          <cell r="N463" t="str">
            <v>Dumbbells</v>
          </cell>
          <cell r="P463">
            <v>2</v>
          </cell>
          <cell r="Q463">
            <v>2448.88</v>
          </cell>
          <cell r="S463">
            <v>0.08</v>
          </cell>
          <cell r="T463">
            <v>3192.22</v>
          </cell>
          <cell r="U463">
            <v>355.63</v>
          </cell>
          <cell r="V463">
            <v>0.11140522896291609</v>
          </cell>
          <cell r="W463">
            <v>47.54</v>
          </cell>
          <cell r="X463" t="str">
            <v>Cash on Delivery</v>
          </cell>
          <cell r="Z463">
            <v>3</v>
          </cell>
          <cell r="AA463" t="b">
            <v>0</v>
          </cell>
          <cell r="AC463" t="str">
            <v>Delivered</v>
          </cell>
          <cell r="AE463">
            <v>9</v>
          </cell>
        </row>
        <row r="464">
          <cell r="C464">
            <v>45521</v>
          </cell>
          <cell r="D464" t="str">
            <v>CUST72269</v>
          </cell>
          <cell r="E464" t="str">
            <v>Ritu Gupta</v>
          </cell>
          <cell r="G464">
            <v>41</v>
          </cell>
          <cell r="H464" t="str">
            <v>Adult</v>
          </cell>
          <cell r="J464" t="str">
            <v>Female</v>
          </cell>
          <cell r="K464" t="str">
            <v>South</v>
          </cell>
          <cell r="L464" t="str">
            <v>Bangalore</v>
          </cell>
          <cell r="M464" t="str">
            <v>Electronics</v>
          </cell>
          <cell r="N464" t="str">
            <v>Headphones</v>
          </cell>
          <cell r="P464">
            <v>3</v>
          </cell>
          <cell r="Q464">
            <v>51479.19</v>
          </cell>
          <cell r="S464">
            <v>0.25</v>
          </cell>
          <cell r="T464">
            <v>182018.37</v>
          </cell>
          <cell r="U464">
            <v>19016.37</v>
          </cell>
          <cell r="V464">
            <v>0.10447500436357056</v>
          </cell>
          <cell r="W464">
            <v>55.15</v>
          </cell>
          <cell r="X464" t="str">
            <v>UPI</v>
          </cell>
          <cell r="Z464">
            <v>3</v>
          </cell>
          <cell r="AA464" t="b">
            <v>0</v>
          </cell>
          <cell r="AC464" t="str">
            <v>Pending</v>
          </cell>
          <cell r="AE464">
            <v>3</v>
          </cell>
        </row>
        <row r="465">
          <cell r="C465">
            <v>45582</v>
          </cell>
          <cell r="D465" t="str">
            <v>CUST12279</v>
          </cell>
          <cell r="E465" t="str">
            <v>Meera Patel</v>
          </cell>
          <cell r="G465">
            <v>34.294220665499125</v>
          </cell>
          <cell r="H465" t="str">
            <v>Young Adult</v>
          </cell>
          <cell r="J465" t="str">
            <v>Other</v>
          </cell>
          <cell r="K465" t="str">
            <v>North</v>
          </cell>
          <cell r="L465" t="str">
            <v>Ludhiana</v>
          </cell>
          <cell r="M465" t="str">
            <v>Groceries</v>
          </cell>
          <cell r="N465" t="str">
            <v>Flour</v>
          </cell>
          <cell r="P465">
            <v>8</v>
          </cell>
          <cell r="Q465">
            <v>184.25</v>
          </cell>
          <cell r="S465">
            <v>0.21</v>
          </cell>
          <cell r="T465">
            <v>1215.29</v>
          </cell>
          <cell r="U465">
            <v>77.92</v>
          </cell>
          <cell r="V465">
            <v>6.4116383743797786E-2</v>
          </cell>
          <cell r="W465">
            <v>46.09</v>
          </cell>
          <cell r="X465" t="str">
            <v>Credit Card</v>
          </cell>
          <cell r="Z465">
            <v>3</v>
          </cell>
          <cell r="AA465" t="b">
            <v>0</v>
          </cell>
          <cell r="AC465" t="str">
            <v>Shipped</v>
          </cell>
          <cell r="AE465">
            <v>6</v>
          </cell>
        </row>
        <row r="466">
          <cell r="C466">
            <v>44862</v>
          </cell>
          <cell r="D466" t="str">
            <v>CUST35452</v>
          </cell>
          <cell r="E466" t="str">
            <v>Rahul Singh</v>
          </cell>
          <cell r="G466">
            <v>36</v>
          </cell>
          <cell r="H466" t="str">
            <v>Adult</v>
          </cell>
          <cell r="J466" t="str">
            <v>Female</v>
          </cell>
          <cell r="K466" t="str">
            <v>North</v>
          </cell>
          <cell r="L466" t="str">
            <v>Ludhiana</v>
          </cell>
          <cell r="M466" t="str">
            <v>Electronics</v>
          </cell>
          <cell r="N466" t="str">
            <v>Camera</v>
          </cell>
          <cell r="P466">
            <v>6</v>
          </cell>
          <cell r="Q466">
            <v>6441.62</v>
          </cell>
          <cell r="S466">
            <v>0.27</v>
          </cell>
          <cell r="T466">
            <v>31528.73</v>
          </cell>
          <cell r="U466">
            <v>5997.64</v>
          </cell>
          <cell r="V466">
            <v>0.19022777003704242</v>
          </cell>
          <cell r="W466">
            <v>53.2</v>
          </cell>
          <cell r="X466" t="str">
            <v>EMI</v>
          </cell>
          <cell r="Z466">
            <v>3</v>
          </cell>
          <cell r="AA466" t="b">
            <v>0</v>
          </cell>
          <cell r="AC466" t="str">
            <v>Cancelled</v>
          </cell>
          <cell r="AE466">
            <v>8</v>
          </cell>
        </row>
        <row r="467">
          <cell r="C467">
            <v>44653</v>
          </cell>
          <cell r="D467" t="str">
            <v>CUST38887</v>
          </cell>
          <cell r="E467" t="str">
            <v>Aditya Nair</v>
          </cell>
          <cell r="G467">
            <v>39</v>
          </cell>
          <cell r="H467" t="str">
            <v>Adult</v>
          </cell>
          <cell r="J467" t="str">
            <v>Other</v>
          </cell>
          <cell r="K467" t="str">
            <v>West</v>
          </cell>
          <cell r="L467" t="str">
            <v>Ahmedabad</v>
          </cell>
          <cell r="M467" t="str">
            <v>Groceries</v>
          </cell>
          <cell r="N467" t="str">
            <v>Dal (1kg)</v>
          </cell>
          <cell r="P467">
            <v>3</v>
          </cell>
          <cell r="Q467">
            <v>475.6</v>
          </cell>
          <cell r="S467">
            <v>0.18</v>
          </cell>
          <cell r="T467">
            <v>1586.7</v>
          </cell>
          <cell r="U467">
            <v>154.07</v>
          </cell>
          <cell r="V467">
            <v>9.7100901241570545E-2</v>
          </cell>
          <cell r="W467">
            <v>65.63</v>
          </cell>
          <cell r="X467" t="str">
            <v>Credit Card</v>
          </cell>
          <cell r="Z467">
            <v>1</v>
          </cell>
          <cell r="AA467" t="b">
            <v>0</v>
          </cell>
          <cell r="AC467" t="str">
            <v>Shipped</v>
          </cell>
          <cell r="AE467">
            <v>10</v>
          </cell>
        </row>
        <row r="468">
          <cell r="C468">
            <v>45581</v>
          </cell>
          <cell r="D468" t="str">
            <v>CUST01456</v>
          </cell>
          <cell r="E468" t="str">
            <v>Ananya Singh</v>
          </cell>
          <cell r="G468">
            <v>40</v>
          </cell>
          <cell r="H468" t="str">
            <v>Adult</v>
          </cell>
          <cell r="J468" t="str">
            <v>Other</v>
          </cell>
          <cell r="K468" t="str">
            <v>Central</v>
          </cell>
          <cell r="L468" t="str">
            <v>Bhopal</v>
          </cell>
          <cell r="M468" t="str">
            <v>Furniture</v>
          </cell>
          <cell r="N468" t="str">
            <v>Chair</v>
          </cell>
          <cell r="P468">
            <v>2</v>
          </cell>
          <cell r="Q468">
            <v>8590.5300000000007</v>
          </cell>
          <cell r="S468">
            <v>0.23</v>
          </cell>
          <cell r="T468">
            <v>12705.04</v>
          </cell>
          <cell r="U468">
            <v>3529.2</v>
          </cell>
          <cell r="V468">
            <v>0.27777952686492918</v>
          </cell>
          <cell r="W468">
            <v>40.590000000000003</v>
          </cell>
          <cell r="X468" t="str">
            <v>Credit Card</v>
          </cell>
          <cell r="Z468">
            <v>5</v>
          </cell>
          <cell r="AA468" t="b">
            <v>0</v>
          </cell>
          <cell r="AC468" t="str">
            <v>Delivered</v>
          </cell>
          <cell r="AE468">
            <v>6</v>
          </cell>
        </row>
        <row r="469">
          <cell r="C469">
            <v>45592</v>
          </cell>
          <cell r="D469" t="str">
            <v>CUST83988</v>
          </cell>
          <cell r="E469" t="str">
            <v>Arjun Bose</v>
          </cell>
          <cell r="G469">
            <v>18</v>
          </cell>
          <cell r="H469" t="str">
            <v>Teen</v>
          </cell>
          <cell r="J469" t="str">
            <v>Female</v>
          </cell>
          <cell r="K469" t="str">
            <v>North</v>
          </cell>
          <cell r="L469" t="str">
            <v>Ludhiana</v>
          </cell>
          <cell r="M469" t="str">
            <v>Furniture</v>
          </cell>
          <cell r="N469" t="str">
            <v>Bed Frame</v>
          </cell>
          <cell r="P469">
            <v>1</v>
          </cell>
          <cell r="Q469">
            <v>14589.01</v>
          </cell>
          <cell r="S469">
            <v>0.2</v>
          </cell>
          <cell r="T469">
            <v>13208.25</v>
          </cell>
          <cell r="U469">
            <v>3174.45</v>
          </cell>
          <cell r="V469">
            <v>0.24033842484810627</v>
          </cell>
          <cell r="W469">
            <v>52.97</v>
          </cell>
          <cell r="X469" t="str">
            <v>Credit Card</v>
          </cell>
          <cell r="Z469">
            <v>3</v>
          </cell>
          <cell r="AA469" t="b">
            <v>0</v>
          </cell>
          <cell r="AC469" t="str">
            <v>Delivered</v>
          </cell>
          <cell r="AE469">
            <v>1</v>
          </cell>
        </row>
        <row r="470">
          <cell r="C470">
            <v>44984</v>
          </cell>
          <cell r="D470" t="str">
            <v>CUST02913</v>
          </cell>
          <cell r="E470" t="str">
            <v>Nisha Kumar</v>
          </cell>
          <cell r="G470">
            <v>32</v>
          </cell>
          <cell r="H470" t="str">
            <v>Young Adult</v>
          </cell>
          <cell r="J470" t="str">
            <v>Female</v>
          </cell>
          <cell r="K470" t="str">
            <v>East</v>
          </cell>
          <cell r="L470" t="str">
            <v>Kolkata</v>
          </cell>
          <cell r="M470" t="str">
            <v>Books</v>
          </cell>
          <cell r="N470" t="str">
            <v>Fiction Novel</v>
          </cell>
          <cell r="P470">
            <v>2</v>
          </cell>
          <cell r="Q470">
            <v>484.9</v>
          </cell>
          <cell r="S470">
            <v>0.1</v>
          </cell>
          <cell r="T470">
            <v>1040.24</v>
          </cell>
          <cell r="U470">
            <v>423.7</v>
          </cell>
          <cell r="V470">
            <v>0.40730985157271399</v>
          </cell>
          <cell r="W470">
            <v>69.41</v>
          </cell>
          <cell r="X470" t="str">
            <v>Net Banking</v>
          </cell>
          <cell r="Z470">
            <v>1</v>
          </cell>
          <cell r="AA470" t="b">
            <v>0</v>
          </cell>
          <cell r="AC470" t="str">
            <v>Delivered</v>
          </cell>
          <cell r="AE470">
            <v>10</v>
          </cell>
        </row>
        <row r="471">
          <cell r="C471">
            <v>44471</v>
          </cell>
          <cell r="D471" t="str">
            <v>CUST32538</v>
          </cell>
          <cell r="E471" t="str">
            <v>Amit Rao</v>
          </cell>
          <cell r="G471">
            <v>24</v>
          </cell>
          <cell r="H471" t="str">
            <v>Young Adult</v>
          </cell>
          <cell r="J471" t="str">
            <v>Other</v>
          </cell>
          <cell r="K471" t="str">
            <v>South</v>
          </cell>
          <cell r="L471" t="str">
            <v>Bangalore</v>
          </cell>
          <cell r="M471" t="str">
            <v>Electronics</v>
          </cell>
          <cell r="N471" t="str">
            <v>Laptop</v>
          </cell>
          <cell r="P471">
            <v>10</v>
          </cell>
          <cell r="Q471">
            <v>23157.51</v>
          </cell>
          <cell r="S471">
            <v>0.12</v>
          </cell>
          <cell r="T471">
            <v>176221.6</v>
          </cell>
          <cell r="U471">
            <v>21453.69</v>
          </cell>
          <cell r="V471">
            <v>0.12174268080643916</v>
          </cell>
          <cell r="W471">
            <v>53.6</v>
          </cell>
          <cell r="X471" t="str">
            <v>Net Banking</v>
          </cell>
          <cell r="Z471">
            <v>3</v>
          </cell>
          <cell r="AA471" t="b">
            <v>0</v>
          </cell>
          <cell r="AC471" t="str">
            <v>Delivered</v>
          </cell>
          <cell r="AE471">
            <v>4</v>
          </cell>
        </row>
        <row r="472">
          <cell r="C472">
            <v>45290</v>
          </cell>
          <cell r="D472" t="str">
            <v>CUST23969</v>
          </cell>
          <cell r="E472" t="str">
            <v>Rahul Mehta</v>
          </cell>
          <cell r="G472">
            <v>27</v>
          </cell>
          <cell r="H472" t="str">
            <v>Young Adult</v>
          </cell>
          <cell r="J472" t="str">
            <v>Male</v>
          </cell>
          <cell r="K472" t="str">
            <v>Central</v>
          </cell>
          <cell r="L472" t="str">
            <v>Raipur</v>
          </cell>
          <cell r="M472" t="str">
            <v>Books</v>
          </cell>
          <cell r="N472" t="str">
            <v>Textbook</v>
          </cell>
          <cell r="P472">
            <v>9</v>
          </cell>
          <cell r="Q472">
            <v>609.86</v>
          </cell>
          <cell r="S472">
            <v>0.14000000000000001</v>
          </cell>
          <cell r="T472">
            <v>3554.23</v>
          </cell>
          <cell r="U472">
            <v>1923.48</v>
          </cell>
          <cell r="V472">
            <v>0.54118050885845881</v>
          </cell>
          <cell r="W472">
            <v>54.96</v>
          </cell>
          <cell r="X472" t="str">
            <v>EMI</v>
          </cell>
          <cell r="Z472">
            <v>3</v>
          </cell>
          <cell r="AA472" t="b">
            <v>0</v>
          </cell>
          <cell r="AC472" t="str">
            <v>Shipped</v>
          </cell>
          <cell r="AE472">
            <v>1</v>
          </cell>
        </row>
        <row r="473">
          <cell r="C473">
            <v>44996</v>
          </cell>
          <cell r="D473" t="str">
            <v>CUST63976</v>
          </cell>
          <cell r="E473" t="str">
            <v>Vikram Verma</v>
          </cell>
          <cell r="G473">
            <v>42</v>
          </cell>
          <cell r="H473" t="str">
            <v>Adult</v>
          </cell>
          <cell r="J473" t="str">
            <v>Male</v>
          </cell>
          <cell r="K473" t="str">
            <v>South</v>
          </cell>
          <cell r="L473" t="str">
            <v>Hyderabad</v>
          </cell>
          <cell r="M473" t="str">
            <v>Clothing</v>
          </cell>
          <cell r="N473" t="str">
            <v>Jacket</v>
          </cell>
          <cell r="P473">
            <v>8</v>
          </cell>
          <cell r="Q473">
            <v>570.17999999999995</v>
          </cell>
          <cell r="S473">
            <v>0.04</v>
          </cell>
          <cell r="T473">
            <v>5294.75</v>
          </cell>
          <cell r="U473">
            <v>1738.46</v>
          </cell>
          <cell r="V473">
            <v>0.3283365597998017</v>
          </cell>
          <cell r="W473">
            <v>56.28</v>
          </cell>
          <cell r="X473" t="str">
            <v>Credit Card</v>
          </cell>
          <cell r="Z473">
            <v>2</v>
          </cell>
          <cell r="AA473" t="b">
            <v>0</v>
          </cell>
          <cell r="AC473" t="str">
            <v>Delivered</v>
          </cell>
          <cell r="AE473">
            <v>4</v>
          </cell>
        </row>
        <row r="474">
          <cell r="C474">
            <v>44971</v>
          </cell>
          <cell r="D474" t="str">
            <v>CUST21078</v>
          </cell>
          <cell r="E474" t="str">
            <v>Meera Kapoor</v>
          </cell>
          <cell r="G474">
            <v>33</v>
          </cell>
          <cell r="H474" t="str">
            <v>Young Adult</v>
          </cell>
          <cell r="J474" t="str">
            <v>Female</v>
          </cell>
          <cell r="K474" t="str">
            <v>North</v>
          </cell>
          <cell r="L474" t="str">
            <v>Ludhiana</v>
          </cell>
          <cell r="M474" t="str">
            <v>Electronics</v>
          </cell>
          <cell r="N474" t="str">
            <v>Laptop</v>
          </cell>
          <cell r="P474">
            <v>9</v>
          </cell>
          <cell r="Q474">
            <v>41854.410000000003</v>
          </cell>
          <cell r="S474">
            <v>0.33</v>
          </cell>
          <cell r="T474">
            <v>247342.73</v>
          </cell>
          <cell r="U474">
            <v>30449.06</v>
          </cell>
          <cell r="V474">
            <v>0.12310473002380139</v>
          </cell>
          <cell r="W474">
            <v>42.16</v>
          </cell>
          <cell r="X474" t="str">
            <v>Debit Card</v>
          </cell>
          <cell r="Z474">
            <v>2</v>
          </cell>
          <cell r="AA474" t="b">
            <v>0</v>
          </cell>
          <cell r="AC474" t="str">
            <v>Delivered</v>
          </cell>
          <cell r="AE474">
            <v>8</v>
          </cell>
        </row>
        <row r="475">
          <cell r="C475">
            <v>44667</v>
          </cell>
          <cell r="D475" t="str">
            <v>CUST98008</v>
          </cell>
          <cell r="E475" t="str">
            <v>Amit Singh</v>
          </cell>
          <cell r="G475">
            <v>39</v>
          </cell>
          <cell r="H475" t="str">
            <v>Adult</v>
          </cell>
          <cell r="J475" t="str">
            <v>Female</v>
          </cell>
          <cell r="K475" t="str">
            <v>Central</v>
          </cell>
          <cell r="L475" t="str">
            <v>Bhopal</v>
          </cell>
          <cell r="M475" t="str">
            <v>Clothing</v>
          </cell>
          <cell r="N475" t="str">
            <v>Dress</v>
          </cell>
          <cell r="P475">
            <v>3</v>
          </cell>
          <cell r="Q475">
            <v>3710.29</v>
          </cell>
          <cell r="S475">
            <v>0.05</v>
          </cell>
          <cell r="T475">
            <v>14616.34</v>
          </cell>
          <cell r="U475">
            <v>5360.81</v>
          </cell>
          <cell r="V475">
            <v>0.36676828809400985</v>
          </cell>
          <cell r="W475">
            <v>62.88</v>
          </cell>
          <cell r="X475" t="str">
            <v>Cash on Delivery</v>
          </cell>
          <cell r="Z475">
            <v>4</v>
          </cell>
          <cell r="AA475" t="b">
            <v>0</v>
          </cell>
          <cell r="AC475" t="str">
            <v>Delivered</v>
          </cell>
          <cell r="AE475">
            <v>4</v>
          </cell>
        </row>
        <row r="476">
          <cell r="C476">
            <v>44591</v>
          </cell>
          <cell r="D476" t="str">
            <v>CUST81394</v>
          </cell>
          <cell r="E476" t="str">
            <v>Nikhil Kumar</v>
          </cell>
          <cell r="G476">
            <v>27</v>
          </cell>
          <cell r="H476" t="str">
            <v>Young Adult</v>
          </cell>
          <cell r="J476" t="str">
            <v>Male</v>
          </cell>
          <cell r="K476" t="str">
            <v>North</v>
          </cell>
          <cell r="L476" t="str">
            <v>Amritsar</v>
          </cell>
          <cell r="M476" t="str">
            <v>Beauty</v>
          </cell>
          <cell r="N476" t="str">
            <v>Hair Oil</v>
          </cell>
          <cell r="P476">
            <v>10</v>
          </cell>
          <cell r="Q476">
            <v>2477.1</v>
          </cell>
          <cell r="S476">
            <v>0.19</v>
          </cell>
          <cell r="T476">
            <v>19204</v>
          </cell>
          <cell r="U476">
            <v>9210.86</v>
          </cell>
          <cell r="V476">
            <v>0.47963236825661326</v>
          </cell>
          <cell r="W476">
            <v>24.71</v>
          </cell>
          <cell r="X476" t="str">
            <v>Credit Card</v>
          </cell>
          <cell r="Z476">
            <v>5</v>
          </cell>
          <cell r="AA476" t="b">
            <v>0</v>
          </cell>
          <cell r="AC476" t="str">
            <v>Cancelled</v>
          </cell>
          <cell r="AE476">
            <v>8</v>
          </cell>
        </row>
        <row r="477">
          <cell r="C477">
            <v>44186</v>
          </cell>
          <cell r="D477" t="str">
            <v>CUST92097</v>
          </cell>
          <cell r="E477" t="str">
            <v>Nisha Gupta</v>
          </cell>
          <cell r="G477">
            <v>44</v>
          </cell>
          <cell r="H477" t="str">
            <v>Adult</v>
          </cell>
          <cell r="J477" t="str">
            <v>Male</v>
          </cell>
          <cell r="K477" t="str">
            <v>South</v>
          </cell>
          <cell r="L477" t="str">
            <v>Hyderabad</v>
          </cell>
          <cell r="M477" t="str">
            <v>Sports</v>
          </cell>
          <cell r="N477" t="str">
            <v>Cycle</v>
          </cell>
          <cell r="P477">
            <v>8</v>
          </cell>
          <cell r="Q477">
            <v>12540.64</v>
          </cell>
          <cell r="S477">
            <v>0.16</v>
          </cell>
          <cell r="T477">
            <v>54877.82</v>
          </cell>
          <cell r="U477">
            <v>12900.73</v>
          </cell>
          <cell r="V477">
            <v>0.23508094891524481</v>
          </cell>
          <cell r="W477">
            <v>44.66</v>
          </cell>
          <cell r="X477" t="str">
            <v>UPI</v>
          </cell>
          <cell r="Z477">
            <v>1</v>
          </cell>
          <cell r="AA477" t="b">
            <v>0</v>
          </cell>
          <cell r="AC477" t="str">
            <v>Delivered</v>
          </cell>
          <cell r="AE477">
            <v>8</v>
          </cell>
        </row>
        <row r="478">
          <cell r="C478">
            <v>45066</v>
          </cell>
          <cell r="D478" t="str">
            <v>CUST32623</v>
          </cell>
          <cell r="E478" t="str">
            <v>Ananya Verma</v>
          </cell>
          <cell r="G478">
            <v>17</v>
          </cell>
          <cell r="H478" t="str">
            <v>Teen</v>
          </cell>
          <cell r="J478" t="str">
            <v>Female</v>
          </cell>
          <cell r="K478" t="str">
            <v>East</v>
          </cell>
          <cell r="L478" t="str">
            <v>Patna</v>
          </cell>
          <cell r="M478" t="str">
            <v>Beauty</v>
          </cell>
          <cell r="N478" t="str">
            <v>Shampoo</v>
          </cell>
          <cell r="P478">
            <v>8</v>
          </cell>
          <cell r="Q478">
            <v>211.05</v>
          </cell>
          <cell r="S478">
            <v>0.17</v>
          </cell>
          <cell r="T478">
            <v>2271.48</v>
          </cell>
          <cell r="U478">
            <v>1315.77</v>
          </cell>
          <cell r="V478">
            <v>0.57925669607480579</v>
          </cell>
          <cell r="W478">
            <v>75.69</v>
          </cell>
          <cell r="X478" t="str">
            <v>Net Banking</v>
          </cell>
          <cell r="Z478">
            <v>3</v>
          </cell>
          <cell r="AA478" t="b">
            <v>1</v>
          </cell>
          <cell r="AC478" t="str">
            <v>Returned</v>
          </cell>
          <cell r="AE478">
            <v>3</v>
          </cell>
        </row>
        <row r="479">
          <cell r="C479">
            <v>44279</v>
          </cell>
          <cell r="D479" t="str">
            <v>CUST01477</v>
          </cell>
          <cell r="E479" t="str">
            <v>Karan Mishra</v>
          </cell>
          <cell r="G479">
            <v>49</v>
          </cell>
          <cell r="H479" t="str">
            <v>Adult</v>
          </cell>
          <cell r="J479" t="str">
            <v>Female</v>
          </cell>
          <cell r="K479" t="str">
            <v>North</v>
          </cell>
          <cell r="L479" t="str">
            <v>Delhi</v>
          </cell>
          <cell r="M479" t="str">
            <v>Sports</v>
          </cell>
          <cell r="N479" t="str">
            <v>Yoga Mat</v>
          </cell>
          <cell r="P479">
            <v>7</v>
          </cell>
          <cell r="Q479">
            <v>2782.21</v>
          </cell>
          <cell r="S479">
            <v>0.21</v>
          </cell>
          <cell r="T479">
            <v>13694.75</v>
          </cell>
          <cell r="U479">
            <v>1856.34</v>
          </cell>
          <cell r="V479">
            <v>0.1355512148816152</v>
          </cell>
          <cell r="W479">
            <v>60.88</v>
          </cell>
          <cell r="X479" t="str">
            <v>Net Banking</v>
          </cell>
          <cell r="Z479">
            <v>3</v>
          </cell>
          <cell r="AA479" t="b">
            <v>0</v>
          </cell>
          <cell r="AC479" t="str">
            <v>Delivered</v>
          </cell>
          <cell r="AE479">
            <v>4</v>
          </cell>
        </row>
        <row r="480">
          <cell r="C480">
            <v>44464</v>
          </cell>
          <cell r="D480" t="str">
            <v>CUST02694</v>
          </cell>
          <cell r="E480" t="str">
            <v>Priya Chatterjee</v>
          </cell>
          <cell r="G480">
            <v>19</v>
          </cell>
          <cell r="H480" t="str">
            <v>Teen</v>
          </cell>
          <cell r="J480" t="str">
            <v>Male</v>
          </cell>
          <cell r="K480" t="str">
            <v>Central</v>
          </cell>
          <cell r="L480" t="str">
            <v>Raipur</v>
          </cell>
          <cell r="M480" t="str">
            <v>Beauty</v>
          </cell>
          <cell r="N480" t="str">
            <v>Hair Oil</v>
          </cell>
          <cell r="P480">
            <v>7</v>
          </cell>
          <cell r="Q480">
            <v>210.31</v>
          </cell>
          <cell r="S480">
            <v>0.23</v>
          </cell>
          <cell r="T480">
            <v>1209</v>
          </cell>
          <cell r="U480">
            <v>600.88</v>
          </cell>
          <cell r="V480">
            <v>0.49700578990901573</v>
          </cell>
          <cell r="W480">
            <v>67.459999999999994</v>
          </cell>
          <cell r="X480" t="str">
            <v>UPI</v>
          </cell>
          <cell r="Z480">
            <v>5</v>
          </cell>
          <cell r="AA480" t="b">
            <v>1</v>
          </cell>
          <cell r="AC480" t="str">
            <v>Returned</v>
          </cell>
          <cell r="AE480">
            <v>6</v>
          </cell>
        </row>
        <row r="481">
          <cell r="C481">
            <v>45143</v>
          </cell>
          <cell r="D481" t="str">
            <v>CUST76477</v>
          </cell>
          <cell r="E481" t="str">
            <v>Sunita Bose</v>
          </cell>
          <cell r="G481">
            <v>33</v>
          </cell>
          <cell r="H481" t="str">
            <v>Young Adult</v>
          </cell>
          <cell r="J481" t="str">
            <v>Female</v>
          </cell>
          <cell r="K481" t="str">
            <v>East</v>
          </cell>
          <cell r="L481" t="str">
            <v>Guwahati</v>
          </cell>
          <cell r="M481" t="str">
            <v>Furniture</v>
          </cell>
          <cell r="N481" t="str">
            <v>Chair</v>
          </cell>
          <cell r="P481">
            <v>2</v>
          </cell>
          <cell r="Q481">
            <v>27227.5</v>
          </cell>
          <cell r="S481">
            <v>0.27</v>
          </cell>
          <cell r="T481">
            <v>53652.43</v>
          </cell>
          <cell r="U481">
            <v>18467.900000000001</v>
          </cell>
          <cell r="V481">
            <v>0.34421367308060419</v>
          </cell>
          <cell r="W481">
            <v>69.069999999999993</v>
          </cell>
          <cell r="X481" t="str">
            <v>Net Banking</v>
          </cell>
          <cell r="Z481">
            <v>5</v>
          </cell>
          <cell r="AA481" t="b">
            <v>0</v>
          </cell>
          <cell r="AC481" t="str">
            <v>Delivered</v>
          </cell>
          <cell r="AE481">
            <v>9</v>
          </cell>
        </row>
        <row r="482">
          <cell r="C482">
            <v>45313</v>
          </cell>
          <cell r="D482" t="str">
            <v>CUST83939</v>
          </cell>
          <cell r="E482" t="str">
            <v>Priya Bose</v>
          </cell>
          <cell r="G482">
            <v>49</v>
          </cell>
          <cell r="H482" t="str">
            <v>Adult</v>
          </cell>
          <cell r="J482" t="str">
            <v>Male</v>
          </cell>
          <cell r="K482" t="str">
            <v>Central</v>
          </cell>
          <cell r="L482" t="str">
            <v>Indore</v>
          </cell>
          <cell r="M482" t="str">
            <v>Sports</v>
          </cell>
          <cell r="N482" t="str">
            <v>Tennis Racket</v>
          </cell>
          <cell r="P482">
            <v>2</v>
          </cell>
          <cell r="Q482">
            <v>11637.71</v>
          </cell>
          <cell r="S482">
            <v>0.03</v>
          </cell>
          <cell r="T482">
            <v>20228.5</v>
          </cell>
          <cell r="U482">
            <v>3894.99</v>
          </cell>
          <cell r="V482">
            <v>0.19254962058481845</v>
          </cell>
          <cell r="W482">
            <v>49.76</v>
          </cell>
          <cell r="X482" t="str">
            <v>EMI</v>
          </cell>
          <cell r="Z482">
            <v>4</v>
          </cell>
          <cell r="AA482" t="b">
            <v>1</v>
          </cell>
          <cell r="AC482" t="str">
            <v>Returned</v>
          </cell>
          <cell r="AE482">
            <v>6</v>
          </cell>
        </row>
        <row r="483">
          <cell r="C483">
            <v>44863</v>
          </cell>
          <cell r="D483" t="str">
            <v>CUST85891</v>
          </cell>
          <cell r="E483" t="str">
            <v>Aditya Mishra</v>
          </cell>
          <cell r="G483">
            <v>30</v>
          </cell>
          <cell r="H483" t="str">
            <v>Young Adult</v>
          </cell>
          <cell r="J483" t="str">
            <v>Male</v>
          </cell>
          <cell r="K483" t="str">
            <v>South</v>
          </cell>
          <cell r="L483" t="str">
            <v>Hyderabad</v>
          </cell>
          <cell r="M483" t="str">
            <v>Books</v>
          </cell>
          <cell r="N483" t="str">
            <v>Self-Help Book</v>
          </cell>
          <cell r="P483">
            <v>10</v>
          </cell>
          <cell r="Q483">
            <v>1494.95</v>
          </cell>
          <cell r="S483">
            <v>0.38</v>
          </cell>
          <cell r="T483">
            <v>9412.99</v>
          </cell>
          <cell r="U483">
            <v>4806.7700000000004</v>
          </cell>
          <cell r="V483">
            <v>0.5106528318844491</v>
          </cell>
          <cell r="W483">
            <v>81.37</v>
          </cell>
          <cell r="X483" t="str">
            <v>Credit Card</v>
          </cell>
          <cell r="Z483">
            <v>3</v>
          </cell>
          <cell r="AA483" t="b">
            <v>1</v>
          </cell>
          <cell r="AC483" t="str">
            <v>Returned</v>
          </cell>
          <cell r="AE483">
            <v>6</v>
          </cell>
        </row>
        <row r="484">
          <cell r="C484">
            <v>43992</v>
          </cell>
          <cell r="D484" t="str">
            <v>CUST57932</v>
          </cell>
          <cell r="E484" t="str">
            <v>Rohan Bhat</v>
          </cell>
          <cell r="G484">
            <v>24</v>
          </cell>
          <cell r="H484" t="str">
            <v>Young Adult</v>
          </cell>
          <cell r="J484" t="str">
            <v>Male</v>
          </cell>
          <cell r="K484" t="str">
            <v>Central</v>
          </cell>
          <cell r="L484" t="str">
            <v>Bhopal</v>
          </cell>
          <cell r="M484" t="str">
            <v>Clothing</v>
          </cell>
          <cell r="N484" t="str">
            <v>Jeans</v>
          </cell>
          <cell r="P484">
            <v>2</v>
          </cell>
          <cell r="Q484">
            <v>1835.19</v>
          </cell>
          <cell r="S484">
            <v>0.03</v>
          </cell>
          <cell r="T484">
            <v>4360.6899999999996</v>
          </cell>
          <cell r="U484">
            <v>1812.7</v>
          </cell>
          <cell r="V484">
            <v>0.41569109475793975</v>
          </cell>
          <cell r="W484">
            <v>37.119999999999997</v>
          </cell>
          <cell r="X484" t="str">
            <v>EMI</v>
          </cell>
          <cell r="Z484">
            <v>5</v>
          </cell>
          <cell r="AA484" t="b">
            <v>0</v>
          </cell>
          <cell r="AC484" t="str">
            <v>Delivered</v>
          </cell>
          <cell r="AE484">
            <v>2</v>
          </cell>
        </row>
        <row r="485">
          <cell r="C485">
            <v>44166</v>
          </cell>
          <cell r="D485" t="str">
            <v>CUST76439</v>
          </cell>
          <cell r="E485" t="str">
            <v>Aarav Mishra</v>
          </cell>
          <cell r="G485">
            <v>25</v>
          </cell>
          <cell r="H485" t="str">
            <v>Young Adult</v>
          </cell>
          <cell r="J485" t="str">
            <v>Other</v>
          </cell>
          <cell r="K485" t="str">
            <v>Central</v>
          </cell>
          <cell r="L485" t="str">
            <v>Indore</v>
          </cell>
          <cell r="M485" t="str">
            <v>Clothing</v>
          </cell>
          <cell r="N485" t="str">
            <v>Dress</v>
          </cell>
          <cell r="P485">
            <v>2</v>
          </cell>
          <cell r="Q485">
            <v>3263.53</v>
          </cell>
          <cell r="S485">
            <v>0.28000000000000003</v>
          </cell>
          <cell r="T485">
            <v>3766.06</v>
          </cell>
          <cell r="U485">
            <v>1284.73</v>
          </cell>
          <cell r="V485">
            <v>0.3411337047205833</v>
          </cell>
          <cell r="W485">
            <v>57.51</v>
          </cell>
          <cell r="X485" t="str">
            <v>Net Banking</v>
          </cell>
          <cell r="Z485">
            <v>2</v>
          </cell>
          <cell r="AA485" t="b">
            <v>0</v>
          </cell>
          <cell r="AC485" t="str">
            <v>Delivered</v>
          </cell>
          <cell r="AE485">
            <v>10</v>
          </cell>
        </row>
        <row r="486">
          <cell r="C486">
            <v>44675</v>
          </cell>
          <cell r="D486" t="str">
            <v>CUST11183</v>
          </cell>
          <cell r="E486" t="str">
            <v>Aditya Patel</v>
          </cell>
          <cell r="G486">
            <v>19</v>
          </cell>
          <cell r="H486" t="str">
            <v>Teen</v>
          </cell>
          <cell r="J486" t="str">
            <v>Female</v>
          </cell>
          <cell r="K486" t="str">
            <v>East</v>
          </cell>
          <cell r="L486" t="str">
            <v>Kolkata</v>
          </cell>
          <cell r="M486" t="str">
            <v>Books</v>
          </cell>
          <cell r="N486" t="str">
            <v>Fiction Novel</v>
          </cell>
          <cell r="P486">
            <v>5</v>
          </cell>
          <cell r="Q486">
            <v>610.98</v>
          </cell>
          <cell r="S486">
            <v>0.16</v>
          </cell>
          <cell r="T486">
            <v>3679.38</v>
          </cell>
          <cell r="U486">
            <v>1422.56</v>
          </cell>
          <cell r="V486">
            <v>0.38663035620131653</v>
          </cell>
          <cell r="W486">
            <v>53.99</v>
          </cell>
          <cell r="X486" t="str">
            <v>Cash on Delivery</v>
          </cell>
          <cell r="Z486">
            <v>4</v>
          </cell>
          <cell r="AA486" t="b">
            <v>0</v>
          </cell>
          <cell r="AC486" t="str">
            <v>Delivered</v>
          </cell>
          <cell r="AE486">
            <v>4</v>
          </cell>
        </row>
        <row r="487">
          <cell r="C487">
            <v>44975</v>
          </cell>
          <cell r="D487" t="str">
            <v>CUST98321</v>
          </cell>
          <cell r="E487" t="str">
            <v>Ananya Shah</v>
          </cell>
          <cell r="G487">
            <v>30</v>
          </cell>
          <cell r="H487" t="str">
            <v>Young Adult</v>
          </cell>
          <cell r="J487" t="str">
            <v>Male</v>
          </cell>
          <cell r="K487" t="str">
            <v>North</v>
          </cell>
          <cell r="L487" t="str">
            <v>Delhi</v>
          </cell>
          <cell r="M487" t="str">
            <v>Books</v>
          </cell>
          <cell r="N487" t="str">
            <v>Cook Book</v>
          </cell>
          <cell r="P487">
            <v>4</v>
          </cell>
          <cell r="Q487">
            <v>1488.05</v>
          </cell>
          <cell r="S487">
            <v>0.16</v>
          </cell>
          <cell r="T487">
            <v>5878.72</v>
          </cell>
          <cell r="U487">
            <v>1895.88</v>
          </cell>
          <cell r="V487">
            <v>0.32249877524359044</v>
          </cell>
          <cell r="W487">
            <v>33.950000000000003</v>
          </cell>
          <cell r="X487" t="str">
            <v>Debit Card</v>
          </cell>
          <cell r="Z487">
            <v>3</v>
          </cell>
          <cell r="AA487" t="b">
            <v>1</v>
          </cell>
          <cell r="AC487" t="str">
            <v>Returned</v>
          </cell>
          <cell r="AE487">
            <v>9</v>
          </cell>
        </row>
        <row r="488">
          <cell r="C488">
            <v>44132</v>
          </cell>
          <cell r="D488" t="str">
            <v>CUST76842</v>
          </cell>
          <cell r="E488" t="str">
            <v>Shreya Gupta</v>
          </cell>
          <cell r="G488">
            <v>47</v>
          </cell>
          <cell r="H488" t="str">
            <v>Adult</v>
          </cell>
          <cell r="J488" t="str">
            <v>Female</v>
          </cell>
          <cell r="K488" t="str">
            <v>South</v>
          </cell>
          <cell r="L488" t="str">
            <v>Hyderabad</v>
          </cell>
          <cell r="M488" t="str">
            <v>Books</v>
          </cell>
          <cell r="N488" t="str">
            <v>Textbook</v>
          </cell>
          <cell r="P488">
            <v>8</v>
          </cell>
          <cell r="Q488">
            <v>513.63</v>
          </cell>
          <cell r="S488">
            <v>0.17</v>
          </cell>
          <cell r="T488">
            <v>2804.09</v>
          </cell>
          <cell r="U488">
            <v>1009.57</v>
          </cell>
          <cell r="V488">
            <v>0.36003480630079632</v>
          </cell>
          <cell r="W488">
            <v>48.54</v>
          </cell>
          <cell r="X488" t="str">
            <v>Cash on Delivery</v>
          </cell>
          <cell r="Z488">
            <v>4</v>
          </cell>
          <cell r="AA488" t="b">
            <v>0</v>
          </cell>
          <cell r="AC488" t="str">
            <v>Delivered</v>
          </cell>
          <cell r="AE488">
            <v>1</v>
          </cell>
        </row>
        <row r="489">
          <cell r="C489">
            <v>43979</v>
          </cell>
          <cell r="D489" t="str">
            <v>CUST21580</v>
          </cell>
          <cell r="E489" t="str">
            <v>Pooja Bhat</v>
          </cell>
          <cell r="G489">
            <v>35</v>
          </cell>
          <cell r="H489" t="str">
            <v>Young Adult</v>
          </cell>
          <cell r="J489" t="str">
            <v>Other</v>
          </cell>
          <cell r="K489" t="str">
            <v>East</v>
          </cell>
          <cell r="L489" t="str">
            <v>Kolkata</v>
          </cell>
          <cell r="M489" t="str">
            <v>Groceries</v>
          </cell>
          <cell r="N489" t="str">
            <v>Sugar</v>
          </cell>
          <cell r="P489">
            <v>9</v>
          </cell>
          <cell r="Q489">
            <v>213.6</v>
          </cell>
          <cell r="S489">
            <v>0.32</v>
          </cell>
          <cell r="T489">
            <v>1665.43</v>
          </cell>
          <cell r="U489">
            <v>193.99</v>
          </cell>
          <cell r="V489">
            <v>0.11648042847793062</v>
          </cell>
          <cell r="W489">
            <v>101.52</v>
          </cell>
          <cell r="X489" t="str">
            <v>Net Banking</v>
          </cell>
          <cell r="Z489">
            <v>4</v>
          </cell>
          <cell r="AA489" t="b">
            <v>0</v>
          </cell>
          <cell r="AC489" t="str">
            <v>Cancelled</v>
          </cell>
          <cell r="AE489">
            <v>4</v>
          </cell>
        </row>
        <row r="490">
          <cell r="C490">
            <v>45320</v>
          </cell>
          <cell r="D490" t="str">
            <v>CUST36372</v>
          </cell>
          <cell r="E490" t="str">
            <v>Vikram Gupta</v>
          </cell>
          <cell r="G490">
            <v>26</v>
          </cell>
          <cell r="H490" t="str">
            <v>Young Adult</v>
          </cell>
          <cell r="J490" t="str">
            <v>Other</v>
          </cell>
          <cell r="K490" t="str">
            <v>North</v>
          </cell>
          <cell r="L490" t="str">
            <v>Amritsar</v>
          </cell>
          <cell r="M490" t="str">
            <v>Beauty</v>
          </cell>
          <cell r="N490" t="str">
            <v>Sunscreen</v>
          </cell>
          <cell r="P490">
            <v>4</v>
          </cell>
          <cell r="Q490">
            <v>1120.04</v>
          </cell>
          <cell r="S490">
            <v>0</v>
          </cell>
          <cell r="T490">
            <v>4784.7</v>
          </cell>
          <cell r="U490">
            <v>1051.2</v>
          </cell>
          <cell r="V490">
            <v>0.21970029468932223</v>
          </cell>
          <cell r="W490">
            <v>70.2</v>
          </cell>
          <cell r="X490" t="str">
            <v>Credit Card</v>
          </cell>
          <cell r="Z490">
            <v>5</v>
          </cell>
          <cell r="AA490" t="b">
            <v>0</v>
          </cell>
          <cell r="AC490" t="str">
            <v>Delivered</v>
          </cell>
          <cell r="AE490">
            <v>6</v>
          </cell>
        </row>
        <row r="491">
          <cell r="C491">
            <v>44744</v>
          </cell>
          <cell r="D491" t="str">
            <v>CUST88932</v>
          </cell>
          <cell r="E491" t="str">
            <v>Aditya Pillai</v>
          </cell>
          <cell r="G491">
            <v>42</v>
          </cell>
          <cell r="H491" t="str">
            <v>Adult</v>
          </cell>
          <cell r="J491" t="str">
            <v>Female</v>
          </cell>
          <cell r="K491" t="str">
            <v>North</v>
          </cell>
          <cell r="L491" t="str">
            <v>Ludhiana</v>
          </cell>
          <cell r="M491" t="str">
            <v>Electronics</v>
          </cell>
          <cell r="N491" t="str">
            <v>Headphones</v>
          </cell>
          <cell r="P491">
            <v>5</v>
          </cell>
          <cell r="Q491">
            <v>14814.19</v>
          </cell>
          <cell r="S491">
            <v>0.19793402777777783</v>
          </cell>
          <cell r="T491">
            <v>105694.63</v>
          </cell>
          <cell r="U491">
            <v>11127.91</v>
          </cell>
          <cell r="V491">
            <v>0.10528358914733889</v>
          </cell>
          <cell r="W491">
            <v>56.42</v>
          </cell>
          <cell r="X491" t="str">
            <v>Debit Card</v>
          </cell>
          <cell r="Z491">
            <v>3</v>
          </cell>
          <cell r="AA491" t="b">
            <v>0</v>
          </cell>
          <cell r="AC491" t="str">
            <v>Pending</v>
          </cell>
          <cell r="AE491">
            <v>1</v>
          </cell>
        </row>
        <row r="492">
          <cell r="C492">
            <v>44048</v>
          </cell>
          <cell r="D492" t="str">
            <v>CUST95892</v>
          </cell>
          <cell r="E492" t="str">
            <v>Vikram Gupta</v>
          </cell>
          <cell r="G492">
            <v>40</v>
          </cell>
          <cell r="H492" t="str">
            <v>Adult</v>
          </cell>
          <cell r="J492" t="str">
            <v>Other</v>
          </cell>
          <cell r="K492" t="str">
            <v>East</v>
          </cell>
          <cell r="L492" t="str">
            <v>Guwahati</v>
          </cell>
          <cell r="M492" t="str">
            <v>Groceries</v>
          </cell>
          <cell r="N492" t="str">
            <v>Rice (5kg)</v>
          </cell>
          <cell r="P492">
            <v>4</v>
          </cell>
          <cell r="Q492">
            <v>57.97</v>
          </cell>
          <cell r="S492">
            <v>0.1</v>
          </cell>
          <cell r="T492">
            <v>258.54000000000002</v>
          </cell>
          <cell r="U492">
            <v>16.670000000000002</v>
          </cell>
          <cell r="V492">
            <v>6.4477450297826255E-2</v>
          </cell>
          <cell r="W492">
            <v>74.150000000000006</v>
          </cell>
          <cell r="X492" t="str">
            <v>Net Banking</v>
          </cell>
          <cell r="Z492">
            <v>3</v>
          </cell>
          <cell r="AA492" t="b">
            <v>0</v>
          </cell>
          <cell r="AC492" t="str">
            <v>Delivered</v>
          </cell>
          <cell r="AE492">
            <v>9</v>
          </cell>
        </row>
        <row r="493">
          <cell r="C493">
            <v>44287</v>
          </cell>
          <cell r="D493" t="str">
            <v>CUST58835</v>
          </cell>
          <cell r="E493" t="str">
            <v>Meera Iyer</v>
          </cell>
          <cell r="G493">
            <v>45</v>
          </cell>
          <cell r="H493" t="str">
            <v>Adult</v>
          </cell>
          <cell r="J493" t="str">
            <v>Male</v>
          </cell>
          <cell r="K493" t="str">
            <v>Central</v>
          </cell>
          <cell r="L493" t="str">
            <v>Bhopal</v>
          </cell>
          <cell r="M493" t="str">
            <v>Groceries</v>
          </cell>
          <cell r="N493" t="str">
            <v>Flour</v>
          </cell>
          <cell r="P493">
            <v>2</v>
          </cell>
          <cell r="Q493">
            <v>438.16</v>
          </cell>
          <cell r="S493">
            <v>0.25</v>
          </cell>
          <cell r="T493">
            <v>855.21</v>
          </cell>
          <cell r="U493">
            <v>70.3</v>
          </cell>
          <cell r="V493">
            <v>8.2202032249389032E-2</v>
          </cell>
          <cell r="W493">
            <v>76.819999999999993</v>
          </cell>
          <cell r="X493" t="str">
            <v>Debit Card</v>
          </cell>
          <cell r="Z493">
            <v>5</v>
          </cell>
          <cell r="AA493" t="b">
            <v>0</v>
          </cell>
          <cell r="AC493" t="str">
            <v>Delivered</v>
          </cell>
          <cell r="AE493">
            <v>2</v>
          </cell>
        </row>
        <row r="494">
          <cell r="C494">
            <v>44477</v>
          </cell>
          <cell r="D494" t="str">
            <v>CUST41321</v>
          </cell>
          <cell r="E494" t="str">
            <v>Ritu Bhat</v>
          </cell>
          <cell r="G494">
            <v>23</v>
          </cell>
          <cell r="H494" t="str">
            <v>Young Adult</v>
          </cell>
          <cell r="J494" t="str">
            <v>Male</v>
          </cell>
          <cell r="K494" t="str">
            <v>North</v>
          </cell>
          <cell r="L494" t="str">
            <v>Chandigarh</v>
          </cell>
          <cell r="M494" t="str">
            <v>Groceries</v>
          </cell>
          <cell r="N494" t="str">
            <v>Cooking Oil</v>
          </cell>
          <cell r="P494">
            <v>5</v>
          </cell>
          <cell r="Q494">
            <v>312.3</v>
          </cell>
          <cell r="S494">
            <v>0.12</v>
          </cell>
          <cell r="T494">
            <v>1270.29</v>
          </cell>
          <cell r="U494">
            <v>110.96</v>
          </cell>
          <cell r="V494">
            <v>8.7350132646875911E-2</v>
          </cell>
          <cell r="W494">
            <v>25.67</v>
          </cell>
          <cell r="X494" t="str">
            <v>Cash on Delivery</v>
          </cell>
          <cell r="Z494">
            <v>3</v>
          </cell>
          <cell r="AA494" t="b">
            <v>0</v>
          </cell>
          <cell r="AC494" t="str">
            <v>Delivered</v>
          </cell>
          <cell r="AE494">
            <v>8</v>
          </cell>
        </row>
        <row r="495">
          <cell r="C495">
            <v>45450</v>
          </cell>
          <cell r="D495" t="str">
            <v>CUST56250</v>
          </cell>
          <cell r="E495" t="str">
            <v>Shreya Shah</v>
          </cell>
          <cell r="G495">
            <v>26</v>
          </cell>
          <cell r="H495" t="str">
            <v>Young Adult</v>
          </cell>
          <cell r="J495" t="str">
            <v>Female</v>
          </cell>
          <cell r="K495" t="str">
            <v>South</v>
          </cell>
          <cell r="L495" t="str">
            <v>Bangalore</v>
          </cell>
          <cell r="M495" t="str">
            <v>Clothing</v>
          </cell>
          <cell r="N495" t="str">
            <v>T-Shirt</v>
          </cell>
          <cell r="P495">
            <v>8</v>
          </cell>
          <cell r="Q495">
            <v>3182.92</v>
          </cell>
          <cell r="S495">
            <v>0.17</v>
          </cell>
          <cell r="T495">
            <v>35409.06</v>
          </cell>
          <cell r="U495">
            <v>17485.080000000002</v>
          </cell>
          <cell r="V495">
            <v>0.49380243361444792</v>
          </cell>
          <cell r="W495">
            <v>81.77</v>
          </cell>
          <cell r="X495" t="str">
            <v>UPI</v>
          </cell>
          <cell r="Z495">
            <v>5</v>
          </cell>
          <cell r="AA495" t="b">
            <v>0</v>
          </cell>
          <cell r="AC495" t="str">
            <v>Delivered</v>
          </cell>
          <cell r="AE495">
            <v>9</v>
          </cell>
        </row>
        <row r="496">
          <cell r="C496">
            <v>44722</v>
          </cell>
          <cell r="D496" t="str">
            <v>CUST15844</v>
          </cell>
          <cell r="E496" t="str">
            <v>Rohan Verma</v>
          </cell>
          <cell r="G496">
            <v>39</v>
          </cell>
          <cell r="H496" t="str">
            <v>Adult</v>
          </cell>
          <cell r="J496" t="str">
            <v>Female</v>
          </cell>
          <cell r="K496" t="str">
            <v>East</v>
          </cell>
          <cell r="L496" t="str">
            <v>Guwahati</v>
          </cell>
          <cell r="M496" t="str">
            <v>Clothing</v>
          </cell>
          <cell r="N496" t="str">
            <v>Kurta</v>
          </cell>
          <cell r="P496">
            <v>3</v>
          </cell>
          <cell r="Q496">
            <v>1256.1600000000001</v>
          </cell>
          <cell r="S496">
            <v>0.05</v>
          </cell>
          <cell r="T496">
            <v>5186.09</v>
          </cell>
          <cell r="U496">
            <v>2331.2600000000002</v>
          </cell>
          <cell r="V496">
            <v>0.44952170132026248</v>
          </cell>
          <cell r="W496">
            <v>90.36</v>
          </cell>
          <cell r="X496" t="str">
            <v>EMI</v>
          </cell>
          <cell r="Z496">
            <v>5</v>
          </cell>
          <cell r="AA496" t="b">
            <v>0</v>
          </cell>
          <cell r="AC496" t="str">
            <v>Delivered</v>
          </cell>
          <cell r="AE496">
            <v>9</v>
          </cell>
        </row>
        <row r="497">
          <cell r="C497">
            <v>43926</v>
          </cell>
          <cell r="D497" t="str">
            <v>CUST81881</v>
          </cell>
          <cell r="E497" t="str">
            <v>Sanjay Mishra</v>
          </cell>
          <cell r="G497">
            <v>34.294220665499125</v>
          </cell>
          <cell r="H497" t="str">
            <v>Young Adult</v>
          </cell>
          <cell r="J497" t="str">
            <v>Male</v>
          </cell>
          <cell r="K497" t="str">
            <v>Central</v>
          </cell>
          <cell r="L497" t="str">
            <v>Indore</v>
          </cell>
          <cell r="M497" t="str">
            <v>Beauty</v>
          </cell>
          <cell r="N497" t="str">
            <v>Face Cream</v>
          </cell>
          <cell r="P497">
            <v>9</v>
          </cell>
          <cell r="Q497">
            <v>1356.81</v>
          </cell>
          <cell r="S497">
            <v>0.01</v>
          </cell>
          <cell r="T497">
            <v>13938.43</v>
          </cell>
          <cell r="U497">
            <v>5273.14</v>
          </cell>
          <cell r="V497">
            <v>0.37831663967893087</v>
          </cell>
          <cell r="W497">
            <v>76.63</v>
          </cell>
          <cell r="X497" t="str">
            <v>Credit Card</v>
          </cell>
          <cell r="Z497">
            <v>3</v>
          </cell>
          <cell r="AA497" t="b">
            <v>0</v>
          </cell>
          <cell r="AC497" t="str">
            <v>Delivered</v>
          </cell>
          <cell r="AE497">
            <v>4</v>
          </cell>
        </row>
        <row r="498">
          <cell r="C498">
            <v>43885</v>
          </cell>
          <cell r="D498" t="str">
            <v>CUST54691</v>
          </cell>
          <cell r="E498" t="str">
            <v>Priya Shah</v>
          </cell>
          <cell r="G498">
            <v>27</v>
          </cell>
          <cell r="H498" t="str">
            <v>Young Adult</v>
          </cell>
          <cell r="J498" t="str">
            <v>Female</v>
          </cell>
          <cell r="K498" t="str">
            <v>East</v>
          </cell>
          <cell r="L498" t="str">
            <v>Patna</v>
          </cell>
          <cell r="M498" t="str">
            <v>Beauty</v>
          </cell>
          <cell r="N498" t="str">
            <v>Sunscreen</v>
          </cell>
          <cell r="P498">
            <v>3</v>
          </cell>
          <cell r="Q498">
            <v>1655.54</v>
          </cell>
          <cell r="S498">
            <v>0.25</v>
          </cell>
          <cell r="T498">
            <v>2825.92</v>
          </cell>
          <cell r="U498">
            <v>1777.23</v>
          </cell>
          <cell r="V498">
            <v>0.6289031536632318</v>
          </cell>
          <cell r="W498">
            <v>81.69</v>
          </cell>
          <cell r="X498" t="str">
            <v>UPI</v>
          </cell>
          <cell r="Z498">
            <v>3</v>
          </cell>
          <cell r="AA498" t="b">
            <v>0</v>
          </cell>
          <cell r="AC498" t="str">
            <v>Delivered</v>
          </cell>
          <cell r="AE498">
            <v>5</v>
          </cell>
        </row>
        <row r="499">
          <cell r="C499">
            <v>45050</v>
          </cell>
          <cell r="D499" t="str">
            <v>CUST45426</v>
          </cell>
          <cell r="E499" t="str">
            <v>Arjun Patel</v>
          </cell>
          <cell r="G499">
            <v>20</v>
          </cell>
          <cell r="H499" t="str">
            <v>Young Adult</v>
          </cell>
          <cell r="J499" t="str">
            <v>Other</v>
          </cell>
          <cell r="K499" t="str">
            <v>South</v>
          </cell>
          <cell r="L499" t="str">
            <v>Kochi</v>
          </cell>
          <cell r="M499" t="str">
            <v>Beauty</v>
          </cell>
          <cell r="N499" t="str">
            <v>Lipstick</v>
          </cell>
          <cell r="P499">
            <v>6</v>
          </cell>
          <cell r="Q499">
            <v>2373.35</v>
          </cell>
          <cell r="S499">
            <v>0.3</v>
          </cell>
          <cell r="T499">
            <v>15281.74</v>
          </cell>
          <cell r="U499">
            <v>8565.14</v>
          </cell>
          <cell r="V499">
            <v>0.56048198699886265</v>
          </cell>
          <cell r="W499">
            <v>54.97</v>
          </cell>
          <cell r="X499" t="str">
            <v>Cash on Delivery</v>
          </cell>
          <cell r="Z499">
            <v>3</v>
          </cell>
          <cell r="AA499" t="b">
            <v>0</v>
          </cell>
          <cell r="AC499" t="str">
            <v>Delivered</v>
          </cell>
          <cell r="AE499">
            <v>3</v>
          </cell>
        </row>
        <row r="500">
          <cell r="C500">
            <v>44867</v>
          </cell>
          <cell r="D500" t="str">
            <v>CUST53890</v>
          </cell>
          <cell r="E500" t="str">
            <v>Kavya Kapoor</v>
          </cell>
          <cell r="G500">
            <v>46</v>
          </cell>
          <cell r="H500" t="str">
            <v>Adult</v>
          </cell>
          <cell r="J500" t="str">
            <v>Other</v>
          </cell>
          <cell r="K500" t="str">
            <v>North</v>
          </cell>
          <cell r="L500" t="str">
            <v>Chandigarh</v>
          </cell>
          <cell r="M500" t="str">
            <v>Clothing</v>
          </cell>
          <cell r="N500" t="str">
            <v>Dress</v>
          </cell>
          <cell r="P500">
            <v>3</v>
          </cell>
          <cell r="Q500">
            <v>1457.48</v>
          </cell>
          <cell r="S500">
            <v>0.04</v>
          </cell>
          <cell r="T500">
            <v>3326.03</v>
          </cell>
          <cell r="U500">
            <v>1139.23</v>
          </cell>
          <cell r="V500">
            <v>0.3425194601371605</v>
          </cell>
          <cell r="W500">
            <v>47.06</v>
          </cell>
          <cell r="X500" t="str">
            <v>Credit Card</v>
          </cell>
          <cell r="Z500">
            <v>5</v>
          </cell>
          <cell r="AA500" t="b">
            <v>0</v>
          </cell>
          <cell r="AC500" t="str">
            <v>Delivered</v>
          </cell>
          <cell r="AE500">
            <v>10</v>
          </cell>
        </row>
        <row r="501">
          <cell r="C501">
            <v>44107</v>
          </cell>
          <cell r="D501" t="str">
            <v>CUST56731</v>
          </cell>
          <cell r="E501" t="str">
            <v>Rohan Bhat</v>
          </cell>
          <cell r="G501">
            <v>52</v>
          </cell>
          <cell r="H501" t="str">
            <v>Senior</v>
          </cell>
          <cell r="J501" t="str">
            <v>Female</v>
          </cell>
          <cell r="K501" t="str">
            <v>South</v>
          </cell>
          <cell r="L501" t="str">
            <v>Bangalore</v>
          </cell>
          <cell r="M501" t="str">
            <v>Electronics</v>
          </cell>
          <cell r="N501" t="str">
            <v>Smartwatch</v>
          </cell>
          <cell r="P501">
            <v>4</v>
          </cell>
          <cell r="Q501">
            <v>72305.61</v>
          </cell>
          <cell r="S501">
            <v>0.03</v>
          </cell>
          <cell r="T501">
            <v>221219.87</v>
          </cell>
          <cell r="U501">
            <v>28168.080000000002</v>
          </cell>
          <cell r="V501">
            <v>0.12733069592708829</v>
          </cell>
          <cell r="W501">
            <v>54.29</v>
          </cell>
          <cell r="X501" t="str">
            <v>Debit Card</v>
          </cell>
          <cell r="Z501">
            <v>4</v>
          </cell>
          <cell r="AA501" t="b">
            <v>1</v>
          </cell>
          <cell r="AC501" t="str">
            <v>Returned</v>
          </cell>
          <cell r="AE501">
            <v>10</v>
          </cell>
        </row>
        <row r="502">
          <cell r="C502">
            <v>44275</v>
          </cell>
          <cell r="D502" t="str">
            <v>CUST18672</v>
          </cell>
          <cell r="E502" t="str">
            <v>Rahul Rao</v>
          </cell>
          <cell r="G502">
            <v>12</v>
          </cell>
          <cell r="H502" t="str">
            <v>Child</v>
          </cell>
          <cell r="J502" t="str">
            <v>Other</v>
          </cell>
          <cell r="K502" t="str">
            <v>West</v>
          </cell>
          <cell r="L502" t="str">
            <v>Mumbai</v>
          </cell>
          <cell r="M502" t="str">
            <v>Beauty</v>
          </cell>
          <cell r="N502" t="str">
            <v>Hair Oil</v>
          </cell>
          <cell r="P502">
            <v>3</v>
          </cell>
          <cell r="Q502">
            <v>956.76</v>
          </cell>
          <cell r="S502">
            <v>0.28000000000000003</v>
          </cell>
          <cell r="T502">
            <v>2408.87</v>
          </cell>
          <cell r="U502">
            <v>1153.68</v>
          </cell>
          <cell r="V502">
            <v>0.47892995470905453</v>
          </cell>
          <cell r="W502">
            <v>89.77</v>
          </cell>
          <cell r="X502" t="str">
            <v>Credit Card</v>
          </cell>
          <cell r="Z502">
            <v>3</v>
          </cell>
          <cell r="AA502" t="b">
            <v>0</v>
          </cell>
          <cell r="AC502" t="str">
            <v>Delivered</v>
          </cell>
          <cell r="AE502">
            <v>9</v>
          </cell>
        </row>
        <row r="503">
          <cell r="C503">
            <v>45539</v>
          </cell>
          <cell r="D503" t="str">
            <v>CUST41469</v>
          </cell>
          <cell r="E503" t="str">
            <v>Ananya Singh</v>
          </cell>
          <cell r="G503">
            <v>28</v>
          </cell>
          <cell r="H503" t="str">
            <v>Young Adult</v>
          </cell>
          <cell r="J503" t="str">
            <v>Male</v>
          </cell>
          <cell r="K503" t="str">
            <v>West</v>
          </cell>
          <cell r="L503" t="str">
            <v>Mumbai</v>
          </cell>
          <cell r="M503" t="str">
            <v>Electronics</v>
          </cell>
          <cell r="N503" t="str">
            <v>Smartphone</v>
          </cell>
          <cell r="P503">
            <v>3</v>
          </cell>
          <cell r="Q503">
            <v>57941.59</v>
          </cell>
          <cell r="S503">
            <v>0.17</v>
          </cell>
          <cell r="T503">
            <v>202708.19</v>
          </cell>
          <cell r="U503">
            <v>27362.05</v>
          </cell>
          <cell r="V503">
            <v>0.13498245926817262</v>
          </cell>
          <cell r="W503">
            <v>70.62</v>
          </cell>
          <cell r="X503" t="str">
            <v>Credit Card</v>
          </cell>
          <cell r="Z503">
            <v>2</v>
          </cell>
          <cell r="AA503" t="b">
            <v>1</v>
          </cell>
          <cell r="AC503" t="str">
            <v>Returned</v>
          </cell>
          <cell r="AE503">
            <v>5</v>
          </cell>
        </row>
        <row r="504">
          <cell r="C504">
            <v>45654</v>
          </cell>
          <cell r="D504" t="str">
            <v>CUST13220</v>
          </cell>
          <cell r="E504" t="str">
            <v>Ritu Gupta</v>
          </cell>
          <cell r="G504">
            <v>36</v>
          </cell>
          <cell r="H504" t="str">
            <v>Adult</v>
          </cell>
          <cell r="J504" t="str">
            <v>Other</v>
          </cell>
          <cell r="K504" t="str">
            <v>East</v>
          </cell>
          <cell r="L504" t="str">
            <v>Bhubaneswar</v>
          </cell>
          <cell r="M504" t="str">
            <v>Furniture</v>
          </cell>
          <cell r="N504" t="str">
            <v>Desk</v>
          </cell>
          <cell r="P504">
            <v>9</v>
          </cell>
          <cell r="Q504">
            <v>21875.15</v>
          </cell>
          <cell r="S504">
            <v>0.01</v>
          </cell>
          <cell r="T504">
            <v>161990.01</v>
          </cell>
          <cell r="U504">
            <v>51700.42</v>
          </cell>
          <cell r="V504">
            <v>0.3191580764764444</v>
          </cell>
          <cell r="W504">
            <v>87.08</v>
          </cell>
          <cell r="X504" t="str">
            <v>Credit Card</v>
          </cell>
          <cell r="Z504">
            <v>4</v>
          </cell>
          <cell r="AA504" t="b">
            <v>0</v>
          </cell>
          <cell r="AC504" t="str">
            <v>Delivered</v>
          </cell>
          <cell r="AE504">
            <v>10</v>
          </cell>
        </row>
        <row r="505">
          <cell r="C505">
            <v>45401</v>
          </cell>
          <cell r="D505" t="str">
            <v>CUST13355</v>
          </cell>
          <cell r="E505" t="str">
            <v>Aarav Rao</v>
          </cell>
          <cell r="G505">
            <v>31</v>
          </cell>
          <cell r="H505" t="str">
            <v>Young Adult</v>
          </cell>
          <cell r="J505" t="str">
            <v>Other</v>
          </cell>
          <cell r="K505" t="str">
            <v>West</v>
          </cell>
          <cell r="L505" t="str">
            <v>Surat</v>
          </cell>
          <cell r="M505" t="str">
            <v>Electronics</v>
          </cell>
          <cell r="N505" t="str">
            <v>Headphones</v>
          </cell>
          <cell r="P505">
            <v>5</v>
          </cell>
          <cell r="Q505">
            <v>48881.01</v>
          </cell>
          <cell r="S505">
            <v>0.28999999999999998</v>
          </cell>
          <cell r="T505">
            <v>271257.62</v>
          </cell>
          <cell r="U505">
            <v>14499.23</v>
          </cell>
          <cell r="V505">
            <v>5.345188090937316E-2</v>
          </cell>
          <cell r="W505">
            <v>74.540000000000006</v>
          </cell>
          <cell r="X505" t="str">
            <v>UPI</v>
          </cell>
          <cell r="Z505">
            <v>4</v>
          </cell>
          <cell r="AA505" t="b">
            <v>0</v>
          </cell>
          <cell r="AC505" t="str">
            <v>Shipped</v>
          </cell>
          <cell r="AE505">
            <v>2</v>
          </cell>
        </row>
        <row r="506">
          <cell r="C506">
            <v>44454</v>
          </cell>
          <cell r="D506" t="str">
            <v>CUST67856</v>
          </cell>
          <cell r="E506" t="str">
            <v>Ananya Shah</v>
          </cell>
          <cell r="G506">
            <v>46</v>
          </cell>
          <cell r="H506" t="str">
            <v>Adult</v>
          </cell>
          <cell r="J506" t="str">
            <v>Other</v>
          </cell>
          <cell r="K506" t="str">
            <v>East</v>
          </cell>
          <cell r="L506" t="str">
            <v>Bhubaneswar</v>
          </cell>
          <cell r="M506" t="str">
            <v>Books</v>
          </cell>
          <cell r="N506" t="str">
            <v>Comic Book</v>
          </cell>
          <cell r="P506">
            <v>1</v>
          </cell>
          <cell r="Q506">
            <v>1391.59</v>
          </cell>
          <cell r="S506">
            <v>0.04</v>
          </cell>
          <cell r="T506">
            <v>1424.19</v>
          </cell>
          <cell r="U506">
            <v>496.68</v>
          </cell>
          <cell r="V506">
            <v>0.34874560276367617</v>
          </cell>
          <cell r="W506">
            <v>84.05</v>
          </cell>
          <cell r="X506" t="str">
            <v>Net Banking</v>
          </cell>
          <cell r="Z506">
            <v>4</v>
          </cell>
          <cell r="AA506" t="b">
            <v>0</v>
          </cell>
          <cell r="AC506" t="str">
            <v>Shipped</v>
          </cell>
          <cell r="AE506">
            <v>5</v>
          </cell>
        </row>
        <row r="507">
          <cell r="C507">
            <v>45010</v>
          </cell>
          <cell r="D507" t="str">
            <v>CUST07357</v>
          </cell>
          <cell r="E507" t="str">
            <v>Meera Nair</v>
          </cell>
          <cell r="G507">
            <v>24</v>
          </cell>
          <cell r="H507" t="str">
            <v>Young Adult</v>
          </cell>
          <cell r="J507" t="str">
            <v>Female</v>
          </cell>
          <cell r="K507" t="str">
            <v>West</v>
          </cell>
          <cell r="L507" t="str">
            <v>Surat</v>
          </cell>
          <cell r="M507" t="str">
            <v>Furniture</v>
          </cell>
          <cell r="N507" t="str">
            <v>Bed Frame</v>
          </cell>
          <cell r="P507">
            <v>6</v>
          </cell>
          <cell r="Q507">
            <v>16778.259999999998</v>
          </cell>
          <cell r="S507">
            <v>0.34</v>
          </cell>
          <cell r="T507">
            <v>79749.850000000006</v>
          </cell>
          <cell r="U507">
            <v>20899.580000000002</v>
          </cell>
          <cell r="V507">
            <v>0.26206419197026704</v>
          </cell>
          <cell r="W507">
            <v>68.680000000000007</v>
          </cell>
          <cell r="X507" t="str">
            <v>UPI</v>
          </cell>
          <cell r="Z507">
            <v>3</v>
          </cell>
          <cell r="AA507" t="b">
            <v>0</v>
          </cell>
          <cell r="AC507" t="str">
            <v>Delivered</v>
          </cell>
          <cell r="AE507">
            <v>9</v>
          </cell>
        </row>
        <row r="508">
          <cell r="C508">
            <v>44184</v>
          </cell>
          <cell r="D508" t="str">
            <v>CUST99814</v>
          </cell>
          <cell r="E508" t="str">
            <v>Sunita Reddy</v>
          </cell>
          <cell r="G508">
            <v>51</v>
          </cell>
          <cell r="H508" t="str">
            <v>Senior</v>
          </cell>
          <cell r="J508" t="str">
            <v>Female</v>
          </cell>
          <cell r="K508" t="str">
            <v>North</v>
          </cell>
          <cell r="L508" t="str">
            <v>Amritsar</v>
          </cell>
          <cell r="M508" t="str">
            <v>Electronics</v>
          </cell>
          <cell r="N508" t="str">
            <v>Camera</v>
          </cell>
          <cell r="P508">
            <v>9</v>
          </cell>
          <cell r="Q508">
            <v>59205.69</v>
          </cell>
          <cell r="S508">
            <v>0.28999999999999998</v>
          </cell>
          <cell r="T508">
            <v>281237.44</v>
          </cell>
          <cell r="U508">
            <v>26659.17</v>
          </cell>
          <cell r="V508">
            <v>9.4792393217631332E-2</v>
          </cell>
          <cell r="W508">
            <v>68.680000000000007</v>
          </cell>
          <cell r="X508" t="str">
            <v>Debit Card</v>
          </cell>
          <cell r="Z508">
            <v>4</v>
          </cell>
          <cell r="AA508" t="b">
            <v>0</v>
          </cell>
          <cell r="AC508" t="str">
            <v>Delivered</v>
          </cell>
          <cell r="AE508">
            <v>8</v>
          </cell>
        </row>
        <row r="509">
          <cell r="C509">
            <v>45096</v>
          </cell>
          <cell r="D509" t="str">
            <v>CUST97817</v>
          </cell>
          <cell r="E509" t="str">
            <v>Ritu Mishra</v>
          </cell>
          <cell r="G509">
            <v>20</v>
          </cell>
          <cell r="H509" t="str">
            <v>Young Adult</v>
          </cell>
          <cell r="J509" t="str">
            <v>Other</v>
          </cell>
          <cell r="K509" t="str">
            <v>East</v>
          </cell>
          <cell r="L509" t="str">
            <v>Patna</v>
          </cell>
          <cell r="M509" t="str">
            <v>Electronics</v>
          </cell>
          <cell r="N509" t="str">
            <v>Smartphone</v>
          </cell>
          <cell r="P509">
            <v>10</v>
          </cell>
          <cell r="Q509">
            <v>54102.6</v>
          </cell>
          <cell r="S509">
            <v>0.36</v>
          </cell>
          <cell r="T509">
            <v>523395.38</v>
          </cell>
          <cell r="U509">
            <v>62065.82</v>
          </cell>
          <cell r="V509">
            <v>0.11858304901353925</v>
          </cell>
          <cell r="W509">
            <v>73.13</v>
          </cell>
          <cell r="X509" t="str">
            <v>Debit Card</v>
          </cell>
          <cell r="Z509">
            <v>3</v>
          </cell>
          <cell r="AA509" t="b">
            <v>0</v>
          </cell>
          <cell r="AC509" t="str">
            <v>Delivered</v>
          </cell>
          <cell r="AE509">
            <v>7</v>
          </cell>
        </row>
        <row r="510">
          <cell r="C510">
            <v>45612</v>
          </cell>
          <cell r="D510" t="str">
            <v>CUST53114</v>
          </cell>
          <cell r="E510" t="str">
            <v>Kavya Bose</v>
          </cell>
          <cell r="G510">
            <v>35</v>
          </cell>
          <cell r="H510" t="str">
            <v>Young Adult</v>
          </cell>
          <cell r="J510" t="str">
            <v>Female</v>
          </cell>
          <cell r="K510" t="str">
            <v>West</v>
          </cell>
          <cell r="L510" t="str">
            <v>Pune</v>
          </cell>
          <cell r="M510" t="str">
            <v>Electronics</v>
          </cell>
          <cell r="N510" t="str">
            <v>Headphones</v>
          </cell>
          <cell r="P510">
            <v>3</v>
          </cell>
          <cell r="Q510">
            <v>36271.47</v>
          </cell>
          <cell r="S510">
            <v>0.08</v>
          </cell>
          <cell r="T510">
            <v>106383.22</v>
          </cell>
          <cell r="U510">
            <v>8562.92</v>
          </cell>
          <cell r="V510">
            <v>8.0491265445809965E-2</v>
          </cell>
          <cell r="W510">
            <v>64.31</v>
          </cell>
          <cell r="X510" t="str">
            <v>Credit Card</v>
          </cell>
          <cell r="Z510">
            <v>2</v>
          </cell>
          <cell r="AA510" t="b">
            <v>1</v>
          </cell>
          <cell r="AC510" t="str">
            <v>Returned</v>
          </cell>
          <cell r="AE510">
            <v>10</v>
          </cell>
        </row>
        <row r="511">
          <cell r="C511">
            <v>45464</v>
          </cell>
          <cell r="D511" t="str">
            <v>CUST71536</v>
          </cell>
          <cell r="E511" t="str">
            <v>Amit Bose</v>
          </cell>
          <cell r="G511">
            <v>49</v>
          </cell>
          <cell r="H511" t="str">
            <v>Adult</v>
          </cell>
          <cell r="J511" t="str">
            <v>Male</v>
          </cell>
          <cell r="K511" t="str">
            <v>North</v>
          </cell>
          <cell r="L511" t="str">
            <v>Ludhiana</v>
          </cell>
          <cell r="M511" t="str">
            <v>Books</v>
          </cell>
          <cell r="N511" t="str">
            <v>Fiction Novel</v>
          </cell>
          <cell r="P511">
            <v>6</v>
          </cell>
          <cell r="Q511">
            <v>587.29999999999995</v>
          </cell>
          <cell r="S511">
            <v>0.23</v>
          </cell>
          <cell r="T511">
            <v>4643.97</v>
          </cell>
          <cell r="U511">
            <v>1923.83</v>
          </cell>
          <cell r="V511">
            <v>0.41426408869997006</v>
          </cell>
          <cell r="W511">
            <v>52.24</v>
          </cell>
          <cell r="X511" t="str">
            <v>Net Banking</v>
          </cell>
          <cell r="Z511">
            <v>5</v>
          </cell>
          <cell r="AA511" t="b">
            <v>0</v>
          </cell>
          <cell r="AC511" t="str">
            <v>Delivered</v>
          </cell>
          <cell r="AE511">
            <v>5</v>
          </cell>
        </row>
        <row r="512">
          <cell r="C512">
            <v>44523</v>
          </cell>
          <cell r="D512" t="str">
            <v>CUST03481</v>
          </cell>
          <cell r="E512" t="str">
            <v>Rahul Mishra</v>
          </cell>
          <cell r="G512">
            <v>23</v>
          </cell>
          <cell r="H512" t="str">
            <v>Young Adult</v>
          </cell>
          <cell r="J512" t="str">
            <v>Male</v>
          </cell>
          <cell r="K512" t="str">
            <v>South</v>
          </cell>
          <cell r="L512" t="str">
            <v>Chennai</v>
          </cell>
          <cell r="M512" t="str">
            <v>Furniture</v>
          </cell>
          <cell r="N512" t="str">
            <v>Bed Frame</v>
          </cell>
          <cell r="P512">
            <v>7</v>
          </cell>
          <cell r="Q512">
            <v>32709.32</v>
          </cell>
          <cell r="S512">
            <v>0.15</v>
          </cell>
          <cell r="T512">
            <v>154037.82999999999</v>
          </cell>
          <cell r="U512">
            <v>40170.160000000003</v>
          </cell>
          <cell r="V512">
            <v>0.26078113408894432</v>
          </cell>
          <cell r="W512">
            <v>86.06</v>
          </cell>
          <cell r="X512" t="str">
            <v>Cash on Delivery</v>
          </cell>
          <cell r="Z512">
            <v>2</v>
          </cell>
          <cell r="AA512" t="b">
            <v>0</v>
          </cell>
          <cell r="AC512" t="str">
            <v>Delivered</v>
          </cell>
          <cell r="AE512">
            <v>1</v>
          </cell>
        </row>
        <row r="513">
          <cell r="C513">
            <v>44303</v>
          </cell>
          <cell r="D513" t="str">
            <v>CUST99976</v>
          </cell>
          <cell r="E513" t="str">
            <v>Meera Kumar</v>
          </cell>
          <cell r="G513">
            <v>20</v>
          </cell>
          <cell r="H513" t="str">
            <v>Young Adult</v>
          </cell>
          <cell r="J513" t="str">
            <v>Other</v>
          </cell>
          <cell r="K513" t="str">
            <v>Central</v>
          </cell>
          <cell r="L513" t="str">
            <v>Indore</v>
          </cell>
          <cell r="M513" t="str">
            <v>Groceries</v>
          </cell>
          <cell r="N513" t="str">
            <v>Dal (1kg)</v>
          </cell>
          <cell r="P513">
            <v>7</v>
          </cell>
          <cell r="Q513">
            <v>228.64</v>
          </cell>
          <cell r="S513">
            <v>0.17</v>
          </cell>
          <cell r="T513">
            <v>1426.02</v>
          </cell>
          <cell r="U513">
            <v>99.2</v>
          </cell>
          <cell r="V513">
            <v>6.9564241735740037E-2</v>
          </cell>
          <cell r="W513">
            <v>68.16</v>
          </cell>
          <cell r="X513" t="str">
            <v>Net Banking</v>
          </cell>
          <cell r="Z513">
            <v>1</v>
          </cell>
          <cell r="AA513" t="b">
            <v>0</v>
          </cell>
          <cell r="AC513" t="str">
            <v>Delivered</v>
          </cell>
          <cell r="AE513">
            <v>8</v>
          </cell>
        </row>
        <row r="514">
          <cell r="C514">
            <v>44517</v>
          </cell>
          <cell r="D514" t="str">
            <v>CUST25719</v>
          </cell>
          <cell r="E514" t="str">
            <v>Nikhil Chatterjee</v>
          </cell>
          <cell r="G514">
            <v>42</v>
          </cell>
          <cell r="H514" t="str">
            <v>Adult</v>
          </cell>
          <cell r="J514" t="str">
            <v>Other</v>
          </cell>
          <cell r="K514" t="str">
            <v>North</v>
          </cell>
          <cell r="L514" t="str">
            <v>Ludhiana</v>
          </cell>
          <cell r="M514" t="str">
            <v>Groceries</v>
          </cell>
          <cell r="N514" t="str">
            <v>Tea</v>
          </cell>
          <cell r="P514">
            <v>3</v>
          </cell>
          <cell r="Q514">
            <v>308.05</v>
          </cell>
          <cell r="S514">
            <v>0.19</v>
          </cell>
          <cell r="T514">
            <v>531.13</v>
          </cell>
          <cell r="U514">
            <v>41.25</v>
          </cell>
          <cell r="V514">
            <v>7.7664601886543783E-2</v>
          </cell>
          <cell r="W514">
            <v>45.78</v>
          </cell>
          <cell r="X514" t="str">
            <v>Cash on Delivery</v>
          </cell>
          <cell r="Z514">
            <v>3</v>
          </cell>
          <cell r="AA514" t="b">
            <v>0</v>
          </cell>
          <cell r="AC514" t="str">
            <v>Delivered</v>
          </cell>
          <cell r="AE514">
            <v>2</v>
          </cell>
        </row>
        <row r="515">
          <cell r="C515">
            <v>43902</v>
          </cell>
          <cell r="D515" t="str">
            <v>CUST97663</v>
          </cell>
          <cell r="E515" t="str">
            <v>Aarav Singh</v>
          </cell>
          <cell r="G515">
            <v>34.294220665499125</v>
          </cell>
          <cell r="H515" t="str">
            <v>Young Adult</v>
          </cell>
          <cell r="J515" t="str">
            <v>Male</v>
          </cell>
          <cell r="K515" t="str">
            <v>North</v>
          </cell>
          <cell r="L515" t="str">
            <v>Ludhiana</v>
          </cell>
          <cell r="M515" t="str">
            <v>Clothing</v>
          </cell>
          <cell r="N515" t="str">
            <v>Kurta</v>
          </cell>
          <cell r="P515">
            <v>9</v>
          </cell>
          <cell r="Q515">
            <v>3971.91</v>
          </cell>
          <cell r="S515">
            <v>0.18</v>
          </cell>
          <cell r="T515">
            <v>32366.71</v>
          </cell>
          <cell r="U515">
            <v>14702.14</v>
          </cell>
          <cell r="V515">
            <v>0.45423646703665588</v>
          </cell>
          <cell r="W515">
            <v>47.38</v>
          </cell>
          <cell r="X515" t="str">
            <v>Cash on Delivery</v>
          </cell>
          <cell r="Z515">
            <v>3</v>
          </cell>
          <cell r="AA515" t="b">
            <v>0</v>
          </cell>
          <cell r="AC515" t="str">
            <v>Pending</v>
          </cell>
          <cell r="AE515">
            <v>4</v>
          </cell>
        </row>
        <row r="516">
          <cell r="C516">
            <v>44823</v>
          </cell>
          <cell r="D516" t="str">
            <v>CUST48005</v>
          </cell>
          <cell r="E516" t="str">
            <v>Deepa Nair</v>
          </cell>
          <cell r="G516">
            <v>48</v>
          </cell>
          <cell r="H516" t="str">
            <v>Adult</v>
          </cell>
          <cell r="J516" t="str">
            <v>Other</v>
          </cell>
          <cell r="K516" t="str">
            <v>South</v>
          </cell>
          <cell r="L516" t="str">
            <v>Chennai</v>
          </cell>
          <cell r="M516" t="str">
            <v>Electronics</v>
          </cell>
          <cell r="N516" t="str">
            <v>Headphones</v>
          </cell>
          <cell r="P516">
            <v>7</v>
          </cell>
          <cell r="Q516">
            <v>10316.01</v>
          </cell>
          <cell r="S516">
            <v>0.33</v>
          </cell>
          <cell r="T516">
            <v>50301.08</v>
          </cell>
          <cell r="U516">
            <v>6888.17</v>
          </cell>
          <cell r="V516">
            <v>0.13693880926612312</v>
          </cell>
          <cell r="W516">
            <v>90.01</v>
          </cell>
          <cell r="X516" t="str">
            <v>Net Banking</v>
          </cell>
          <cell r="Z516">
            <v>3</v>
          </cell>
          <cell r="AA516" t="b">
            <v>0</v>
          </cell>
          <cell r="AC516" t="str">
            <v>Delivered</v>
          </cell>
          <cell r="AE516">
            <v>4</v>
          </cell>
        </row>
        <row r="517">
          <cell r="C517">
            <v>45255</v>
          </cell>
          <cell r="D517" t="str">
            <v>CUST49836</v>
          </cell>
          <cell r="E517" t="str">
            <v>Amit Bose</v>
          </cell>
          <cell r="G517">
            <v>32</v>
          </cell>
          <cell r="H517" t="str">
            <v>Young Adult</v>
          </cell>
          <cell r="J517" t="str">
            <v>Other</v>
          </cell>
          <cell r="K517" t="str">
            <v>Central</v>
          </cell>
          <cell r="L517" t="str">
            <v>Raipur</v>
          </cell>
          <cell r="M517" t="str">
            <v>Clothing</v>
          </cell>
          <cell r="N517" t="str">
            <v>Saree</v>
          </cell>
          <cell r="P517">
            <v>4</v>
          </cell>
          <cell r="Q517">
            <v>2037.61</v>
          </cell>
          <cell r="S517">
            <v>0.09</v>
          </cell>
          <cell r="T517">
            <v>7459.65</v>
          </cell>
          <cell r="U517">
            <v>2991.98</v>
          </cell>
          <cell r="V517">
            <v>0.40108852291997615</v>
          </cell>
          <cell r="W517">
            <v>28.18</v>
          </cell>
          <cell r="X517" t="str">
            <v>Cash on Delivery</v>
          </cell>
          <cell r="Z517">
            <v>1</v>
          </cell>
          <cell r="AA517" t="b">
            <v>1</v>
          </cell>
          <cell r="AC517" t="str">
            <v>Returned</v>
          </cell>
          <cell r="AE517">
            <v>7</v>
          </cell>
        </row>
        <row r="518">
          <cell r="C518">
            <v>44935</v>
          </cell>
          <cell r="D518" t="str">
            <v>CUST20603</v>
          </cell>
          <cell r="E518" t="str">
            <v>Aditya Patel</v>
          </cell>
          <cell r="G518">
            <v>47</v>
          </cell>
          <cell r="H518" t="str">
            <v>Adult</v>
          </cell>
          <cell r="J518" t="str">
            <v>Other</v>
          </cell>
          <cell r="K518" t="str">
            <v>North</v>
          </cell>
          <cell r="L518" t="str">
            <v>Delhi</v>
          </cell>
          <cell r="M518" t="str">
            <v>Furniture</v>
          </cell>
          <cell r="N518" t="str">
            <v>Desk</v>
          </cell>
          <cell r="P518">
            <v>4</v>
          </cell>
          <cell r="Q518">
            <v>16407.34</v>
          </cell>
          <cell r="S518">
            <v>0.13</v>
          </cell>
          <cell r="T518">
            <v>51661.63</v>
          </cell>
          <cell r="U518">
            <v>18819.990000000002</v>
          </cell>
          <cell r="V518">
            <v>0.36429338369695269</v>
          </cell>
          <cell r="W518">
            <v>55.63</v>
          </cell>
          <cell r="X518" t="str">
            <v>Cash on Delivery</v>
          </cell>
          <cell r="Z518">
            <v>3</v>
          </cell>
          <cell r="AA518" t="b">
            <v>0</v>
          </cell>
          <cell r="AC518" t="str">
            <v>Delivered</v>
          </cell>
          <cell r="AE518">
            <v>7</v>
          </cell>
        </row>
        <row r="519">
          <cell r="C519">
            <v>44301</v>
          </cell>
          <cell r="D519" t="str">
            <v>CUST91204</v>
          </cell>
          <cell r="E519" t="str">
            <v>Ananya Mishra</v>
          </cell>
          <cell r="G519">
            <v>43</v>
          </cell>
          <cell r="H519" t="str">
            <v>Adult</v>
          </cell>
          <cell r="J519" t="str">
            <v>Other</v>
          </cell>
          <cell r="K519" t="str">
            <v>East</v>
          </cell>
          <cell r="L519" t="str">
            <v>Patna</v>
          </cell>
          <cell r="M519" t="str">
            <v>Furniture</v>
          </cell>
          <cell r="N519" t="str">
            <v>Chair</v>
          </cell>
          <cell r="P519">
            <v>9</v>
          </cell>
          <cell r="Q519">
            <v>19514.509999999998</v>
          </cell>
          <cell r="S519">
            <v>0.19793402777777783</v>
          </cell>
          <cell r="T519">
            <v>215673.94</v>
          </cell>
          <cell r="U519">
            <v>71953.350000000006</v>
          </cell>
          <cell r="V519">
            <v>0.33362097432819193</v>
          </cell>
          <cell r="W519">
            <v>87.81</v>
          </cell>
          <cell r="X519" t="str">
            <v>Debit Card</v>
          </cell>
          <cell r="Z519">
            <v>1</v>
          </cell>
          <cell r="AA519" t="b">
            <v>1</v>
          </cell>
          <cell r="AC519" t="str">
            <v>Returned</v>
          </cell>
          <cell r="AE519">
            <v>9</v>
          </cell>
        </row>
        <row r="520">
          <cell r="C520">
            <v>44231</v>
          </cell>
          <cell r="D520" t="str">
            <v>CUST50029</v>
          </cell>
          <cell r="E520" t="str">
            <v>Rohan Mehta</v>
          </cell>
          <cell r="G520">
            <v>27</v>
          </cell>
          <cell r="H520" t="str">
            <v>Young Adult</v>
          </cell>
          <cell r="J520" t="str">
            <v>Other</v>
          </cell>
          <cell r="K520" t="str">
            <v>West</v>
          </cell>
          <cell r="L520" t="str">
            <v>Mumbai</v>
          </cell>
          <cell r="M520" t="str">
            <v>Clothing</v>
          </cell>
          <cell r="N520" t="str">
            <v>T-Shirt</v>
          </cell>
          <cell r="P520">
            <v>10</v>
          </cell>
          <cell r="Q520">
            <v>1064.5</v>
          </cell>
          <cell r="S520">
            <v>0.2</v>
          </cell>
          <cell r="T520">
            <v>8259.5300000000007</v>
          </cell>
          <cell r="U520">
            <v>3321.3</v>
          </cell>
          <cell r="V520">
            <v>0.40211731175987009</v>
          </cell>
          <cell r="W520">
            <v>64.42</v>
          </cell>
          <cell r="X520" t="str">
            <v>Cash on Delivery</v>
          </cell>
          <cell r="Z520">
            <v>4</v>
          </cell>
          <cell r="AA520" t="b">
            <v>0</v>
          </cell>
          <cell r="AC520" t="str">
            <v>Delivered</v>
          </cell>
          <cell r="AE520">
            <v>9</v>
          </cell>
        </row>
        <row r="521">
          <cell r="C521">
            <v>44920</v>
          </cell>
          <cell r="D521" t="str">
            <v>CUST29676</v>
          </cell>
          <cell r="E521" t="str">
            <v>Arjun Rao</v>
          </cell>
          <cell r="G521">
            <v>43</v>
          </cell>
          <cell r="H521" t="str">
            <v>Adult</v>
          </cell>
          <cell r="J521" t="str">
            <v>Other</v>
          </cell>
          <cell r="K521" t="str">
            <v>South</v>
          </cell>
          <cell r="L521" t="str">
            <v>Hyderabad</v>
          </cell>
          <cell r="M521" t="str">
            <v>Beauty</v>
          </cell>
          <cell r="N521" t="str">
            <v>Shampoo</v>
          </cell>
          <cell r="P521">
            <v>4</v>
          </cell>
          <cell r="Q521">
            <v>1024.2</v>
          </cell>
          <cell r="S521">
            <v>0.28000000000000003</v>
          </cell>
          <cell r="T521">
            <v>2046.31</v>
          </cell>
          <cell r="U521">
            <v>485.53</v>
          </cell>
          <cell r="V521">
            <v>0.23727099022142295</v>
          </cell>
          <cell r="W521">
            <v>57.96</v>
          </cell>
          <cell r="X521" t="str">
            <v>Net Banking</v>
          </cell>
          <cell r="Z521">
            <v>2</v>
          </cell>
          <cell r="AA521" t="b">
            <v>0</v>
          </cell>
          <cell r="AC521" t="str">
            <v>Delivered</v>
          </cell>
          <cell r="AE521">
            <v>9</v>
          </cell>
        </row>
        <row r="522">
          <cell r="C522">
            <v>45280</v>
          </cell>
          <cell r="D522" t="str">
            <v>CUST97209</v>
          </cell>
          <cell r="E522" t="str">
            <v>Karan Iyer</v>
          </cell>
          <cell r="G522">
            <v>36</v>
          </cell>
          <cell r="H522" t="str">
            <v>Adult</v>
          </cell>
          <cell r="J522" t="str">
            <v>Female</v>
          </cell>
          <cell r="K522" t="str">
            <v>South</v>
          </cell>
          <cell r="L522" t="str">
            <v>Bangalore</v>
          </cell>
          <cell r="M522" t="str">
            <v>Sports</v>
          </cell>
          <cell r="N522" t="str">
            <v>Cricket Bat</v>
          </cell>
          <cell r="P522">
            <v>5</v>
          </cell>
          <cell r="Q522">
            <v>11277.04</v>
          </cell>
          <cell r="S522">
            <v>0.03</v>
          </cell>
          <cell r="T522">
            <v>47607.55</v>
          </cell>
          <cell r="U522">
            <v>14946.09</v>
          </cell>
          <cell r="V522">
            <v>0.31394369170436198</v>
          </cell>
          <cell r="W522">
            <v>96.43</v>
          </cell>
          <cell r="X522" t="str">
            <v>EMI</v>
          </cell>
          <cell r="Z522">
            <v>2</v>
          </cell>
          <cell r="AA522" t="b">
            <v>0</v>
          </cell>
          <cell r="AC522" t="str">
            <v>Shipped</v>
          </cell>
          <cell r="AE522">
            <v>8</v>
          </cell>
        </row>
        <row r="523">
          <cell r="C523">
            <v>45450</v>
          </cell>
          <cell r="D523" t="str">
            <v>CUST48600</v>
          </cell>
          <cell r="E523" t="str">
            <v>Kavya Reddy</v>
          </cell>
          <cell r="G523">
            <v>23</v>
          </cell>
          <cell r="H523" t="str">
            <v>Young Adult</v>
          </cell>
          <cell r="J523" t="str">
            <v>Female</v>
          </cell>
          <cell r="K523" t="str">
            <v>East</v>
          </cell>
          <cell r="L523" t="str">
            <v>Kolkata</v>
          </cell>
          <cell r="M523" t="str">
            <v>Clothing</v>
          </cell>
          <cell r="N523" t="str">
            <v>Saree</v>
          </cell>
          <cell r="P523">
            <v>6</v>
          </cell>
          <cell r="Q523">
            <v>3566.25</v>
          </cell>
          <cell r="S523">
            <v>0.19</v>
          </cell>
          <cell r="T523">
            <v>31426.55</v>
          </cell>
          <cell r="U523">
            <v>12874.37</v>
          </cell>
          <cell r="V523">
            <v>0.40966539438786637</v>
          </cell>
          <cell r="W523">
            <v>94.51</v>
          </cell>
          <cell r="X523" t="str">
            <v>EMI</v>
          </cell>
          <cell r="Z523">
            <v>5</v>
          </cell>
          <cell r="AA523" t="b">
            <v>0</v>
          </cell>
          <cell r="AC523" t="str">
            <v>Delivered</v>
          </cell>
          <cell r="AE523">
            <v>2</v>
          </cell>
        </row>
        <row r="524">
          <cell r="C524">
            <v>44256</v>
          </cell>
          <cell r="D524" t="str">
            <v>CUST76016</v>
          </cell>
          <cell r="E524" t="str">
            <v>Sanjay Gupta</v>
          </cell>
          <cell r="G524">
            <v>27</v>
          </cell>
          <cell r="H524" t="str">
            <v>Young Adult</v>
          </cell>
          <cell r="J524" t="str">
            <v>Other</v>
          </cell>
          <cell r="K524" t="str">
            <v>South</v>
          </cell>
          <cell r="L524" t="str">
            <v>Hyderabad</v>
          </cell>
          <cell r="M524" t="str">
            <v>Sports</v>
          </cell>
          <cell r="N524" t="str">
            <v>Tennis Racket</v>
          </cell>
          <cell r="P524">
            <v>1</v>
          </cell>
          <cell r="Q524">
            <v>10397.719999999999</v>
          </cell>
          <cell r="S524">
            <v>0.19793402777777783</v>
          </cell>
          <cell r="T524">
            <v>10108.14</v>
          </cell>
          <cell r="U524">
            <v>2948.56</v>
          </cell>
          <cell r="V524">
            <v>0.29170153955129235</v>
          </cell>
          <cell r="W524">
            <v>88.19</v>
          </cell>
          <cell r="X524" t="str">
            <v>Net Banking</v>
          </cell>
          <cell r="Z524">
            <v>1</v>
          </cell>
          <cell r="AA524" t="b">
            <v>0</v>
          </cell>
          <cell r="AC524" t="str">
            <v>Shipped</v>
          </cell>
          <cell r="AE524">
            <v>2</v>
          </cell>
        </row>
        <row r="525">
          <cell r="C525">
            <v>44133</v>
          </cell>
          <cell r="D525" t="str">
            <v>CUST66974</v>
          </cell>
          <cell r="E525" t="str">
            <v>Aarav Sharma</v>
          </cell>
          <cell r="G525">
            <v>34.294220665499125</v>
          </cell>
          <cell r="H525" t="str">
            <v>Young Adult</v>
          </cell>
          <cell r="J525" t="str">
            <v>Other</v>
          </cell>
          <cell r="K525" t="str">
            <v>East</v>
          </cell>
          <cell r="L525" t="str">
            <v>Guwahati</v>
          </cell>
          <cell r="M525" t="str">
            <v>Clothing</v>
          </cell>
          <cell r="N525" t="str">
            <v>Kurta</v>
          </cell>
          <cell r="P525">
            <v>3</v>
          </cell>
          <cell r="Q525">
            <v>562.94000000000005</v>
          </cell>
          <cell r="S525">
            <v>0.27</v>
          </cell>
          <cell r="T525">
            <v>1022.04</v>
          </cell>
          <cell r="U525">
            <v>309.8</v>
          </cell>
          <cell r="V525">
            <v>0.30311925169269305</v>
          </cell>
          <cell r="W525">
            <v>88.97</v>
          </cell>
          <cell r="X525" t="str">
            <v>UPI</v>
          </cell>
          <cell r="Z525">
            <v>2</v>
          </cell>
          <cell r="AA525" t="b">
            <v>1</v>
          </cell>
          <cell r="AC525" t="str">
            <v>Returned</v>
          </cell>
          <cell r="AE525">
            <v>1</v>
          </cell>
        </row>
        <row r="526">
          <cell r="C526">
            <v>44784</v>
          </cell>
          <cell r="D526" t="str">
            <v>CUST84895</v>
          </cell>
          <cell r="E526" t="str">
            <v>Vikram Mishra</v>
          </cell>
          <cell r="G526">
            <v>37</v>
          </cell>
          <cell r="H526" t="str">
            <v>Adult</v>
          </cell>
          <cell r="J526" t="str">
            <v>Other</v>
          </cell>
          <cell r="K526" t="str">
            <v>North</v>
          </cell>
          <cell r="L526" t="str">
            <v>Amritsar</v>
          </cell>
          <cell r="M526" t="str">
            <v>Electronics</v>
          </cell>
          <cell r="N526" t="str">
            <v>Camera</v>
          </cell>
          <cell r="P526">
            <v>9</v>
          </cell>
          <cell r="Q526">
            <v>54464.82</v>
          </cell>
          <cell r="S526">
            <v>0</v>
          </cell>
          <cell r="T526">
            <v>647259.03</v>
          </cell>
          <cell r="U526">
            <v>89846.44</v>
          </cell>
          <cell r="V526">
            <v>0.13881063969088234</v>
          </cell>
          <cell r="W526">
            <v>53.63</v>
          </cell>
          <cell r="X526" t="str">
            <v>Credit Card</v>
          </cell>
          <cell r="Z526">
            <v>3</v>
          </cell>
          <cell r="AA526" t="b">
            <v>0</v>
          </cell>
          <cell r="AC526" t="str">
            <v>Delivered</v>
          </cell>
          <cell r="AE526">
            <v>4</v>
          </cell>
        </row>
        <row r="527">
          <cell r="C527">
            <v>44167</v>
          </cell>
          <cell r="D527" t="str">
            <v>CUST84086</v>
          </cell>
          <cell r="E527" t="str">
            <v>Priya Singh</v>
          </cell>
          <cell r="G527">
            <v>21</v>
          </cell>
          <cell r="H527" t="str">
            <v>Young Adult</v>
          </cell>
          <cell r="J527" t="str">
            <v>Male</v>
          </cell>
          <cell r="K527" t="str">
            <v>North</v>
          </cell>
          <cell r="L527" t="str">
            <v>Amritsar</v>
          </cell>
          <cell r="M527" t="str">
            <v>Groceries</v>
          </cell>
          <cell r="N527" t="str">
            <v>Tea</v>
          </cell>
          <cell r="P527">
            <v>9</v>
          </cell>
          <cell r="Q527">
            <v>335.03</v>
          </cell>
          <cell r="S527">
            <v>0.34</v>
          </cell>
          <cell r="T527">
            <v>1431.69</v>
          </cell>
          <cell r="U527">
            <v>93.14</v>
          </cell>
          <cell r="V527">
            <v>6.5055982789570366E-2</v>
          </cell>
          <cell r="W527">
            <v>59.48</v>
          </cell>
          <cell r="X527" t="str">
            <v>Net Banking</v>
          </cell>
          <cell r="Z527">
            <v>4</v>
          </cell>
          <cell r="AA527" t="b">
            <v>1</v>
          </cell>
          <cell r="AC527" t="str">
            <v>Returned</v>
          </cell>
          <cell r="AE527">
            <v>1</v>
          </cell>
        </row>
        <row r="528">
          <cell r="C528">
            <v>45007</v>
          </cell>
          <cell r="D528" t="str">
            <v>CUST21655</v>
          </cell>
          <cell r="E528" t="str">
            <v>Amit Reddy</v>
          </cell>
          <cell r="G528">
            <v>29</v>
          </cell>
          <cell r="H528" t="str">
            <v>Young Adult</v>
          </cell>
          <cell r="J528" t="str">
            <v>Other</v>
          </cell>
          <cell r="K528" t="str">
            <v>North</v>
          </cell>
          <cell r="L528" t="str">
            <v>Chandigarh</v>
          </cell>
          <cell r="M528" t="str">
            <v>Groceries</v>
          </cell>
          <cell r="N528" t="str">
            <v>Sugar</v>
          </cell>
          <cell r="P528">
            <v>8</v>
          </cell>
          <cell r="Q528">
            <v>172.53</v>
          </cell>
          <cell r="S528">
            <v>0.22</v>
          </cell>
          <cell r="T528">
            <v>1491.46</v>
          </cell>
          <cell r="U528">
            <v>177.24</v>
          </cell>
          <cell r="V528">
            <v>0.11883657624073056</v>
          </cell>
          <cell r="W528">
            <v>47.93</v>
          </cell>
          <cell r="X528" t="str">
            <v>Credit Card</v>
          </cell>
          <cell r="Z528">
            <v>3</v>
          </cell>
          <cell r="AA528" t="b">
            <v>0</v>
          </cell>
          <cell r="AC528" t="str">
            <v>Delivered</v>
          </cell>
          <cell r="AE528">
            <v>4</v>
          </cell>
        </row>
        <row r="529">
          <cell r="C529">
            <v>45160</v>
          </cell>
          <cell r="D529" t="str">
            <v>CUST74717</v>
          </cell>
          <cell r="E529" t="str">
            <v>Ananya Bhat</v>
          </cell>
          <cell r="G529">
            <v>24</v>
          </cell>
          <cell r="H529" t="str">
            <v>Young Adult</v>
          </cell>
          <cell r="J529" t="str">
            <v>Female</v>
          </cell>
          <cell r="K529" t="str">
            <v>East</v>
          </cell>
          <cell r="L529" t="str">
            <v>Patna</v>
          </cell>
          <cell r="M529" t="str">
            <v>Sports</v>
          </cell>
          <cell r="N529" t="str">
            <v>Cricket Bat</v>
          </cell>
          <cell r="P529">
            <v>1</v>
          </cell>
          <cell r="Q529">
            <v>7788.48</v>
          </cell>
          <cell r="S529">
            <v>0.16</v>
          </cell>
          <cell r="T529">
            <v>9678.82</v>
          </cell>
          <cell r="U529">
            <v>2560.56</v>
          </cell>
          <cell r="V529">
            <v>0.26455291037543832</v>
          </cell>
          <cell r="W529">
            <v>67.88</v>
          </cell>
          <cell r="X529" t="str">
            <v>EMI</v>
          </cell>
          <cell r="Z529">
            <v>4</v>
          </cell>
          <cell r="AA529" t="b">
            <v>0</v>
          </cell>
          <cell r="AC529" t="str">
            <v>Shipped</v>
          </cell>
          <cell r="AE529">
            <v>3</v>
          </cell>
        </row>
        <row r="530">
          <cell r="C530">
            <v>43867</v>
          </cell>
          <cell r="D530" t="str">
            <v>CUST28742</v>
          </cell>
          <cell r="E530" t="str">
            <v>Kavya Bhat</v>
          </cell>
          <cell r="G530">
            <v>38</v>
          </cell>
          <cell r="H530" t="str">
            <v>Adult</v>
          </cell>
          <cell r="J530" t="str">
            <v>Female</v>
          </cell>
          <cell r="K530" t="str">
            <v>East</v>
          </cell>
          <cell r="L530" t="str">
            <v>Kolkata</v>
          </cell>
          <cell r="M530" t="str">
            <v>Beauty</v>
          </cell>
          <cell r="N530" t="str">
            <v>Hair Oil</v>
          </cell>
          <cell r="P530">
            <v>3</v>
          </cell>
          <cell r="Q530">
            <v>1535.87</v>
          </cell>
          <cell r="S530">
            <v>0.04</v>
          </cell>
          <cell r="T530">
            <v>3186.03</v>
          </cell>
          <cell r="U530">
            <v>1346.8</v>
          </cell>
          <cell r="V530">
            <v>0.42272043891614325</v>
          </cell>
          <cell r="W530">
            <v>86.51</v>
          </cell>
          <cell r="X530" t="str">
            <v>Cash on Delivery</v>
          </cell>
          <cell r="Z530">
            <v>5</v>
          </cell>
          <cell r="AA530" t="b">
            <v>1</v>
          </cell>
          <cell r="AC530" t="str">
            <v>Returned</v>
          </cell>
          <cell r="AE530">
            <v>7</v>
          </cell>
        </row>
        <row r="531">
          <cell r="C531">
            <v>45071</v>
          </cell>
          <cell r="D531" t="str">
            <v>CUST62909</v>
          </cell>
          <cell r="E531" t="str">
            <v>Aditya Bose</v>
          </cell>
          <cell r="G531">
            <v>31</v>
          </cell>
          <cell r="H531" t="str">
            <v>Young Adult</v>
          </cell>
          <cell r="J531" t="str">
            <v>Female</v>
          </cell>
          <cell r="K531" t="str">
            <v>West</v>
          </cell>
          <cell r="L531" t="str">
            <v>Ahmedabad</v>
          </cell>
          <cell r="M531" t="str">
            <v>Groceries</v>
          </cell>
          <cell r="N531" t="str">
            <v>Flour</v>
          </cell>
          <cell r="P531">
            <v>8</v>
          </cell>
          <cell r="Q531">
            <v>399.28</v>
          </cell>
          <cell r="S531">
            <v>0.11</v>
          </cell>
          <cell r="T531">
            <v>5100.96</v>
          </cell>
          <cell r="U531">
            <v>406.96</v>
          </cell>
          <cell r="V531">
            <v>7.9781060819924088E-2</v>
          </cell>
          <cell r="W531">
            <v>62.93</v>
          </cell>
          <cell r="X531" t="str">
            <v>Cash on Delivery</v>
          </cell>
          <cell r="Z531">
            <v>4</v>
          </cell>
          <cell r="AA531" t="b">
            <v>0</v>
          </cell>
          <cell r="AC531" t="str">
            <v>Shipped</v>
          </cell>
          <cell r="AE531">
            <v>2</v>
          </cell>
        </row>
        <row r="532">
          <cell r="C532">
            <v>44920</v>
          </cell>
          <cell r="D532" t="str">
            <v>CUST68061</v>
          </cell>
          <cell r="E532" t="str">
            <v>Sunita Chatterjee</v>
          </cell>
          <cell r="G532">
            <v>34.294220665499125</v>
          </cell>
          <cell r="H532" t="str">
            <v>Young Adult</v>
          </cell>
          <cell r="J532" t="str">
            <v>Male</v>
          </cell>
          <cell r="K532" t="str">
            <v>South</v>
          </cell>
          <cell r="L532" t="str">
            <v>Hyderabad</v>
          </cell>
          <cell r="M532" t="str">
            <v>Groceries</v>
          </cell>
          <cell r="N532" t="str">
            <v>Rice (5kg)</v>
          </cell>
          <cell r="P532">
            <v>7</v>
          </cell>
          <cell r="Q532">
            <v>89.81</v>
          </cell>
          <cell r="S532">
            <v>0.34</v>
          </cell>
          <cell r="T532">
            <v>325.22000000000003</v>
          </cell>
          <cell r="U532">
            <v>31.2</v>
          </cell>
          <cell r="V532">
            <v>9.5935059344443754E-2</v>
          </cell>
          <cell r="W532">
            <v>64.12</v>
          </cell>
          <cell r="X532" t="str">
            <v>EMI</v>
          </cell>
          <cell r="Z532">
            <v>3</v>
          </cell>
          <cell r="AA532" t="b">
            <v>0</v>
          </cell>
          <cell r="AC532" t="str">
            <v>Delivered</v>
          </cell>
          <cell r="AE532">
            <v>5</v>
          </cell>
        </row>
        <row r="533">
          <cell r="C533">
            <v>44313</v>
          </cell>
          <cell r="D533" t="str">
            <v>CUST14264</v>
          </cell>
          <cell r="E533" t="str">
            <v>Ananya Singh</v>
          </cell>
          <cell r="G533">
            <v>35</v>
          </cell>
          <cell r="H533" t="str">
            <v>Young Adult</v>
          </cell>
          <cell r="J533" t="str">
            <v>Male</v>
          </cell>
          <cell r="K533" t="str">
            <v>North</v>
          </cell>
          <cell r="L533" t="str">
            <v>Delhi</v>
          </cell>
          <cell r="M533" t="str">
            <v>Sports</v>
          </cell>
          <cell r="N533" t="str">
            <v>Tennis Racket</v>
          </cell>
          <cell r="P533">
            <v>6</v>
          </cell>
          <cell r="Q533">
            <v>7246.81</v>
          </cell>
          <cell r="S533">
            <v>0.19793402777777783</v>
          </cell>
          <cell r="T533">
            <v>51448.04</v>
          </cell>
          <cell r="U533">
            <v>9498.99</v>
          </cell>
          <cell r="V533">
            <v>0.18463268960294696</v>
          </cell>
          <cell r="W533">
            <v>40.22</v>
          </cell>
          <cell r="X533" t="str">
            <v>Cash on Delivery</v>
          </cell>
          <cell r="Z533">
            <v>4</v>
          </cell>
          <cell r="AA533" t="b">
            <v>0</v>
          </cell>
          <cell r="AC533" t="str">
            <v>Delivered</v>
          </cell>
          <cell r="AE533">
            <v>10</v>
          </cell>
        </row>
        <row r="534">
          <cell r="C534">
            <v>45461</v>
          </cell>
          <cell r="D534" t="str">
            <v>CUST25398</v>
          </cell>
          <cell r="E534" t="str">
            <v>Nikhil Nair</v>
          </cell>
          <cell r="G534">
            <v>27</v>
          </cell>
          <cell r="H534" t="str">
            <v>Young Adult</v>
          </cell>
          <cell r="J534" t="str">
            <v>Other</v>
          </cell>
          <cell r="K534" t="str">
            <v>Central</v>
          </cell>
          <cell r="L534" t="str">
            <v>Bhopal</v>
          </cell>
          <cell r="M534" t="str">
            <v>Groceries</v>
          </cell>
          <cell r="N534" t="str">
            <v>Cooking Oil</v>
          </cell>
          <cell r="P534">
            <v>7.0954861111111107</v>
          </cell>
          <cell r="Q534">
            <v>167.05</v>
          </cell>
          <cell r="S534">
            <v>0.13</v>
          </cell>
          <cell r="T534">
            <v>268.86</v>
          </cell>
          <cell r="U534">
            <v>21.3</v>
          </cell>
          <cell r="V534">
            <v>7.9223387636688236E-2</v>
          </cell>
          <cell r="W534">
            <v>51.15</v>
          </cell>
          <cell r="X534" t="str">
            <v>Net Banking</v>
          </cell>
          <cell r="Z534">
            <v>5</v>
          </cell>
          <cell r="AA534" t="b">
            <v>0</v>
          </cell>
          <cell r="AC534" t="str">
            <v>Delivered</v>
          </cell>
          <cell r="AE534">
            <v>10</v>
          </cell>
        </row>
        <row r="535">
          <cell r="C535">
            <v>45151</v>
          </cell>
          <cell r="D535" t="str">
            <v>CUST70734</v>
          </cell>
          <cell r="E535" t="str">
            <v>Meera Kumar</v>
          </cell>
          <cell r="G535">
            <v>30</v>
          </cell>
          <cell r="H535" t="str">
            <v>Young Adult</v>
          </cell>
          <cell r="J535" t="str">
            <v>Female</v>
          </cell>
          <cell r="K535" t="str">
            <v>Central</v>
          </cell>
          <cell r="L535" t="str">
            <v>Nagpur</v>
          </cell>
          <cell r="M535" t="str">
            <v>Furniture</v>
          </cell>
          <cell r="N535" t="str">
            <v>Desk</v>
          </cell>
          <cell r="P535">
            <v>10</v>
          </cell>
          <cell r="Q535">
            <v>5902.83</v>
          </cell>
          <cell r="S535">
            <v>0.26</v>
          </cell>
          <cell r="T535">
            <v>61642.35</v>
          </cell>
          <cell r="U535">
            <v>21436.01</v>
          </cell>
          <cell r="V535">
            <v>0.34774809850695176</v>
          </cell>
          <cell r="W535">
            <v>63.39</v>
          </cell>
          <cell r="X535" t="str">
            <v>Credit Card</v>
          </cell>
          <cell r="Z535">
            <v>3</v>
          </cell>
          <cell r="AA535" t="b">
            <v>0</v>
          </cell>
          <cell r="AC535" t="str">
            <v>Delivered</v>
          </cell>
          <cell r="AE535">
            <v>7</v>
          </cell>
        </row>
        <row r="536">
          <cell r="C536">
            <v>45203</v>
          </cell>
          <cell r="D536" t="str">
            <v>CUST00106</v>
          </cell>
          <cell r="E536" t="str">
            <v>Ananya Bhat</v>
          </cell>
          <cell r="G536">
            <v>21</v>
          </cell>
          <cell r="H536" t="str">
            <v>Young Adult</v>
          </cell>
          <cell r="J536" t="str">
            <v>Female</v>
          </cell>
          <cell r="K536" t="str">
            <v>Central</v>
          </cell>
          <cell r="L536" t="str">
            <v>Indore</v>
          </cell>
          <cell r="M536" t="str">
            <v>Books</v>
          </cell>
          <cell r="N536" t="str">
            <v>Cook Book</v>
          </cell>
          <cell r="P536">
            <v>9</v>
          </cell>
          <cell r="Q536">
            <v>641.84</v>
          </cell>
          <cell r="S536">
            <v>0.19793402777777783</v>
          </cell>
          <cell r="T536">
            <v>5619.07</v>
          </cell>
          <cell r="U536">
            <v>2471.08</v>
          </cell>
          <cell r="V536">
            <v>0.43976672296305264</v>
          </cell>
          <cell r="W536">
            <v>20.79</v>
          </cell>
          <cell r="X536" t="str">
            <v>Cash on Delivery</v>
          </cell>
          <cell r="Z536">
            <v>1</v>
          </cell>
          <cell r="AA536" t="b">
            <v>0</v>
          </cell>
          <cell r="AC536" t="str">
            <v>Delivered</v>
          </cell>
          <cell r="AE536">
            <v>5</v>
          </cell>
        </row>
        <row r="537">
          <cell r="C537">
            <v>45531</v>
          </cell>
          <cell r="D537" t="str">
            <v>CUST76909</v>
          </cell>
          <cell r="E537" t="str">
            <v>Arjun Bose</v>
          </cell>
          <cell r="G537">
            <v>29</v>
          </cell>
          <cell r="H537" t="str">
            <v>Young Adult</v>
          </cell>
          <cell r="J537" t="str">
            <v>Male</v>
          </cell>
          <cell r="K537" t="str">
            <v>South</v>
          </cell>
          <cell r="L537" t="str">
            <v>Hyderabad</v>
          </cell>
          <cell r="M537" t="str">
            <v>Sports</v>
          </cell>
          <cell r="N537" t="str">
            <v>Yoga Mat</v>
          </cell>
          <cell r="P537">
            <v>9</v>
          </cell>
          <cell r="Q537">
            <v>4499.21</v>
          </cell>
          <cell r="S537">
            <v>0.06</v>
          </cell>
          <cell r="T537">
            <v>57299.76</v>
          </cell>
          <cell r="U537">
            <v>12249.26</v>
          </cell>
          <cell r="V537">
            <v>0.21377506642261679</v>
          </cell>
          <cell r="W537">
            <v>66.59</v>
          </cell>
          <cell r="X537" t="str">
            <v>Net Banking</v>
          </cell>
          <cell r="Z537">
            <v>2</v>
          </cell>
          <cell r="AA537" t="b">
            <v>0</v>
          </cell>
          <cell r="AC537" t="str">
            <v>Delivered</v>
          </cell>
          <cell r="AE537">
            <v>4</v>
          </cell>
        </row>
        <row r="538">
          <cell r="C538">
            <v>43920</v>
          </cell>
          <cell r="D538" t="str">
            <v>CUST39806</v>
          </cell>
          <cell r="E538" t="str">
            <v>Sanjay Bhat</v>
          </cell>
          <cell r="G538">
            <v>27</v>
          </cell>
          <cell r="H538" t="str">
            <v>Young Adult</v>
          </cell>
          <cell r="J538" t="str">
            <v>Other</v>
          </cell>
          <cell r="K538" t="str">
            <v>West</v>
          </cell>
          <cell r="L538" t="str">
            <v>Mumbai</v>
          </cell>
          <cell r="M538" t="str">
            <v>Beauty</v>
          </cell>
          <cell r="N538" t="str">
            <v>Face Cream</v>
          </cell>
          <cell r="P538">
            <v>4</v>
          </cell>
          <cell r="Q538">
            <v>2430.1</v>
          </cell>
          <cell r="S538">
            <v>0.03</v>
          </cell>
          <cell r="T538">
            <v>8709.27</v>
          </cell>
          <cell r="U538">
            <v>5472.38</v>
          </cell>
          <cell r="V538">
            <v>0.62833968863061995</v>
          </cell>
          <cell r="W538">
            <v>60.42</v>
          </cell>
          <cell r="X538" t="str">
            <v>Debit Card</v>
          </cell>
          <cell r="Z538">
            <v>5</v>
          </cell>
          <cell r="AA538" t="b">
            <v>0</v>
          </cell>
          <cell r="AC538" t="str">
            <v>Delivered</v>
          </cell>
          <cell r="AE538">
            <v>1</v>
          </cell>
        </row>
        <row r="539">
          <cell r="C539">
            <v>44091</v>
          </cell>
          <cell r="D539" t="str">
            <v>CUST42583</v>
          </cell>
          <cell r="E539" t="str">
            <v>Nisha Rao</v>
          </cell>
          <cell r="G539">
            <v>31</v>
          </cell>
          <cell r="H539" t="str">
            <v>Young Adult</v>
          </cell>
          <cell r="J539" t="str">
            <v>Other</v>
          </cell>
          <cell r="K539" t="str">
            <v>South</v>
          </cell>
          <cell r="L539" t="str">
            <v>Bangalore</v>
          </cell>
          <cell r="M539" t="str">
            <v>Books</v>
          </cell>
          <cell r="N539" t="str">
            <v>Cook Book</v>
          </cell>
          <cell r="P539">
            <v>1</v>
          </cell>
          <cell r="Q539">
            <v>587.49</v>
          </cell>
          <cell r="S539">
            <v>0.09</v>
          </cell>
          <cell r="T539">
            <v>560.42999999999995</v>
          </cell>
          <cell r="U539">
            <v>178.2</v>
          </cell>
          <cell r="V539">
            <v>0.31797013007868957</v>
          </cell>
          <cell r="W539">
            <v>82.7</v>
          </cell>
          <cell r="X539" t="str">
            <v>Debit Card</v>
          </cell>
          <cell r="Z539">
            <v>3</v>
          </cell>
          <cell r="AA539" t="b">
            <v>0</v>
          </cell>
          <cell r="AC539" t="str">
            <v>Delivered</v>
          </cell>
          <cell r="AE539">
            <v>6</v>
          </cell>
        </row>
        <row r="540">
          <cell r="C540">
            <v>44084</v>
          </cell>
          <cell r="D540" t="str">
            <v>CUST29775</v>
          </cell>
          <cell r="E540" t="str">
            <v>Deepa Sharma</v>
          </cell>
          <cell r="G540">
            <v>16</v>
          </cell>
          <cell r="H540" t="str">
            <v>Teen</v>
          </cell>
          <cell r="J540" t="str">
            <v>Other</v>
          </cell>
          <cell r="K540" t="str">
            <v>Central</v>
          </cell>
          <cell r="L540" t="str">
            <v>Raipur</v>
          </cell>
          <cell r="M540" t="str">
            <v>Books</v>
          </cell>
          <cell r="N540" t="str">
            <v>Biography</v>
          </cell>
          <cell r="P540">
            <v>1</v>
          </cell>
          <cell r="Q540">
            <v>565.12</v>
          </cell>
          <cell r="S540">
            <v>0.08</v>
          </cell>
          <cell r="T540">
            <v>539.57000000000005</v>
          </cell>
          <cell r="U540">
            <v>249.41</v>
          </cell>
          <cell r="V540">
            <v>0.46223844913542261</v>
          </cell>
          <cell r="W540">
            <v>49.52</v>
          </cell>
          <cell r="X540" t="str">
            <v>UPI</v>
          </cell>
          <cell r="Z540">
            <v>4</v>
          </cell>
          <cell r="AA540" t="b">
            <v>0</v>
          </cell>
          <cell r="AC540" t="str">
            <v>Delivered</v>
          </cell>
          <cell r="AE540">
            <v>4</v>
          </cell>
        </row>
        <row r="541">
          <cell r="C541">
            <v>44822</v>
          </cell>
          <cell r="D541" t="str">
            <v>CUST68153</v>
          </cell>
          <cell r="E541" t="str">
            <v>Aditya Das</v>
          </cell>
          <cell r="G541">
            <v>45</v>
          </cell>
          <cell r="H541" t="str">
            <v>Adult</v>
          </cell>
          <cell r="J541" t="str">
            <v>Female</v>
          </cell>
          <cell r="K541" t="str">
            <v>North</v>
          </cell>
          <cell r="L541" t="str">
            <v>Amritsar</v>
          </cell>
          <cell r="M541" t="str">
            <v>Beauty</v>
          </cell>
          <cell r="N541" t="str">
            <v>Perfume</v>
          </cell>
          <cell r="P541">
            <v>9</v>
          </cell>
          <cell r="Q541">
            <v>2226.0700000000002</v>
          </cell>
          <cell r="S541">
            <v>0.16</v>
          </cell>
          <cell r="T541">
            <v>18524.57</v>
          </cell>
          <cell r="U541">
            <v>7612.81</v>
          </cell>
          <cell r="V541">
            <v>0.41095744732536305</v>
          </cell>
          <cell r="W541">
            <v>50.45</v>
          </cell>
          <cell r="X541" t="str">
            <v>EMI</v>
          </cell>
          <cell r="Z541">
            <v>4</v>
          </cell>
          <cell r="AA541" t="b">
            <v>0</v>
          </cell>
          <cell r="AC541" t="str">
            <v>Delivered</v>
          </cell>
          <cell r="AE541">
            <v>2</v>
          </cell>
        </row>
        <row r="542">
          <cell r="C542">
            <v>45033</v>
          </cell>
          <cell r="D542" t="str">
            <v>CUST15930</v>
          </cell>
          <cell r="E542" t="str">
            <v>Rahul Bhat</v>
          </cell>
          <cell r="G542">
            <v>33</v>
          </cell>
          <cell r="H542" t="str">
            <v>Young Adult</v>
          </cell>
          <cell r="J542" t="str">
            <v>Female</v>
          </cell>
          <cell r="K542" t="str">
            <v>North</v>
          </cell>
          <cell r="L542" t="str">
            <v>Chandigarh</v>
          </cell>
          <cell r="M542" t="str">
            <v>Beauty</v>
          </cell>
          <cell r="N542" t="str">
            <v>Face Cream</v>
          </cell>
          <cell r="P542">
            <v>6</v>
          </cell>
          <cell r="Q542">
            <v>438.59</v>
          </cell>
          <cell r="S542">
            <v>0.26</v>
          </cell>
          <cell r="T542">
            <v>2826.56</v>
          </cell>
          <cell r="U542">
            <v>1014.02</v>
          </cell>
          <cell r="V542">
            <v>0.35874702818974302</v>
          </cell>
          <cell r="W542">
            <v>64.81</v>
          </cell>
          <cell r="X542" t="str">
            <v>Net Banking</v>
          </cell>
          <cell r="Z542">
            <v>3</v>
          </cell>
          <cell r="AA542" t="b">
            <v>1</v>
          </cell>
          <cell r="AC542" t="str">
            <v>Returned</v>
          </cell>
          <cell r="AE542">
            <v>9</v>
          </cell>
        </row>
        <row r="543">
          <cell r="C543">
            <v>44692</v>
          </cell>
          <cell r="D543" t="str">
            <v>CUST55786</v>
          </cell>
          <cell r="E543" t="str">
            <v>Deepa Mehta</v>
          </cell>
          <cell r="G543">
            <v>20</v>
          </cell>
          <cell r="H543" t="str">
            <v>Young Adult</v>
          </cell>
          <cell r="J543" t="str">
            <v>Female</v>
          </cell>
          <cell r="K543" t="str">
            <v>South</v>
          </cell>
          <cell r="L543" t="str">
            <v>Chennai</v>
          </cell>
          <cell r="M543" t="str">
            <v>Beauty</v>
          </cell>
          <cell r="N543" t="str">
            <v>Face Cream</v>
          </cell>
          <cell r="P543">
            <v>6</v>
          </cell>
          <cell r="Q543">
            <v>2429.19</v>
          </cell>
          <cell r="S543">
            <v>0.34</v>
          </cell>
          <cell r="T543">
            <v>14916.43</v>
          </cell>
          <cell r="U543">
            <v>8055.68</v>
          </cell>
          <cell r="V543">
            <v>0.54005415504916388</v>
          </cell>
          <cell r="W543">
            <v>40.450000000000003</v>
          </cell>
          <cell r="X543" t="str">
            <v>UPI</v>
          </cell>
          <cell r="Z543">
            <v>2</v>
          </cell>
          <cell r="AA543" t="b">
            <v>0</v>
          </cell>
          <cell r="AC543" t="str">
            <v>Delivered</v>
          </cell>
          <cell r="AE543">
            <v>10</v>
          </cell>
        </row>
        <row r="544">
          <cell r="C544">
            <v>44514</v>
          </cell>
          <cell r="D544" t="str">
            <v>CUST58345</v>
          </cell>
          <cell r="E544" t="str">
            <v>Nikhil Mishra</v>
          </cell>
          <cell r="G544">
            <v>24</v>
          </cell>
          <cell r="H544" t="str">
            <v>Young Adult</v>
          </cell>
          <cell r="J544" t="str">
            <v>Other</v>
          </cell>
          <cell r="K544" t="str">
            <v>South</v>
          </cell>
          <cell r="L544" t="str">
            <v>Kochi</v>
          </cell>
          <cell r="M544" t="str">
            <v>Electronics</v>
          </cell>
          <cell r="N544" t="str">
            <v>Smartphone</v>
          </cell>
          <cell r="P544">
            <v>7</v>
          </cell>
          <cell r="Q544">
            <v>19882.939999999999</v>
          </cell>
          <cell r="S544">
            <v>0.28999999999999998</v>
          </cell>
          <cell r="T544">
            <v>79433.81</v>
          </cell>
          <cell r="U544">
            <v>8287.36</v>
          </cell>
          <cell r="V544">
            <v>0.10433038526038221</v>
          </cell>
          <cell r="W544">
            <v>61</v>
          </cell>
          <cell r="X544" t="str">
            <v>EMI</v>
          </cell>
          <cell r="Z544">
            <v>1</v>
          </cell>
          <cell r="AA544" t="b">
            <v>0</v>
          </cell>
          <cell r="AC544" t="str">
            <v>Shipped</v>
          </cell>
          <cell r="AE544">
            <v>3</v>
          </cell>
        </row>
        <row r="545">
          <cell r="C545">
            <v>44473</v>
          </cell>
          <cell r="D545" t="str">
            <v>CUST22978</v>
          </cell>
          <cell r="E545" t="str">
            <v>Nikhil Bhat</v>
          </cell>
          <cell r="G545">
            <v>34.294220665499125</v>
          </cell>
          <cell r="H545" t="str">
            <v>Young Adult</v>
          </cell>
          <cell r="J545" t="str">
            <v>Male</v>
          </cell>
          <cell r="K545" t="str">
            <v>North</v>
          </cell>
          <cell r="L545" t="str">
            <v>Ludhiana</v>
          </cell>
          <cell r="M545" t="str">
            <v>Sports</v>
          </cell>
          <cell r="N545" t="str">
            <v>Cycle</v>
          </cell>
          <cell r="P545">
            <v>4</v>
          </cell>
          <cell r="Q545">
            <v>13459.01</v>
          </cell>
          <cell r="S545">
            <v>0.32</v>
          </cell>
          <cell r="T545">
            <v>39215.89</v>
          </cell>
          <cell r="U545">
            <v>10601.74</v>
          </cell>
          <cell r="V545">
            <v>0.27034296556829385</v>
          </cell>
          <cell r="W545">
            <v>48.42</v>
          </cell>
          <cell r="X545" t="str">
            <v>Credit Card</v>
          </cell>
          <cell r="Z545">
            <v>2</v>
          </cell>
          <cell r="AA545" t="b">
            <v>0</v>
          </cell>
          <cell r="AC545" t="str">
            <v>Delivered</v>
          </cell>
          <cell r="AE545">
            <v>6</v>
          </cell>
        </row>
        <row r="546">
          <cell r="C546">
            <v>45071</v>
          </cell>
          <cell r="D546" t="str">
            <v>CUST56492</v>
          </cell>
          <cell r="E546" t="str">
            <v>Ananya Gupta</v>
          </cell>
          <cell r="G546">
            <v>35</v>
          </cell>
          <cell r="H546" t="str">
            <v>Young Adult</v>
          </cell>
          <cell r="J546" t="str">
            <v>Male</v>
          </cell>
          <cell r="K546" t="str">
            <v>South</v>
          </cell>
          <cell r="L546" t="str">
            <v>Kochi</v>
          </cell>
          <cell r="M546" t="str">
            <v>Furniture</v>
          </cell>
          <cell r="N546" t="str">
            <v>Wardrobe</v>
          </cell>
          <cell r="P546">
            <v>10</v>
          </cell>
          <cell r="Q546">
            <v>31142.23</v>
          </cell>
          <cell r="S546">
            <v>0.12</v>
          </cell>
          <cell r="T546">
            <v>475250.99</v>
          </cell>
          <cell r="U546">
            <v>133297.06</v>
          </cell>
          <cell r="V546">
            <v>0.28047718532895638</v>
          </cell>
          <cell r="W546">
            <v>90.65</v>
          </cell>
          <cell r="X546" t="str">
            <v>UPI</v>
          </cell>
          <cell r="Z546">
            <v>4</v>
          </cell>
          <cell r="AA546" t="b">
            <v>0</v>
          </cell>
          <cell r="AC546" t="str">
            <v>Cancelled</v>
          </cell>
          <cell r="AE546">
            <v>1</v>
          </cell>
        </row>
        <row r="547">
          <cell r="C547">
            <v>44108</v>
          </cell>
          <cell r="D547" t="str">
            <v>CUST73824</v>
          </cell>
          <cell r="E547" t="str">
            <v>Rohan Kapoor</v>
          </cell>
          <cell r="G547">
            <v>36</v>
          </cell>
          <cell r="H547" t="str">
            <v>Adult</v>
          </cell>
          <cell r="J547" t="str">
            <v>Male</v>
          </cell>
          <cell r="K547" t="str">
            <v>Central</v>
          </cell>
          <cell r="L547" t="str">
            <v>Raipur</v>
          </cell>
          <cell r="M547" t="str">
            <v>Furniture</v>
          </cell>
          <cell r="N547" t="str">
            <v>Wardrobe</v>
          </cell>
          <cell r="P547">
            <v>5</v>
          </cell>
          <cell r="Q547">
            <v>11291.76</v>
          </cell>
          <cell r="S547">
            <v>0.4</v>
          </cell>
          <cell r="T547">
            <v>21297.23</v>
          </cell>
          <cell r="U547">
            <v>5332.78</v>
          </cell>
          <cell r="V547">
            <v>0.25039782168854824</v>
          </cell>
          <cell r="W547">
            <v>40.67</v>
          </cell>
          <cell r="X547" t="str">
            <v>Credit Card</v>
          </cell>
          <cell r="Z547">
            <v>4</v>
          </cell>
          <cell r="AA547" t="b">
            <v>0</v>
          </cell>
          <cell r="AC547" t="str">
            <v>Shipped</v>
          </cell>
          <cell r="AE547">
            <v>5</v>
          </cell>
        </row>
        <row r="548">
          <cell r="C548">
            <v>44814</v>
          </cell>
          <cell r="D548" t="str">
            <v>CUST95281</v>
          </cell>
          <cell r="E548" t="str">
            <v>Shreya Bose</v>
          </cell>
          <cell r="G548">
            <v>34</v>
          </cell>
          <cell r="H548" t="str">
            <v>Young Adult</v>
          </cell>
          <cell r="J548" t="str">
            <v>Male</v>
          </cell>
          <cell r="K548" t="str">
            <v>East</v>
          </cell>
          <cell r="L548" t="str">
            <v>Kolkata</v>
          </cell>
          <cell r="M548" t="str">
            <v>Sports</v>
          </cell>
          <cell r="N548" t="str">
            <v>Football</v>
          </cell>
          <cell r="P548">
            <v>7.0954861111111107</v>
          </cell>
          <cell r="Q548">
            <v>541.85</v>
          </cell>
          <cell r="S548">
            <v>0.04</v>
          </cell>
          <cell r="T548">
            <v>618.29</v>
          </cell>
          <cell r="U548">
            <v>107.23</v>
          </cell>
          <cell r="V548">
            <v>0.17342994387746852</v>
          </cell>
          <cell r="W548">
            <v>87.16</v>
          </cell>
          <cell r="X548" t="str">
            <v>UPI</v>
          </cell>
          <cell r="Z548">
            <v>2</v>
          </cell>
          <cell r="AA548" t="b">
            <v>0</v>
          </cell>
          <cell r="AC548" t="str">
            <v>Delivered</v>
          </cell>
          <cell r="AE548">
            <v>1</v>
          </cell>
        </row>
        <row r="549">
          <cell r="C549">
            <v>45323</v>
          </cell>
          <cell r="D549" t="str">
            <v>CUST02308</v>
          </cell>
          <cell r="E549" t="str">
            <v>Rahul Sharma</v>
          </cell>
          <cell r="G549">
            <v>21</v>
          </cell>
          <cell r="H549" t="str">
            <v>Young Adult</v>
          </cell>
          <cell r="J549" t="str">
            <v>Female</v>
          </cell>
          <cell r="K549" t="str">
            <v>South</v>
          </cell>
          <cell r="L549" t="str">
            <v>Hyderabad</v>
          </cell>
          <cell r="M549" t="str">
            <v>Electronics</v>
          </cell>
          <cell r="N549" t="str">
            <v>Smartwatch</v>
          </cell>
          <cell r="P549">
            <v>6</v>
          </cell>
          <cell r="Q549">
            <v>71178.539999999994</v>
          </cell>
          <cell r="S549">
            <v>0.11</v>
          </cell>
          <cell r="T549">
            <v>482509.98</v>
          </cell>
          <cell r="U549">
            <v>50570.5</v>
          </cell>
          <cell r="V549">
            <v>0.10480715860011849</v>
          </cell>
          <cell r="W549">
            <v>74.900000000000006</v>
          </cell>
          <cell r="X549" t="str">
            <v>UPI</v>
          </cell>
          <cell r="Z549">
            <v>3</v>
          </cell>
          <cell r="AA549" t="b">
            <v>0</v>
          </cell>
          <cell r="AC549" t="str">
            <v>Delivered</v>
          </cell>
          <cell r="AE549">
            <v>2</v>
          </cell>
        </row>
        <row r="550">
          <cell r="C550">
            <v>44584</v>
          </cell>
          <cell r="D550" t="str">
            <v>CUST13726</v>
          </cell>
          <cell r="E550" t="str">
            <v>Sanjay Joshi</v>
          </cell>
          <cell r="G550">
            <v>42</v>
          </cell>
          <cell r="H550" t="str">
            <v>Adult</v>
          </cell>
          <cell r="J550" t="str">
            <v>Other</v>
          </cell>
          <cell r="K550" t="str">
            <v>East</v>
          </cell>
          <cell r="L550" t="str">
            <v>Guwahati</v>
          </cell>
          <cell r="M550" t="str">
            <v>Books</v>
          </cell>
          <cell r="N550" t="str">
            <v>Self-Help Book</v>
          </cell>
          <cell r="P550">
            <v>1</v>
          </cell>
          <cell r="Q550">
            <v>293.64999999999998</v>
          </cell>
          <cell r="S550">
            <v>0.21</v>
          </cell>
          <cell r="T550">
            <v>216.04</v>
          </cell>
          <cell r="U550">
            <v>87.2</v>
          </cell>
          <cell r="V550">
            <v>0.40362895760044437</v>
          </cell>
          <cell r="W550">
            <v>77.91</v>
          </cell>
          <cell r="X550" t="str">
            <v>Credit Card</v>
          </cell>
          <cell r="Z550">
            <v>3</v>
          </cell>
          <cell r="AA550" t="b">
            <v>0</v>
          </cell>
          <cell r="AC550" t="str">
            <v>Shipped</v>
          </cell>
          <cell r="AE550">
            <v>3</v>
          </cell>
        </row>
        <row r="551">
          <cell r="C551">
            <v>44345</v>
          </cell>
          <cell r="D551" t="str">
            <v>CUST11240</v>
          </cell>
          <cell r="E551" t="str">
            <v>Deepa Iyer</v>
          </cell>
          <cell r="G551">
            <v>37</v>
          </cell>
          <cell r="H551" t="str">
            <v>Adult</v>
          </cell>
          <cell r="J551" t="str">
            <v>Other</v>
          </cell>
          <cell r="K551" t="str">
            <v>West</v>
          </cell>
          <cell r="L551" t="str">
            <v>Pune</v>
          </cell>
          <cell r="M551" t="str">
            <v>Clothing</v>
          </cell>
          <cell r="N551" t="str">
            <v>Saree</v>
          </cell>
          <cell r="P551">
            <v>5</v>
          </cell>
          <cell r="Q551">
            <v>3466.72</v>
          </cell>
          <cell r="S551">
            <v>0.15</v>
          </cell>
          <cell r="T551">
            <v>22647.02</v>
          </cell>
          <cell r="U551">
            <v>8403.2999999999993</v>
          </cell>
          <cell r="V551">
            <v>0.37105544128984735</v>
          </cell>
          <cell r="W551">
            <v>47.97</v>
          </cell>
          <cell r="X551" t="str">
            <v>Net Banking</v>
          </cell>
          <cell r="Z551">
            <v>3</v>
          </cell>
          <cell r="AA551" t="b">
            <v>0</v>
          </cell>
          <cell r="AC551" t="str">
            <v>Pending</v>
          </cell>
          <cell r="AE551">
            <v>8</v>
          </cell>
        </row>
        <row r="552">
          <cell r="C552">
            <v>44801</v>
          </cell>
          <cell r="D552" t="str">
            <v>CUST98444</v>
          </cell>
          <cell r="E552" t="str">
            <v>Ritu Mehta</v>
          </cell>
          <cell r="G552">
            <v>15</v>
          </cell>
          <cell r="H552" t="str">
            <v>Teen</v>
          </cell>
          <cell r="J552" t="str">
            <v>Male</v>
          </cell>
          <cell r="K552" t="str">
            <v>East</v>
          </cell>
          <cell r="L552" t="str">
            <v>Guwahati</v>
          </cell>
          <cell r="M552" t="str">
            <v>Sports</v>
          </cell>
          <cell r="N552" t="str">
            <v>Dumbbells</v>
          </cell>
          <cell r="P552">
            <v>1</v>
          </cell>
          <cell r="Q552">
            <v>8591.44</v>
          </cell>
          <cell r="S552">
            <v>0.03</v>
          </cell>
          <cell r="T552">
            <v>11764.77</v>
          </cell>
          <cell r="U552">
            <v>2988.26</v>
          </cell>
          <cell r="V552">
            <v>0.25400071569609944</v>
          </cell>
          <cell r="W552">
            <v>69.66</v>
          </cell>
          <cell r="X552" t="str">
            <v>UPI</v>
          </cell>
          <cell r="Z552">
            <v>3</v>
          </cell>
          <cell r="AA552" t="b">
            <v>0</v>
          </cell>
          <cell r="AC552" t="str">
            <v>Delivered</v>
          </cell>
          <cell r="AE552">
            <v>8</v>
          </cell>
        </row>
        <row r="553">
          <cell r="C553">
            <v>44304</v>
          </cell>
          <cell r="D553" t="str">
            <v>CUST52708</v>
          </cell>
          <cell r="E553" t="str">
            <v>Shreya Bhat</v>
          </cell>
          <cell r="G553">
            <v>31</v>
          </cell>
          <cell r="H553" t="str">
            <v>Young Adult</v>
          </cell>
          <cell r="J553" t="str">
            <v>Female</v>
          </cell>
          <cell r="K553" t="str">
            <v>North</v>
          </cell>
          <cell r="L553" t="str">
            <v>Delhi</v>
          </cell>
          <cell r="M553" t="str">
            <v>Beauty</v>
          </cell>
          <cell r="N553" t="str">
            <v>Lipstick</v>
          </cell>
          <cell r="P553">
            <v>7</v>
          </cell>
          <cell r="Q553">
            <v>1384.15</v>
          </cell>
          <cell r="S553">
            <v>0.23</v>
          </cell>
          <cell r="T553">
            <v>10118.86</v>
          </cell>
          <cell r="U553">
            <v>4454.79</v>
          </cell>
          <cell r="V553">
            <v>0.44024623327133688</v>
          </cell>
          <cell r="W553">
            <v>62.32</v>
          </cell>
          <cell r="X553" t="str">
            <v>Debit Card</v>
          </cell>
          <cell r="Z553">
            <v>4</v>
          </cell>
          <cell r="AA553" t="b">
            <v>0</v>
          </cell>
          <cell r="AC553" t="str">
            <v>Delivered</v>
          </cell>
          <cell r="AE553">
            <v>9</v>
          </cell>
        </row>
        <row r="554">
          <cell r="C554">
            <v>44030</v>
          </cell>
          <cell r="D554" t="str">
            <v>CUST52335</v>
          </cell>
          <cell r="E554" t="str">
            <v>Nisha Patel</v>
          </cell>
          <cell r="G554">
            <v>52</v>
          </cell>
          <cell r="H554" t="str">
            <v>Senior</v>
          </cell>
          <cell r="J554" t="str">
            <v>Male</v>
          </cell>
          <cell r="K554" t="str">
            <v>West</v>
          </cell>
          <cell r="L554" t="str">
            <v>Ahmedabad</v>
          </cell>
          <cell r="M554" t="str">
            <v>Books</v>
          </cell>
          <cell r="N554" t="str">
            <v>Textbook</v>
          </cell>
          <cell r="P554">
            <v>4</v>
          </cell>
          <cell r="Q554">
            <v>565.16999999999996</v>
          </cell>
          <cell r="S554">
            <v>0.05</v>
          </cell>
          <cell r="T554">
            <v>2606.02</v>
          </cell>
          <cell r="U554">
            <v>1227.07</v>
          </cell>
          <cell r="V554">
            <v>0.47085977851282795</v>
          </cell>
          <cell r="W554">
            <v>78.290000000000006</v>
          </cell>
          <cell r="X554" t="str">
            <v>Credit Card</v>
          </cell>
          <cell r="Z554">
            <v>4</v>
          </cell>
          <cell r="AA554" t="b">
            <v>0</v>
          </cell>
          <cell r="AC554" t="str">
            <v>Delivered</v>
          </cell>
          <cell r="AE554">
            <v>5</v>
          </cell>
        </row>
        <row r="555">
          <cell r="C555">
            <v>43841</v>
          </cell>
          <cell r="D555" t="str">
            <v>CUST03400</v>
          </cell>
          <cell r="E555" t="str">
            <v>Karan Mishra</v>
          </cell>
          <cell r="G555">
            <v>23</v>
          </cell>
          <cell r="H555" t="str">
            <v>Young Adult</v>
          </cell>
          <cell r="J555" t="str">
            <v>Male</v>
          </cell>
          <cell r="K555" t="str">
            <v>Central</v>
          </cell>
          <cell r="L555" t="str">
            <v>Indore</v>
          </cell>
          <cell r="M555" t="str">
            <v>Sports</v>
          </cell>
          <cell r="N555" t="str">
            <v>Football</v>
          </cell>
          <cell r="P555">
            <v>7</v>
          </cell>
          <cell r="Q555">
            <v>12178.99</v>
          </cell>
          <cell r="S555">
            <v>0.01</v>
          </cell>
          <cell r="T555">
            <v>66009.55</v>
          </cell>
          <cell r="U555">
            <v>17076.439999999999</v>
          </cell>
          <cell r="V555">
            <v>0.25869650679333517</v>
          </cell>
          <cell r="W555">
            <v>51.51</v>
          </cell>
          <cell r="X555" t="str">
            <v>UPI</v>
          </cell>
          <cell r="Z555">
            <v>5</v>
          </cell>
          <cell r="AA555" t="b">
            <v>0</v>
          </cell>
          <cell r="AC555" t="str">
            <v>Cancelled</v>
          </cell>
          <cell r="AE555">
            <v>10</v>
          </cell>
        </row>
        <row r="556">
          <cell r="C556">
            <v>45342</v>
          </cell>
          <cell r="D556" t="str">
            <v>CUST86909</v>
          </cell>
          <cell r="E556" t="str">
            <v>Amit Reddy</v>
          </cell>
          <cell r="G556">
            <v>44</v>
          </cell>
          <cell r="H556" t="str">
            <v>Adult</v>
          </cell>
          <cell r="J556" t="str">
            <v>Female</v>
          </cell>
          <cell r="K556" t="str">
            <v>Central</v>
          </cell>
          <cell r="L556" t="str">
            <v>Nagpur</v>
          </cell>
          <cell r="M556" t="str">
            <v>Groceries</v>
          </cell>
          <cell r="N556" t="str">
            <v>Rice (5kg)</v>
          </cell>
          <cell r="P556">
            <v>7</v>
          </cell>
          <cell r="Q556">
            <v>447.52</v>
          </cell>
          <cell r="S556">
            <v>0.3</v>
          </cell>
          <cell r="T556">
            <v>2656.34</v>
          </cell>
          <cell r="U556">
            <v>182.91</v>
          </cell>
          <cell r="V556">
            <v>6.8857902226371615E-2</v>
          </cell>
          <cell r="W556">
            <v>47.41</v>
          </cell>
          <cell r="X556" t="str">
            <v>Cash on Delivery</v>
          </cell>
          <cell r="Z556">
            <v>3</v>
          </cell>
          <cell r="AA556" t="b">
            <v>0</v>
          </cell>
          <cell r="AC556" t="str">
            <v>Delivered</v>
          </cell>
          <cell r="AE556">
            <v>5</v>
          </cell>
        </row>
        <row r="557">
          <cell r="C557">
            <v>43981</v>
          </cell>
          <cell r="D557" t="str">
            <v>CUST72810</v>
          </cell>
          <cell r="E557" t="str">
            <v>Arjun Reddy</v>
          </cell>
          <cell r="G557">
            <v>26</v>
          </cell>
          <cell r="H557" t="str">
            <v>Young Adult</v>
          </cell>
          <cell r="J557" t="str">
            <v>Male</v>
          </cell>
          <cell r="K557" t="str">
            <v>East</v>
          </cell>
          <cell r="L557" t="str">
            <v>Guwahati</v>
          </cell>
          <cell r="M557" t="str">
            <v>Clothing</v>
          </cell>
          <cell r="N557" t="str">
            <v>Kurta</v>
          </cell>
          <cell r="P557">
            <v>10</v>
          </cell>
          <cell r="Q557">
            <v>2738.51</v>
          </cell>
          <cell r="S557">
            <v>0.12</v>
          </cell>
          <cell r="T557">
            <v>31229.97</v>
          </cell>
          <cell r="U557">
            <v>10815.02</v>
          </cell>
          <cell r="V557">
            <v>0.34630260611841768</v>
          </cell>
          <cell r="W557">
            <v>81.19</v>
          </cell>
          <cell r="X557" t="str">
            <v>Credit Card</v>
          </cell>
          <cell r="Z557">
            <v>5</v>
          </cell>
          <cell r="AA557" t="b">
            <v>0</v>
          </cell>
          <cell r="AC557" t="str">
            <v>Delivered</v>
          </cell>
          <cell r="AE557">
            <v>4</v>
          </cell>
        </row>
        <row r="558">
          <cell r="C558">
            <v>44862</v>
          </cell>
          <cell r="D558" t="str">
            <v>CUST51225</v>
          </cell>
          <cell r="E558" t="str">
            <v>Ananya Kumar</v>
          </cell>
          <cell r="G558">
            <v>23</v>
          </cell>
          <cell r="H558" t="str">
            <v>Young Adult</v>
          </cell>
          <cell r="J558" t="str">
            <v>Other</v>
          </cell>
          <cell r="K558" t="str">
            <v>West</v>
          </cell>
          <cell r="L558" t="str">
            <v>Mumbai</v>
          </cell>
          <cell r="M558" t="str">
            <v>Sports</v>
          </cell>
          <cell r="N558" t="str">
            <v>Dumbbells</v>
          </cell>
          <cell r="P558">
            <v>7.0954861111111107</v>
          </cell>
          <cell r="Q558">
            <v>10898.37</v>
          </cell>
          <cell r="S558">
            <v>0.05</v>
          </cell>
          <cell r="T558">
            <v>11714.4</v>
          </cell>
          <cell r="U558">
            <v>2224.4699999999998</v>
          </cell>
          <cell r="V558">
            <v>0.18989192788363038</v>
          </cell>
          <cell r="W558">
            <v>82.53</v>
          </cell>
          <cell r="X558" t="str">
            <v>Debit Card</v>
          </cell>
          <cell r="Z558">
            <v>5</v>
          </cell>
          <cell r="AA558" t="b">
            <v>0</v>
          </cell>
          <cell r="AC558" t="str">
            <v>Cancelled</v>
          </cell>
          <cell r="AE558">
            <v>10</v>
          </cell>
        </row>
        <row r="559">
          <cell r="C559">
            <v>44735</v>
          </cell>
          <cell r="D559" t="str">
            <v>CUST10079</v>
          </cell>
          <cell r="E559" t="str">
            <v>Pooja Singh</v>
          </cell>
          <cell r="G559">
            <v>29</v>
          </cell>
          <cell r="H559" t="str">
            <v>Young Adult</v>
          </cell>
          <cell r="J559" t="str">
            <v>Male</v>
          </cell>
          <cell r="K559" t="str">
            <v>South</v>
          </cell>
          <cell r="L559" t="str">
            <v>Bangalore</v>
          </cell>
          <cell r="M559" t="str">
            <v>Electronics</v>
          </cell>
          <cell r="N559" t="str">
            <v>Smartwatch</v>
          </cell>
          <cell r="P559">
            <v>8</v>
          </cell>
          <cell r="Q559">
            <v>48445.16</v>
          </cell>
          <cell r="S559">
            <v>0.26</v>
          </cell>
          <cell r="T559">
            <v>371584.08</v>
          </cell>
          <cell r="U559">
            <v>63270.83</v>
          </cell>
          <cell r="V559">
            <v>0.17027325282611677</v>
          </cell>
          <cell r="W559">
            <v>70.06</v>
          </cell>
          <cell r="X559" t="str">
            <v>Cash on Delivery</v>
          </cell>
          <cell r="Z559">
            <v>5</v>
          </cell>
          <cell r="AA559" t="b">
            <v>0</v>
          </cell>
          <cell r="AC559" t="str">
            <v>Delivered</v>
          </cell>
          <cell r="AE559">
            <v>8</v>
          </cell>
        </row>
        <row r="560">
          <cell r="C560">
            <v>44697</v>
          </cell>
          <cell r="D560" t="str">
            <v>CUST60023</v>
          </cell>
          <cell r="E560" t="str">
            <v>Rohan Rao</v>
          </cell>
          <cell r="G560">
            <v>32</v>
          </cell>
          <cell r="H560" t="str">
            <v>Young Adult</v>
          </cell>
          <cell r="J560" t="str">
            <v>Female</v>
          </cell>
          <cell r="K560" t="str">
            <v>West</v>
          </cell>
          <cell r="L560" t="str">
            <v>Mumbai</v>
          </cell>
          <cell r="M560" t="str">
            <v>Sports</v>
          </cell>
          <cell r="N560" t="str">
            <v>Dumbbells</v>
          </cell>
          <cell r="P560">
            <v>6</v>
          </cell>
          <cell r="Q560">
            <v>1826.8</v>
          </cell>
          <cell r="S560">
            <v>7.0000000000000007E-2</v>
          </cell>
          <cell r="T560">
            <v>14790.65</v>
          </cell>
          <cell r="U560">
            <v>3473.29</v>
          </cell>
          <cell r="V560">
            <v>0.23483011226687131</v>
          </cell>
          <cell r="W560">
            <v>74.41</v>
          </cell>
          <cell r="X560" t="str">
            <v>Credit Card</v>
          </cell>
          <cell r="Z560">
            <v>2</v>
          </cell>
          <cell r="AA560" t="b">
            <v>1</v>
          </cell>
          <cell r="AC560" t="str">
            <v>Returned</v>
          </cell>
          <cell r="AE560">
            <v>6</v>
          </cell>
        </row>
        <row r="561">
          <cell r="C561">
            <v>44004</v>
          </cell>
          <cell r="D561" t="str">
            <v>CUST02130</v>
          </cell>
          <cell r="E561" t="str">
            <v>Vikram Shah</v>
          </cell>
          <cell r="G561">
            <v>16</v>
          </cell>
          <cell r="H561" t="str">
            <v>Teen</v>
          </cell>
          <cell r="J561" t="str">
            <v>Female</v>
          </cell>
          <cell r="K561" t="str">
            <v>West</v>
          </cell>
          <cell r="L561" t="str">
            <v>Ahmedabad</v>
          </cell>
          <cell r="M561" t="str">
            <v>Books</v>
          </cell>
          <cell r="N561" t="str">
            <v>Textbook</v>
          </cell>
          <cell r="P561">
            <v>3</v>
          </cell>
          <cell r="Q561">
            <v>541.30999999999995</v>
          </cell>
          <cell r="S561">
            <v>0.06</v>
          </cell>
          <cell r="T561">
            <v>2139.34</v>
          </cell>
          <cell r="U561">
            <v>731.39</v>
          </cell>
          <cell r="V561">
            <v>0.34187646657380311</v>
          </cell>
          <cell r="W561">
            <v>56.62</v>
          </cell>
          <cell r="X561" t="str">
            <v>Cash on Delivery</v>
          </cell>
          <cell r="Z561">
            <v>5</v>
          </cell>
          <cell r="AA561" t="b">
            <v>0</v>
          </cell>
          <cell r="AC561" t="str">
            <v>Delivered</v>
          </cell>
          <cell r="AE561">
            <v>8</v>
          </cell>
        </row>
        <row r="562">
          <cell r="C562">
            <v>44168</v>
          </cell>
          <cell r="D562" t="str">
            <v>CUST42571</v>
          </cell>
          <cell r="E562" t="str">
            <v>Meera Kumar</v>
          </cell>
          <cell r="G562">
            <v>39</v>
          </cell>
          <cell r="H562" t="str">
            <v>Adult</v>
          </cell>
          <cell r="J562" t="str">
            <v>Male</v>
          </cell>
          <cell r="K562" t="str">
            <v>West</v>
          </cell>
          <cell r="L562" t="str">
            <v>Pune</v>
          </cell>
          <cell r="M562" t="str">
            <v>Books</v>
          </cell>
          <cell r="N562" t="str">
            <v>Comic Book</v>
          </cell>
          <cell r="P562">
            <v>2</v>
          </cell>
          <cell r="Q562">
            <v>1291.54</v>
          </cell>
          <cell r="S562">
            <v>0.28999999999999998</v>
          </cell>
          <cell r="T562">
            <v>1186.6300000000001</v>
          </cell>
          <cell r="U562">
            <v>359.86</v>
          </cell>
          <cell r="V562">
            <v>0.30326217944936501</v>
          </cell>
          <cell r="W562">
            <v>74.760000000000005</v>
          </cell>
          <cell r="X562" t="str">
            <v>EMI</v>
          </cell>
          <cell r="Z562">
            <v>3</v>
          </cell>
          <cell r="AA562" t="b">
            <v>0</v>
          </cell>
          <cell r="AC562" t="str">
            <v>Delivered</v>
          </cell>
          <cell r="AE562">
            <v>4</v>
          </cell>
        </row>
        <row r="563">
          <cell r="C563">
            <v>43970</v>
          </cell>
          <cell r="D563" t="str">
            <v>CUST52213</v>
          </cell>
          <cell r="E563" t="str">
            <v>Kavya Iyer</v>
          </cell>
          <cell r="G563">
            <v>53</v>
          </cell>
          <cell r="H563" t="str">
            <v>Senior</v>
          </cell>
          <cell r="J563" t="str">
            <v>Other</v>
          </cell>
          <cell r="K563" t="str">
            <v>South</v>
          </cell>
          <cell r="L563" t="str">
            <v>Bangalore</v>
          </cell>
          <cell r="M563" t="str">
            <v>Groceries</v>
          </cell>
          <cell r="N563" t="str">
            <v>Rice (5kg)</v>
          </cell>
          <cell r="P563">
            <v>4</v>
          </cell>
          <cell r="Q563">
            <v>429.54</v>
          </cell>
          <cell r="S563">
            <v>0.06</v>
          </cell>
          <cell r="T563">
            <v>2163.54</v>
          </cell>
          <cell r="U563">
            <v>148.28</v>
          </cell>
          <cell r="V563">
            <v>6.8535825545171347E-2</v>
          </cell>
          <cell r="W563">
            <v>61.97</v>
          </cell>
          <cell r="X563" t="str">
            <v>Credit Card</v>
          </cell>
          <cell r="Z563">
            <v>2</v>
          </cell>
          <cell r="AA563" t="b">
            <v>1</v>
          </cell>
          <cell r="AC563" t="str">
            <v>Returned</v>
          </cell>
          <cell r="AE563">
            <v>7</v>
          </cell>
        </row>
        <row r="564">
          <cell r="C564">
            <v>45122</v>
          </cell>
          <cell r="D564" t="str">
            <v>CUST81628</v>
          </cell>
          <cell r="E564" t="str">
            <v>Rahul Shah</v>
          </cell>
          <cell r="G564">
            <v>33</v>
          </cell>
          <cell r="H564" t="str">
            <v>Young Adult</v>
          </cell>
          <cell r="J564" t="str">
            <v>Other</v>
          </cell>
          <cell r="K564" t="str">
            <v>West</v>
          </cell>
          <cell r="L564" t="str">
            <v>Surat</v>
          </cell>
          <cell r="M564" t="str">
            <v>Beauty</v>
          </cell>
          <cell r="N564" t="str">
            <v>Perfume</v>
          </cell>
          <cell r="P564">
            <v>10</v>
          </cell>
          <cell r="Q564">
            <v>2340.48</v>
          </cell>
          <cell r="S564">
            <v>0.19793402777777783</v>
          </cell>
          <cell r="T564">
            <v>30857.19</v>
          </cell>
          <cell r="U564">
            <v>16769.400000000001</v>
          </cell>
          <cell r="V564">
            <v>0.54345194750396919</v>
          </cell>
          <cell r="W564">
            <v>65.62</v>
          </cell>
          <cell r="X564" t="str">
            <v>EMI</v>
          </cell>
          <cell r="Z564">
            <v>2</v>
          </cell>
          <cell r="AA564" t="b">
            <v>0</v>
          </cell>
          <cell r="AC564" t="str">
            <v>Delivered</v>
          </cell>
          <cell r="AE564">
            <v>9</v>
          </cell>
        </row>
        <row r="565">
          <cell r="C565">
            <v>45323</v>
          </cell>
          <cell r="D565" t="str">
            <v>CUST60633</v>
          </cell>
          <cell r="E565" t="str">
            <v>Priya Mehta</v>
          </cell>
          <cell r="G565">
            <v>28</v>
          </cell>
          <cell r="H565" t="str">
            <v>Young Adult</v>
          </cell>
          <cell r="J565" t="str">
            <v>Male</v>
          </cell>
          <cell r="K565" t="str">
            <v>East</v>
          </cell>
          <cell r="L565" t="str">
            <v>Kolkata</v>
          </cell>
          <cell r="M565" t="str">
            <v>Clothing</v>
          </cell>
          <cell r="N565" t="str">
            <v>Dress</v>
          </cell>
          <cell r="P565">
            <v>6</v>
          </cell>
          <cell r="Q565">
            <v>604.17999999999995</v>
          </cell>
          <cell r="S565">
            <v>0.2</v>
          </cell>
          <cell r="T565">
            <v>2790.47</v>
          </cell>
          <cell r="U565">
            <v>661.77</v>
          </cell>
          <cell r="V565">
            <v>0.23715359778101897</v>
          </cell>
          <cell r="W565">
            <v>84.73</v>
          </cell>
          <cell r="X565" t="str">
            <v>Debit Card</v>
          </cell>
          <cell r="Z565">
            <v>5</v>
          </cell>
          <cell r="AA565" t="b">
            <v>0</v>
          </cell>
          <cell r="AC565" t="str">
            <v>Delivered</v>
          </cell>
          <cell r="AE565">
            <v>2</v>
          </cell>
        </row>
        <row r="566">
          <cell r="C566">
            <v>43971</v>
          </cell>
          <cell r="D566" t="str">
            <v>CUST80292</v>
          </cell>
          <cell r="E566" t="str">
            <v>Ritu Shah</v>
          </cell>
          <cell r="G566">
            <v>20</v>
          </cell>
          <cell r="H566" t="str">
            <v>Young Adult</v>
          </cell>
          <cell r="J566" t="str">
            <v>Other</v>
          </cell>
          <cell r="K566" t="str">
            <v>Central</v>
          </cell>
          <cell r="L566" t="str">
            <v>Raipur</v>
          </cell>
          <cell r="M566" t="str">
            <v>Sports</v>
          </cell>
          <cell r="N566" t="str">
            <v>Tennis Racket</v>
          </cell>
          <cell r="P566">
            <v>7</v>
          </cell>
          <cell r="Q566">
            <v>4673.1899999999996</v>
          </cell>
          <cell r="S566">
            <v>0.33</v>
          </cell>
          <cell r="T566">
            <v>25140.26</v>
          </cell>
          <cell r="U566">
            <v>7454.48</v>
          </cell>
          <cell r="V566">
            <v>0.29651562871664811</v>
          </cell>
          <cell r="W566">
            <v>59.8</v>
          </cell>
          <cell r="X566" t="str">
            <v>Cash on Delivery</v>
          </cell>
          <cell r="Z566">
            <v>1</v>
          </cell>
          <cell r="AA566" t="b">
            <v>0</v>
          </cell>
          <cell r="AC566" t="str">
            <v>Delivered</v>
          </cell>
          <cell r="AE566">
            <v>4</v>
          </cell>
        </row>
        <row r="567">
          <cell r="C567">
            <v>44825</v>
          </cell>
          <cell r="D567" t="str">
            <v>CUST08013</v>
          </cell>
          <cell r="E567" t="str">
            <v>Ritu Gupta</v>
          </cell>
          <cell r="G567">
            <v>41</v>
          </cell>
          <cell r="H567" t="str">
            <v>Adult</v>
          </cell>
          <cell r="J567" t="str">
            <v>Other</v>
          </cell>
          <cell r="K567" t="str">
            <v>East</v>
          </cell>
          <cell r="L567" t="str">
            <v>Bhubaneswar</v>
          </cell>
          <cell r="M567" t="str">
            <v>Sports</v>
          </cell>
          <cell r="N567" t="str">
            <v>Yoga Mat</v>
          </cell>
          <cell r="P567">
            <v>2</v>
          </cell>
          <cell r="Q567">
            <v>8645.73</v>
          </cell>
          <cell r="S567">
            <v>0.24</v>
          </cell>
          <cell r="T567">
            <v>14376.69</v>
          </cell>
          <cell r="U567">
            <v>3461.36</v>
          </cell>
          <cell r="V567">
            <v>0.24076195563791108</v>
          </cell>
          <cell r="W567">
            <v>94.07</v>
          </cell>
          <cell r="X567" t="str">
            <v>EMI</v>
          </cell>
          <cell r="Z567">
            <v>4</v>
          </cell>
          <cell r="AA567" t="b">
            <v>1</v>
          </cell>
          <cell r="AC567" t="str">
            <v>Returned</v>
          </cell>
          <cell r="AE567">
            <v>3</v>
          </cell>
        </row>
        <row r="568">
          <cell r="C568">
            <v>45637</v>
          </cell>
          <cell r="D568" t="str">
            <v>CUST28262</v>
          </cell>
          <cell r="E568" t="str">
            <v>Aarav Patel</v>
          </cell>
          <cell r="G568">
            <v>22</v>
          </cell>
          <cell r="H568" t="str">
            <v>Young Adult</v>
          </cell>
          <cell r="J568" t="str">
            <v>Male</v>
          </cell>
          <cell r="K568" t="str">
            <v>South</v>
          </cell>
          <cell r="L568" t="str">
            <v>Chennai</v>
          </cell>
          <cell r="M568" t="str">
            <v>Groceries</v>
          </cell>
          <cell r="N568" t="str">
            <v>Rice (5kg)</v>
          </cell>
          <cell r="P568">
            <v>3</v>
          </cell>
          <cell r="Q568">
            <v>55.73</v>
          </cell>
          <cell r="S568">
            <v>0.25</v>
          </cell>
          <cell r="T568">
            <v>132.26</v>
          </cell>
          <cell r="U568">
            <v>9.16</v>
          </cell>
          <cell r="V568">
            <v>6.9257523060638149E-2</v>
          </cell>
          <cell r="W568">
            <v>67.069999999999993</v>
          </cell>
          <cell r="X568" t="str">
            <v>Credit Card</v>
          </cell>
          <cell r="Z568">
            <v>4</v>
          </cell>
          <cell r="AA568" t="b">
            <v>1</v>
          </cell>
          <cell r="AC568" t="str">
            <v>Returned</v>
          </cell>
          <cell r="AE568">
            <v>9</v>
          </cell>
        </row>
        <row r="569">
          <cell r="C569">
            <v>44754</v>
          </cell>
          <cell r="D569" t="str">
            <v>CUST13620</v>
          </cell>
          <cell r="E569" t="str">
            <v>Amit Das</v>
          </cell>
          <cell r="G569">
            <v>39</v>
          </cell>
          <cell r="H569" t="str">
            <v>Adult</v>
          </cell>
          <cell r="J569" t="str">
            <v>Male</v>
          </cell>
          <cell r="K569" t="str">
            <v>South</v>
          </cell>
          <cell r="L569" t="str">
            <v>Hyderabad</v>
          </cell>
          <cell r="M569" t="str">
            <v>Beauty</v>
          </cell>
          <cell r="N569" t="str">
            <v>Shampoo</v>
          </cell>
          <cell r="P569">
            <v>4</v>
          </cell>
          <cell r="Q569">
            <v>1632.26</v>
          </cell>
          <cell r="S569">
            <v>0.4</v>
          </cell>
          <cell r="T569">
            <v>5867.49</v>
          </cell>
          <cell r="U569">
            <v>2226.87</v>
          </cell>
          <cell r="V569">
            <v>0.379526850493141</v>
          </cell>
          <cell r="W569">
            <v>61.99</v>
          </cell>
          <cell r="X569" t="str">
            <v>UPI</v>
          </cell>
          <cell r="Z569">
            <v>4</v>
          </cell>
          <cell r="AA569" t="b">
            <v>0</v>
          </cell>
          <cell r="AC569" t="str">
            <v>Delivered</v>
          </cell>
          <cell r="AE569">
            <v>7</v>
          </cell>
        </row>
        <row r="570">
          <cell r="C570">
            <v>43880</v>
          </cell>
          <cell r="D570" t="str">
            <v>CUST20302</v>
          </cell>
          <cell r="E570" t="str">
            <v>Aditya Gupta</v>
          </cell>
          <cell r="G570">
            <v>48</v>
          </cell>
          <cell r="H570" t="str">
            <v>Adult</v>
          </cell>
          <cell r="J570" t="str">
            <v>Other</v>
          </cell>
          <cell r="K570" t="str">
            <v>South</v>
          </cell>
          <cell r="L570" t="str">
            <v>Bangalore</v>
          </cell>
          <cell r="M570" t="str">
            <v>Clothing</v>
          </cell>
          <cell r="N570" t="str">
            <v>Saree</v>
          </cell>
          <cell r="P570">
            <v>8</v>
          </cell>
          <cell r="Q570">
            <v>967.73</v>
          </cell>
          <cell r="S570">
            <v>0.36</v>
          </cell>
          <cell r="T570">
            <v>4117.6000000000004</v>
          </cell>
          <cell r="U570">
            <v>1596.92</v>
          </cell>
          <cell r="V570">
            <v>0.38782786088983873</v>
          </cell>
          <cell r="W570">
            <v>73.930000000000007</v>
          </cell>
          <cell r="X570" t="str">
            <v>Credit Card</v>
          </cell>
          <cell r="Z570">
            <v>3</v>
          </cell>
          <cell r="AA570" t="b">
            <v>1</v>
          </cell>
          <cell r="AC570" t="str">
            <v>Returned</v>
          </cell>
          <cell r="AE570">
            <v>6</v>
          </cell>
        </row>
        <row r="571">
          <cell r="C571">
            <v>45276</v>
          </cell>
          <cell r="D571" t="str">
            <v>CUST29727</v>
          </cell>
          <cell r="E571" t="str">
            <v>Amit Kumar</v>
          </cell>
          <cell r="G571">
            <v>29</v>
          </cell>
          <cell r="H571" t="str">
            <v>Young Adult</v>
          </cell>
          <cell r="J571" t="str">
            <v>Male</v>
          </cell>
          <cell r="K571" t="str">
            <v>South</v>
          </cell>
          <cell r="L571" t="str">
            <v>Chennai</v>
          </cell>
          <cell r="M571" t="str">
            <v>Furniture</v>
          </cell>
          <cell r="N571" t="str">
            <v>Desk</v>
          </cell>
          <cell r="P571">
            <v>9</v>
          </cell>
          <cell r="Q571">
            <v>14900.48</v>
          </cell>
          <cell r="S571">
            <v>0.2</v>
          </cell>
          <cell r="T571">
            <v>103163.26</v>
          </cell>
          <cell r="U571">
            <v>31355.08</v>
          </cell>
          <cell r="V571">
            <v>0.30393649832314334</v>
          </cell>
          <cell r="W571">
            <v>45.89</v>
          </cell>
          <cell r="X571" t="str">
            <v>Debit Card</v>
          </cell>
          <cell r="Z571">
            <v>4</v>
          </cell>
          <cell r="AA571" t="b">
            <v>0</v>
          </cell>
          <cell r="AC571" t="str">
            <v>Delivered</v>
          </cell>
          <cell r="AE571">
            <v>9</v>
          </cell>
        </row>
        <row r="572">
          <cell r="C572">
            <v>45034</v>
          </cell>
          <cell r="D572" t="str">
            <v>CUST00961</v>
          </cell>
          <cell r="E572" t="str">
            <v>Nisha Kumar</v>
          </cell>
          <cell r="G572">
            <v>37</v>
          </cell>
          <cell r="H572" t="str">
            <v>Adult</v>
          </cell>
          <cell r="J572" t="str">
            <v>Female</v>
          </cell>
          <cell r="K572" t="str">
            <v>Central</v>
          </cell>
          <cell r="L572" t="str">
            <v>Nagpur</v>
          </cell>
          <cell r="M572" t="str">
            <v>Beauty</v>
          </cell>
          <cell r="N572" t="str">
            <v>Perfume</v>
          </cell>
          <cell r="P572">
            <v>8</v>
          </cell>
          <cell r="Q572">
            <v>899.3</v>
          </cell>
          <cell r="S572">
            <v>0.17</v>
          </cell>
          <cell r="T572">
            <v>8975.56</v>
          </cell>
          <cell r="U572">
            <v>3421.59</v>
          </cell>
          <cell r="V572">
            <v>0.38121186867448942</v>
          </cell>
          <cell r="W572">
            <v>71.55</v>
          </cell>
          <cell r="X572" t="str">
            <v>Credit Card</v>
          </cell>
          <cell r="Z572">
            <v>2</v>
          </cell>
          <cell r="AA572" t="b">
            <v>0</v>
          </cell>
          <cell r="AC572" t="str">
            <v>Delivered</v>
          </cell>
          <cell r="AE572">
            <v>3</v>
          </cell>
        </row>
        <row r="573">
          <cell r="C573">
            <v>44544</v>
          </cell>
          <cell r="D573" t="str">
            <v>CUST58607</v>
          </cell>
          <cell r="E573" t="str">
            <v>Kavya Kumar</v>
          </cell>
          <cell r="G573">
            <v>25</v>
          </cell>
          <cell r="H573" t="str">
            <v>Young Adult</v>
          </cell>
          <cell r="J573" t="str">
            <v>Male</v>
          </cell>
          <cell r="K573" t="str">
            <v>Central</v>
          </cell>
          <cell r="L573" t="str">
            <v>Indore</v>
          </cell>
          <cell r="M573" t="str">
            <v>Beauty</v>
          </cell>
          <cell r="N573" t="str">
            <v>Face Cream</v>
          </cell>
          <cell r="P573">
            <v>1</v>
          </cell>
          <cell r="Q573">
            <v>2412.42</v>
          </cell>
          <cell r="S573">
            <v>0.02</v>
          </cell>
          <cell r="T573">
            <v>1867.03</v>
          </cell>
          <cell r="U573">
            <v>770.96</v>
          </cell>
          <cell r="V573">
            <v>0.41293391107802235</v>
          </cell>
          <cell r="W573">
            <v>51.08</v>
          </cell>
          <cell r="X573" t="str">
            <v>Cash on Delivery</v>
          </cell>
          <cell r="Z573">
            <v>1</v>
          </cell>
          <cell r="AA573" t="b">
            <v>0</v>
          </cell>
          <cell r="AC573" t="str">
            <v>Delivered</v>
          </cell>
          <cell r="AE573">
            <v>10</v>
          </cell>
        </row>
        <row r="574">
          <cell r="C574">
            <v>44974</v>
          </cell>
          <cell r="D574" t="str">
            <v>CUST02524</v>
          </cell>
          <cell r="E574" t="str">
            <v>Amit Patel</v>
          </cell>
          <cell r="G574">
            <v>50</v>
          </cell>
          <cell r="H574" t="str">
            <v>Adult</v>
          </cell>
          <cell r="J574" t="str">
            <v>Male</v>
          </cell>
          <cell r="K574" t="str">
            <v>West</v>
          </cell>
          <cell r="L574" t="str">
            <v>Pune</v>
          </cell>
          <cell r="M574" t="str">
            <v>Sports</v>
          </cell>
          <cell r="N574" t="str">
            <v>Cricket Bat</v>
          </cell>
          <cell r="P574">
            <v>6</v>
          </cell>
          <cell r="Q574">
            <v>9703.74</v>
          </cell>
          <cell r="S574">
            <v>0.16</v>
          </cell>
          <cell r="T574">
            <v>52648.79</v>
          </cell>
          <cell r="U574">
            <v>8966.19</v>
          </cell>
          <cell r="V574">
            <v>0.17030191956928165</v>
          </cell>
          <cell r="W574">
            <v>50.19</v>
          </cell>
          <cell r="X574" t="str">
            <v>EMI</v>
          </cell>
          <cell r="Z574">
            <v>1</v>
          </cell>
          <cell r="AA574" t="b">
            <v>0</v>
          </cell>
          <cell r="AC574" t="str">
            <v>Delivered</v>
          </cell>
          <cell r="AE574">
            <v>7</v>
          </cell>
        </row>
        <row r="575">
          <cell r="C575">
            <v>45412</v>
          </cell>
          <cell r="D575" t="str">
            <v>CUST91185</v>
          </cell>
          <cell r="E575" t="str">
            <v>Karan Rao</v>
          </cell>
          <cell r="G575">
            <v>19</v>
          </cell>
          <cell r="H575" t="str">
            <v>Teen</v>
          </cell>
          <cell r="J575" t="str">
            <v>Other</v>
          </cell>
          <cell r="K575" t="str">
            <v>Central</v>
          </cell>
          <cell r="L575" t="str">
            <v>Nagpur</v>
          </cell>
          <cell r="M575" t="str">
            <v>Beauty</v>
          </cell>
          <cell r="N575" t="str">
            <v>Face Cream</v>
          </cell>
          <cell r="P575">
            <v>3</v>
          </cell>
          <cell r="Q575">
            <v>2213</v>
          </cell>
          <cell r="S575">
            <v>0.1</v>
          </cell>
          <cell r="T575">
            <v>9293.85</v>
          </cell>
          <cell r="U575">
            <v>4453.78</v>
          </cell>
          <cell r="V575">
            <v>0.47921797747973116</v>
          </cell>
          <cell r="W575">
            <v>86.73</v>
          </cell>
          <cell r="X575" t="str">
            <v>EMI</v>
          </cell>
          <cell r="Z575">
            <v>4</v>
          </cell>
          <cell r="AA575" t="b">
            <v>0</v>
          </cell>
          <cell r="AC575" t="str">
            <v>Delivered</v>
          </cell>
          <cell r="AE575">
            <v>10</v>
          </cell>
        </row>
        <row r="576">
          <cell r="C576">
            <v>45391</v>
          </cell>
          <cell r="D576" t="str">
            <v>CUST91393</v>
          </cell>
          <cell r="E576" t="str">
            <v>Meera Pillai</v>
          </cell>
          <cell r="G576">
            <v>42</v>
          </cell>
          <cell r="H576" t="str">
            <v>Adult</v>
          </cell>
          <cell r="J576" t="str">
            <v>Other</v>
          </cell>
          <cell r="K576" t="str">
            <v>North</v>
          </cell>
          <cell r="L576" t="str">
            <v>Ludhiana</v>
          </cell>
          <cell r="M576" t="str">
            <v>Sports</v>
          </cell>
          <cell r="N576" t="str">
            <v>Cycle</v>
          </cell>
          <cell r="P576">
            <v>1</v>
          </cell>
          <cell r="Q576">
            <v>7923.79</v>
          </cell>
          <cell r="S576">
            <v>0.02</v>
          </cell>
          <cell r="T576">
            <v>12021.65</v>
          </cell>
          <cell r="U576">
            <v>3631.41</v>
          </cell>
          <cell r="V576">
            <v>0.30207251084501713</v>
          </cell>
          <cell r="W576">
            <v>54.15</v>
          </cell>
          <cell r="X576" t="str">
            <v>Cash on Delivery</v>
          </cell>
          <cell r="Z576">
            <v>3</v>
          </cell>
          <cell r="AA576" t="b">
            <v>0</v>
          </cell>
          <cell r="AC576" t="str">
            <v>Shipped</v>
          </cell>
          <cell r="AE576">
            <v>5</v>
          </cell>
        </row>
        <row r="577">
          <cell r="C577">
            <v>45118</v>
          </cell>
          <cell r="D577" t="str">
            <v>CUST06333</v>
          </cell>
          <cell r="E577" t="str">
            <v>Amit Verma</v>
          </cell>
          <cell r="G577">
            <v>44</v>
          </cell>
          <cell r="H577" t="str">
            <v>Adult</v>
          </cell>
          <cell r="J577" t="str">
            <v>Other</v>
          </cell>
          <cell r="K577" t="str">
            <v>North</v>
          </cell>
          <cell r="L577" t="str">
            <v>Amritsar</v>
          </cell>
          <cell r="M577" t="str">
            <v>Clothing</v>
          </cell>
          <cell r="N577" t="str">
            <v>Jacket</v>
          </cell>
          <cell r="P577">
            <v>6</v>
          </cell>
          <cell r="Q577">
            <v>1202.81</v>
          </cell>
          <cell r="S577">
            <v>0.08</v>
          </cell>
          <cell r="T577">
            <v>9663.61</v>
          </cell>
          <cell r="U577">
            <v>2700.5</v>
          </cell>
          <cell r="V577">
            <v>0.27945043311971407</v>
          </cell>
          <cell r="W577">
            <v>84.89</v>
          </cell>
          <cell r="X577" t="str">
            <v>Net Banking</v>
          </cell>
          <cell r="Z577">
            <v>1</v>
          </cell>
          <cell r="AA577" t="b">
            <v>1</v>
          </cell>
          <cell r="AC577" t="str">
            <v>Returned</v>
          </cell>
          <cell r="AE577">
            <v>6</v>
          </cell>
        </row>
        <row r="578">
          <cell r="C578">
            <v>45484</v>
          </cell>
          <cell r="D578" t="str">
            <v>CUST68786</v>
          </cell>
          <cell r="E578" t="str">
            <v>Rahul Sharma</v>
          </cell>
          <cell r="G578">
            <v>38</v>
          </cell>
          <cell r="H578" t="str">
            <v>Adult</v>
          </cell>
          <cell r="J578" t="str">
            <v>Other</v>
          </cell>
          <cell r="K578" t="str">
            <v>West</v>
          </cell>
          <cell r="L578" t="str">
            <v>Mumbai</v>
          </cell>
          <cell r="M578" t="str">
            <v>Sports</v>
          </cell>
          <cell r="N578" t="str">
            <v>Football</v>
          </cell>
          <cell r="P578">
            <v>2</v>
          </cell>
          <cell r="Q578">
            <v>13574.46</v>
          </cell>
          <cell r="S578">
            <v>0.31</v>
          </cell>
          <cell r="T578">
            <v>32632.91</v>
          </cell>
          <cell r="U578">
            <v>9812.2999999999993</v>
          </cell>
          <cell r="V578">
            <v>0.30068725099906812</v>
          </cell>
          <cell r="W578">
            <v>49.47</v>
          </cell>
          <cell r="X578" t="str">
            <v>Net Banking</v>
          </cell>
          <cell r="Z578">
            <v>3</v>
          </cell>
          <cell r="AA578" t="b">
            <v>0</v>
          </cell>
          <cell r="AC578" t="str">
            <v>Delivered</v>
          </cell>
          <cell r="AE578">
            <v>7</v>
          </cell>
        </row>
        <row r="579">
          <cell r="C579">
            <v>44393</v>
          </cell>
          <cell r="D579" t="str">
            <v>CUST10958</v>
          </cell>
          <cell r="E579" t="str">
            <v>Rahul Nair</v>
          </cell>
          <cell r="G579">
            <v>52</v>
          </cell>
          <cell r="H579" t="str">
            <v>Senior</v>
          </cell>
          <cell r="J579" t="str">
            <v>Male</v>
          </cell>
          <cell r="K579" t="str">
            <v>North</v>
          </cell>
          <cell r="L579" t="str">
            <v>Chandigarh</v>
          </cell>
          <cell r="M579" t="str">
            <v>Sports</v>
          </cell>
          <cell r="N579" t="str">
            <v>Tennis Racket</v>
          </cell>
          <cell r="P579">
            <v>9</v>
          </cell>
          <cell r="Q579">
            <v>10077.49</v>
          </cell>
          <cell r="S579">
            <v>0.34</v>
          </cell>
          <cell r="T579">
            <v>84123.31</v>
          </cell>
          <cell r="U579">
            <v>16599.27</v>
          </cell>
          <cell r="V579">
            <v>0.19732069506061994</v>
          </cell>
          <cell r="W579">
            <v>71.95</v>
          </cell>
          <cell r="X579" t="str">
            <v>Cash on Delivery</v>
          </cell>
          <cell r="Z579">
            <v>3</v>
          </cell>
          <cell r="AA579" t="b">
            <v>0</v>
          </cell>
          <cell r="AC579" t="str">
            <v>Delivered</v>
          </cell>
          <cell r="AE579">
            <v>2</v>
          </cell>
        </row>
        <row r="580">
          <cell r="C580">
            <v>44020</v>
          </cell>
          <cell r="D580" t="str">
            <v>CUST48382</v>
          </cell>
          <cell r="E580" t="str">
            <v>Priya Kumar</v>
          </cell>
          <cell r="G580">
            <v>47</v>
          </cell>
          <cell r="H580" t="str">
            <v>Adult</v>
          </cell>
          <cell r="J580" t="str">
            <v>Female</v>
          </cell>
          <cell r="K580" t="str">
            <v>Central</v>
          </cell>
          <cell r="L580" t="str">
            <v>Nagpur</v>
          </cell>
          <cell r="M580" t="str">
            <v>Groceries</v>
          </cell>
          <cell r="N580" t="str">
            <v>Flour</v>
          </cell>
          <cell r="P580">
            <v>4</v>
          </cell>
          <cell r="Q580">
            <v>443.03</v>
          </cell>
          <cell r="S580">
            <v>0.32</v>
          </cell>
          <cell r="T580">
            <v>1593.89</v>
          </cell>
          <cell r="U580">
            <v>115.6</v>
          </cell>
          <cell r="V580">
            <v>7.2526962337426032E-2</v>
          </cell>
          <cell r="W580">
            <v>71.819999999999993</v>
          </cell>
          <cell r="X580" t="str">
            <v>Debit Card</v>
          </cell>
          <cell r="Z580">
            <v>4</v>
          </cell>
          <cell r="AA580" t="b">
            <v>0</v>
          </cell>
          <cell r="AC580" t="str">
            <v>Shipped</v>
          </cell>
          <cell r="AE580">
            <v>2</v>
          </cell>
        </row>
        <row r="581">
          <cell r="C581">
            <v>45305</v>
          </cell>
          <cell r="D581" t="str">
            <v>CUST34808</v>
          </cell>
          <cell r="E581" t="str">
            <v>Ritu Shah</v>
          </cell>
          <cell r="G581">
            <v>36</v>
          </cell>
          <cell r="H581" t="str">
            <v>Adult</v>
          </cell>
          <cell r="J581" t="str">
            <v>Male</v>
          </cell>
          <cell r="K581" t="str">
            <v>North</v>
          </cell>
          <cell r="L581" t="str">
            <v>Chandigarh</v>
          </cell>
          <cell r="M581" t="str">
            <v>Electronics</v>
          </cell>
          <cell r="N581" t="str">
            <v>Smartwatch</v>
          </cell>
          <cell r="P581">
            <v>1</v>
          </cell>
          <cell r="Q581">
            <v>16829.03</v>
          </cell>
          <cell r="S581">
            <v>0.04</v>
          </cell>
          <cell r="T581">
            <v>16558.810000000001</v>
          </cell>
          <cell r="U581">
            <v>2537.33</v>
          </cell>
          <cell r="V581">
            <v>0.15323142182318655</v>
          </cell>
          <cell r="W581">
            <v>43.96</v>
          </cell>
          <cell r="X581" t="str">
            <v>Credit Card</v>
          </cell>
          <cell r="Z581">
            <v>1</v>
          </cell>
          <cell r="AA581" t="b">
            <v>1</v>
          </cell>
          <cell r="AC581" t="str">
            <v>Returned</v>
          </cell>
          <cell r="AE581">
            <v>9</v>
          </cell>
        </row>
        <row r="582">
          <cell r="C582">
            <v>45405</v>
          </cell>
          <cell r="D582" t="str">
            <v>CUST65858</v>
          </cell>
          <cell r="E582" t="str">
            <v>Karan Nair</v>
          </cell>
          <cell r="G582">
            <v>24</v>
          </cell>
          <cell r="H582" t="str">
            <v>Young Adult</v>
          </cell>
          <cell r="J582" t="str">
            <v>Female</v>
          </cell>
          <cell r="K582" t="str">
            <v>East</v>
          </cell>
          <cell r="L582" t="str">
            <v>Kolkata</v>
          </cell>
          <cell r="M582" t="str">
            <v>Clothing</v>
          </cell>
          <cell r="N582" t="str">
            <v>Kurta</v>
          </cell>
          <cell r="P582">
            <v>10</v>
          </cell>
          <cell r="Q582">
            <v>3066.81</v>
          </cell>
          <cell r="S582">
            <v>0.02</v>
          </cell>
          <cell r="T582">
            <v>47758.51</v>
          </cell>
          <cell r="U582">
            <v>19208.34</v>
          </cell>
          <cell r="V582">
            <v>0.4021972209769526</v>
          </cell>
          <cell r="W582">
            <v>77.64</v>
          </cell>
          <cell r="X582" t="str">
            <v>Net Banking</v>
          </cell>
          <cell r="Z582">
            <v>2</v>
          </cell>
          <cell r="AA582" t="b">
            <v>0</v>
          </cell>
          <cell r="AC582" t="str">
            <v>Delivered</v>
          </cell>
          <cell r="AE582">
            <v>9</v>
          </cell>
        </row>
        <row r="583">
          <cell r="C583">
            <v>45015</v>
          </cell>
          <cell r="D583" t="str">
            <v>CUST35540</v>
          </cell>
          <cell r="E583" t="str">
            <v>Kavya Reddy</v>
          </cell>
          <cell r="G583">
            <v>26</v>
          </cell>
          <cell r="H583" t="str">
            <v>Young Adult</v>
          </cell>
          <cell r="J583" t="str">
            <v>Male</v>
          </cell>
          <cell r="K583" t="str">
            <v>West</v>
          </cell>
          <cell r="L583" t="str">
            <v>Ahmedabad</v>
          </cell>
          <cell r="M583" t="str">
            <v>Clothing</v>
          </cell>
          <cell r="N583" t="str">
            <v>Dress</v>
          </cell>
          <cell r="P583">
            <v>8</v>
          </cell>
          <cell r="Q583">
            <v>1829.04</v>
          </cell>
          <cell r="S583">
            <v>0.24</v>
          </cell>
          <cell r="T583">
            <v>14780.74</v>
          </cell>
          <cell r="U583">
            <v>6166.69</v>
          </cell>
          <cell r="V583">
            <v>0.41721118157818887</v>
          </cell>
          <cell r="W583">
            <v>80.06</v>
          </cell>
          <cell r="X583" t="str">
            <v>Net Banking</v>
          </cell>
          <cell r="Z583">
            <v>3</v>
          </cell>
          <cell r="AA583" t="b">
            <v>0</v>
          </cell>
          <cell r="AC583" t="str">
            <v>Cancelled</v>
          </cell>
          <cell r="AE583">
            <v>4</v>
          </cell>
        </row>
        <row r="584">
          <cell r="C584">
            <v>45074</v>
          </cell>
          <cell r="D584" t="str">
            <v>CUST18697</v>
          </cell>
          <cell r="E584" t="str">
            <v>Karan Verma</v>
          </cell>
          <cell r="G584">
            <v>54</v>
          </cell>
          <cell r="H584" t="str">
            <v>Senior</v>
          </cell>
          <cell r="J584" t="str">
            <v>Female</v>
          </cell>
          <cell r="K584" t="str">
            <v>North</v>
          </cell>
          <cell r="L584" t="str">
            <v>Chandigarh</v>
          </cell>
          <cell r="M584" t="str">
            <v>Furniture</v>
          </cell>
          <cell r="N584" t="str">
            <v>Bed Frame</v>
          </cell>
          <cell r="P584">
            <v>8</v>
          </cell>
          <cell r="Q584">
            <v>30782.92</v>
          </cell>
          <cell r="S584">
            <v>0.11</v>
          </cell>
          <cell r="T584">
            <v>356477.73</v>
          </cell>
          <cell r="U584">
            <v>116445.94</v>
          </cell>
          <cell r="V584">
            <v>0.326656983593337</v>
          </cell>
          <cell r="W584">
            <v>61.27</v>
          </cell>
          <cell r="X584" t="str">
            <v>EMI</v>
          </cell>
          <cell r="Z584">
            <v>3</v>
          </cell>
          <cell r="AA584" t="b">
            <v>0</v>
          </cell>
          <cell r="AC584" t="str">
            <v>Delivered</v>
          </cell>
          <cell r="AE584">
            <v>2</v>
          </cell>
        </row>
        <row r="585">
          <cell r="C585">
            <v>44713</v>
          </cell>
          <cell r="D585" t="str">
            <v>CUST83431</v>
          </cell>
          <cell r="E585" t="str">
            <v>Aditya Patel</v>
          </cell>
          <cell r="G585">
            <v>53</v>
          </cell>
          <cell r="H585" t="str">
            <v>Senior</v>
          </cell>
          <cell r="J585" t="str">
            <v>Other</v>
          </cell>
          <cell r="K585" t="str">
            <v>West</v>
          </cell>
          <cell r="L585" t="str">
            <v>Mumbai</v>
          </cell>
          <cell r="M585" t="str">
            <v>Beauty</v>
          </cell>
          <cell r="N585" t="str">
            <v>Sunscreen</v>
          </cell>
          <cell r="P585">
            <v>7</v>
          </cell>
          <cell r="Q585">
            <v>1167.8599999999999</v>
          </cell>
          <cell r="S585">
            <v>0.15</v>
          </cell>
          <cell r="T585">
            <v>10729.59</v>
          </cell>
          <cell r="U585">
            <v>5022.26</v>
          </cell>
          <cell r="V585">
            <v>0.46807566738337625</v>
          </cell>
          <cell r="W585">
            <v>56.89</v>
          </cell>
          <cell r="X585" t="str">
            <v>Debit Card</v>
          </cell>
          <cell r="Z585">
            <v>2</v>
          </cell>
          <cell r="AA585" t="b">
            <v>0</v>
          </cell>
          <cell r="AC585" t="str">
            <v>Delivered</v>
          </cell>
          <cell r="AE585">
            <v>8</v>
          </cell>
        </row>
        <row r="586">
          <cell r="C586">
            <v>45057</v>
          </cell>
          <cell r="D586" t="str">
            <v>CUST96063</v>
          </cell>
          <cell r="E586" t="str">
            <v>Shreya Iyer</v>
          </cell>
          <cell r="G586">
            <v>25</v>
          </cell>
          <cell r="H586" t="str">
            <v>Young Adult</v>
          </cell>
          <cell r="J586" t="str">
            <v>Other</v>
          </cell>
          <cell r="K586" t="str">
            <v>North</v>
          </cell>
          <cell r="L586" t="str">
            <v>Chandigarh</v>
          </cell>
          <cell r="M586" t="str">
            <v>Electronics</v>
          </cell>
          <cell r="N586" t="str">
            <v>Smartphone</v>
          </cell>
          <cell r="P586">
            <v>9</v>
          </cell>
          <cell r="Q586">
            <v>6647.49</v>
          </cell>
          <cell r="S586">
            <v>0.34</v>
          </cell>
          <cell r="T586">
            <v>68948.2</v>
          </cell>
          <cell r="U586">
            <v>8595.8799999999992</v>
          </cell>
          <cell r="V586">
            <v>0.12467156502997902</v>
          </cell>
          <cell r="W586">
            <v>51.47</v>
          </cell>
          <cell r="X586" t="str">
            <v>Cash on Delivery</v>
          </cell>
          <cell r="Z586">
            <v>4</v>
          </cell>
          <cell r="AA586" t="b">
            <v>0</v>
          </cell>
          <cell r="AC586" t="str">
            <v>Delivered</v>
          </cell>
          <cell r="AE586">
            <v>8</v>
          </cell>
        </row>
        <row r="587">
          <cell r="C587">
            <v>43850</v>
          </cell>
          <cell r="D587" t="str">
            <v>CUST27973</v>
          </cell>
          <cell r="E587" t="str">
            <v>Shreya Pillai</v>
          </cell>
          <cell r="G587">
            <v>13</v>
          </cell>
          <cell r="H587" t="str">
            <v>Teen</v>
          </cell>
          <cell r="J587" t="str">
            <v>Male</v>
          </cell>
          <cell r="K587" t="str">
            <v>South</v>
          </cell>
          <cell r="L587" t="str">
            <v>Hyderabad</v>
          </cell>
          <cell r="M587" t="str">
            <v>Beauty</v>
          </cell>
          <cell r="N587" t="str">
            <v>Perfume</v>
          </cell>
          <cell r="P587">
            <v>6</v>
          </cell>
          <cell r="Q587">
            <v>1952.59</v>
          </cell>
          <cell r="S587">
            <v>0.14000000000000001</v>
          </cell>
          <cell r="T587">
            <v>6658.21</v>
          </cell>
          <cell r="U587">
            <v>3867.94</v>
          </cell>
          <cell r="V587">
            <v>0.58092790705009301</v>
          </cell>
          <cell r="W587">
            <v>38.17</v>
          </cell>
          <cell r="X587" t="str">
            <v>Credit Card</v>
          </cell>
          <cell r="Z587">
            <v>1</v>
          </cell>
          <cell r="AA587" t="b">
            <v>0</v>
          </cell>
          <cell r="AC587" t="str">
            <v>Shipped</v>
          </cell>
          <cell r="AE587">
            <v>8</v>
          </cell>
        </row>
        <row r="588">
          <cell r="C588">
            <v>44686</v>
          </cell>
          <cell r="D588" t="str">
            <v>CUST01091</v>
          </cell>
          <cell r="E588" t="str">
            <v>Sunita Das</v>
          </cell>
          <cell r="G588">
            <v>32</v>
          </cell>
          <cell r="H588" t="str">
            <v>Young Adult</v>
          </cell>
          <cell r="J588" t="str">
            <v>Male</v>
          </cell>
          <cell r="K588" t="str">
            <v>West</v>
          </cell>
          <cell r="L588" t="str">
            <v>Pune</v>
          </cell>
          <cell r="M588" t="str">
            <v>Beauty</v>
          </cell>
          <cell r="N588" t="str">
            <v>Shampoo</v>
          </cell>
          <cell r="P588">
            <v>3</v>
          </cell>
          <cell r="Q588">
            <v>1685.48</v>
          </cell>
          <cell r="S588">
            <v>0.05</v>
          </cell>
          <cell r="T588">
            <v>6564.17</v>
          </cell>
          <cell r="U588">
            <v>3034.89</v>
          </cell>
          <cell r="V588">
            <v>0.46234177359818529</v>
          </cell>
          <cell r="W588">
            <v>79.19</v>
          </cell>
          <cell r="X588" t="str">
            <v>Debit Card</v>
          </cell>
          <cell r="Z588">
            <v>1</v>
          </cell>
          <cell r="AA588" t="b">
            <v>0</v>
          </cell>
          <cell r="AC588" t="str">
            <v>Cancelled</v>
          </cell>
          <cell r="AE588">
            <v>1</v>
          </cell>
        </row>
        <row r="589">
          <cell r="C589">
            <v>44650</v>
          </cell>
          <cell r="D589" t="str">
            <v>CUST81634</v>
          </cell>
          <cell r="E589" t="str">
            <v>Ananya Kumar</v>
          </cell>
          <cell r="G589">
            <v>36</v>
          </cell>
          <cell r="H589" t="str">
            <v>Adult</v>
          </cell>
          <cell r="J589" t="str">
            <v>Male</v>
          </cell>
          <cell r="K589" t="str">
            <v>West</v>
          </cell>
          <cell r="L589" t="str">
            <v>Surat</v>
          </cell>
          <cell r="M589" t="str">
            <v>Electronics</v>
          </cell>
          <cell r="N589" t="str">
            <v>Tablet</v>
          </cell>
          <cell r="P589">
            <v>1</v>
          </cell>
          <cell r="Q589">
            <v>28957.64</v>
          </cell>
          <cell r="S589">
            <v>0.33</v>
          </cell>
          <cell r="T589">
            <v>18619.849999999999</v>
          </cell>
          <cell r="U589">
            <v>1514.95</v>
          </cell>
          <cell r="V589">
            <v>8.136209475371714E-2</v>
          </cell>
          <cell r="W589">
            <v>63.73</v>
          </cell>
          <cell r="X589" t="str">
            <v>Debit Card</v>
          </cell>
          <cell r="Z589">
            <v>5</v>
          </cell>
          <cell r="AA589" t="b">
            <v>0</v>
          </cell>
          <cell r="AC589" t="str">
            <v>Delivered</v>
          </cell>
          <cell r="AE589">
            <v>10</v>
          </cell>
        </row>
        <row r="590">
          <cell r="C590">
            <v>45542</v>
          </cell>
          <cell r="D590" t="str">
            <v>CUST46541</v>
          </cell>
          <cell r="E590" t="str">
            <v>Deepa Das</v>
          </cell>
          <cell r="G590">
            <v>32</v>
          </cell>
          <cell r="H590" t="str">
            <v>Young Adult</v>
          </cell>
          <cell r="J590" t="str">
            <v>Other</v>
          </cell>
          <cell r="K590" t="str">
            <v>East</v>
          </cell>
          <cell r="L590" t="str">
            <v>Kolkata</v>
          </cell>
          <cell r="M590" t="str">
            <v>Beauty</v>
          </cell>
          <cell r="N590" t="str">
            <v>Perfume</v>
          </cell>
          <cell r="P590">
            <v>3</v>
          </cell>
          <cell r="Q590">
            <v>1229.8800000000001</v>
          </cell>
          <cell r="S590">
            <v>0.16</v>
          </cell>
          <cell r="T590">
            <v>4385.2700000000004</v>
          </cell>
          <cell r="U590">
            <v>2310.7399999999998</v>
          </cell>
          <cell r="V590">
            <v>0.52693220713889899</v>
          </cell>
          <cell r="W590">
            <v>75.88</v>
          </cell>
          <cell r="X590" t="str">
            <v>Credit Card</v>
          </cell>
          <cell r="Z590">
            <v>5</v>
          </cell>
          <cell r="AA590" t="b">
            <v>0</v>
          </cell>
          <cell r="AC590" t="str">
            <v>Pending</v>
          </cell>
          <cell r="AE590">
            <v>4</v>
          </cell>
        </row>
        <row r="591">
          <cell r="C591">
            <v>45090</v>
          </cell>
          <cell r="D591" t="str">
            <v>CUST62247</v>
          </cell>
          <cell r="E591" t="str">
            <v>Aditya Rao</v>
          </cell>
          <cell r="G591">
            <v>47</v>
          </cell>
          <cell r="H591" t="str">
            <v>Adult</v>
          </cell>
          <cell r="J591" t="str">
            <v>Male</v>
          </cell>
          <cell r="K591" t="str">
            <v>South</v>
          </cell>
          <cell r="L591" t="str">
            <v>Hyderabad</v>
          </cell>
          <cell r="M591" t="str">
            <v>Clothing</v>
          </cell>
          <cell r="N591" t="str">
            <v>Saree</v>
          </cell>
          <cell r="P591">
            <v>2</v>
          </cell>
          <cell r="Q591">
            <v>1474.66</v>
          </cell>
          <cell r="S591">
            <v>0.16</v>
          </cell>
          <cell r="T591">
            <v>3493.62</v>
          </cell>
          <cell r="U591">
            <v>1237.1500000000001</v>
          </cell>
          <cell r="V591">
            <v>0.3541169331524322</v>
          </cell>
          <cell r="W591">
            <v>83</v>
          </cell>
          <cell r="X591" t="str">
            <v>Cash on Delivery</v>
          </cell>
          <cell r="Z591">
            <v>2</v>
          </cell>
          <cell r="AA591" t="b">
            <v>0</v>
          </cell>
          <cell r="AC591" t="str">
            <v>Delivered</v>
          </cell>
          <cell r="AE591">
            <v>9</v>
          </cell>
        </row>
        <row r="592">
          <cell r="C592">
            <v>45168</v>
          </cell>
          <cell r="D592" t="str">
            <v>CUST81977</v>
          </cell>
          <cell r="E592" t="str">
            <v>Sunita Verma</v>
          </cell>
          <cell r="G592">
            <v>35</v>
          </cell>
          <cell r="H592" t="str">
            <v>Young Adult</v>
          </cell>
          <cell r="J592" t="str">
            <v>Female</v>
          </cell>
          <cell r="K592" t="str">
            <v>East</v>
          </cell>
          <cell r="L592" t="str">
            <v>Patna</v>
          </cell>
          <cell r="M592" t="str">
            <v>Groceries</v>
          </cell>
          <cell r="N592" t="str">
            <v>Dal (1kg)</v>
          </cell>
          <cell r="P592">
            <v>9</v>
          </cell>
          <cell r="Q592">
            <v>132.91</v>
          </cell>
          <cell r="S592">
            <v>0.37</v>
          </cell>
          <cell r="T592">
            <v>1379.32</v>
          </cell>
          <cell r="U592">
            <v>95.16</v>
          </cell>
          <cell r="V592">
            <v>6.8990517066380541E-2</v>
          </cell>
          <cell r="W592">
            <v>84.31</v>
          </cell>
          <cell r="X592" t="str">
            <v>Cash on Delivery</v>
          </cell>
          <cell r="Z592">
            <v>1</v>
          </cell>
          <cell r="AA592" t="b">
            <v>0</v>
          </cell>
          <cell r="AC592" t="str">
            <v>Delivered</v>
          </cell>
          <cell r="AE592">
            <v>4</v>
          </cell>
        </row>
        <row r="593">
          <cell r="C593">
            <v>44785</v>
          </cell>
          <cell r="D593" t="str">
            <v>CUST77531</v>
          </cell>
          <cell r="E593" t="str">
            <v>Deepa Gupta</v>
          </cell>
          <cell r="G593">
            <v>37</v>
          </cell>
          <cell r="H593" t="str">
            <v>Adult</v>
          </cell>
          <cell r="J593" t="str">
            <v>Male</v>
          </cell>
          <cell r="K593" t="str">
            <v>South</v>
          </cell>
          <cell r="L593" t="str">
            <v>Kochi</v>
          </cell>
          <cell r="M593" t="str">
            <v>Beauty</v>
          </cell>
          <cell r="N593" t="str">
            <v>Shampoo</v>
          </cell>
          <cell r="P593">
            <v>2</v>
          </cell>
          <cell r="Q593">
            <v>2364.83</v>
          </cell>
          <cell r="S593">
            <v>7.0000000000000007E-2</v>
          </cell>
          <cell r="T593">
            <v>5331.18</v>
          </cell>
          <cell r="U593">
            <v>2254.41</v>
          </cell>
          <cell r="V593">
            <v>0.42287260981621322</v>
          </cell>
          <cell r="W593">
            <v>60.96</v>
          </cell>
          <cell r="X593" t="str">
            <v>EMI</v>
          </cell>
          <cell r="Z593">
            <v>1</v>
          </cell>
          <cell r="AA593" t="b">
            <v>0</v>
          </cell>
          <cell r="AC593" t="str">
            <v>Delivered</v>
          </cell>
          <cell r="AE593">
            <v>4</v>
          </cell>
        </row>
        <row r="594">
          <cell r="C594">
            <v>45142</v>
          </cell>
          <cell r="D594" t="str">
            <v>CUST20866</v>
          </cell>
          <cell r="E594" t="str">
            <v>Kavya Rao</v>
          </cell>
          <cell r="G594">
            <v>26</v>
          </cell>
          <cell r="H594" t="str">
            <v>Young Adult</v>
          </cell>
          <cell r="J594" t="str">
            <v>Female</v>
          </cell>
          <cell r="K594" t="str">
            <v>West</v>
          </cell>
          <cell r="L594" t="str">
            <v>Pune</v>
          </cell>
          <cell r="M594" t="str">
            <v>Sports</v>
          </cell>
          <cell r="N594" t="str">
            <v>Yoga Mat</v>
          </cell>
          <cell r="P594">
            <v>10</v>
          </cell>
          <cell r="Q594">
            <v>10231.86</v>
          </cell>
          <cell r="S594">
            <v>0.33</v>
          </cell>
          <cell r="T594">
            <v>98825.46</v>
          </cell>
          <cell r="U594">
            <v>17642.86</v>
          </cell>
          <cell r="V594">
            <v>0.1785254528539508</v>
          </cell>
          <cell r="W594">
            <v>40.200000000000003</v>
          </cell>
          <cell r="X594" t="str">
            <v>Credit Card</v>
          </cell>
          <cell r="Z594">
            <v>2</v>
          </cell>
          <cell r="AA594" t="b">
            <v>0</v>
          </cell>
          <cell r="AC594" t="str">
            <v>Delivered</v>
          </cell>
          <cell r="AE594">
            <v>9</v>
          </cell>
        </row>
        <row r="595">
          <cell r="C595">
            <v>45396</v>
          </cell>
          <cell r="D595" t="str">
            <v>CUST37246</v>
          </cell>
          <cell r="E595" t="str">
            <v>Aarav Mehta</v>
          </cell>
          <cell r="G595">
            <v>22</v>
          </cell>
          <cell r="H595" t="str">
            <v>Young Adult</v>
          </cell>
          <cell r="J595" t="str">
            <v>Female</v>
          </cell>
          <cell r="K595" t="str">
            <v>East</v>
          </cell>
          <cell r="L595" t="str">
            <v>Patna</v>
          </cell>
          <cell r="M595" t="str">
            <v>Books</v>
          </cell>
          <cell r="N595" t="str">
            <v>Biography</v>
          </cell>
          <cell r="P595">
            <v>1</v>
          </cell>
          <cell r="Q595">
            <v>675.6</v>
          </cell>
          <cell r="S595">
            <v>0.09</v>
          </cell>
          <cell r="T595">
            <v>960.99</v>
          </cell>
          <cell r="U595">
            <v>301.26</v>
          </cell>
          <cell r="V595">
            <v>0.31348921424780696</v>
          </cell>
          <cell r="W595">
            <v>94.17</v>
          </cell>
          <cell r="X595" t="str">
            <v>Net Banking</v>
          </cell>
          <cell r="Z595">
            <v>5</v>
          </cell>
          <cell r="AA595" t="b">
            <v>0</v>
          </cell>
          <cell r="AC595" t="str">
            <v>Shipped</v>
          </cell>
          <cell r="AE595">
            <v>5</v>
          </cell>
        </row>
        <row r="596">
          <cell r="C596">
            <v>45113</v>
          </cell>
          <cell r="D596" t="str">
            <v>CUST01768</v>
          </cell>
          <cell r="E596" t="str">
            <v>Sunita Patel</v>
          </cell>
          <cell r="G596">
            <v>34</v>
          </cell>
          <cell r="H596" t="str">
            <v>Young Adult</v>
          </cell>
          <cell r="J596" t="str">
            <v>Female</v>
          </cell>
          <cell r="K596" t="str">
            <v>Central</v>
          </cell>
          <cell r="L596" t="str">
            <v>Nagpur</v>
          </cell>
          <cell r="M596" t="str">
            <v>Electronics</v>
          </cell>
          <cell r="N596" t="str">
            <v>Headphones</v>
          </cell>
          <cell r="P596">
            <v>3</v>
          </cell>
          <cell r="Q596">
            <v>69702.559999999998</v>
          </cell>
          <cell r="S596">
            <v>0.36</v>
          </cell>
          <cell r="T596">
            <v>204235.41</v>
          </cell>
          <cell r="U596">
            <v>30667.19</v>
          </cell>
          <cell r="V596">
            <v>0.15015608703701283</v>
          </cell>
          <cell r="W596">
            <v>72.010000000000005</v>
          </cell>
          <cell r="X596" t="str">
            <v>EMI</v>
          </cell>
          <cell r="Z596">
            <v>5</v>
          </cell>
          <cell r="AA596" t="b">
            <v>0</v>
          </cell>
          <cell r="AC596" t="str">
            <v>Delivered</v>
          </cell>
          <cell r="AE596">
            <v>2</v>
          </cell>
        </row>
        <row r="597">
          <cell r="C597">
            <v>45280</v>
          </cell>
          <cell r="D597" t="str">
            <v>CUST44606</v>
          </cell>
          <cell r="E597" t="str">
            <v>Nisha Mehta</v>
          </cell>
          <cell r="G597">
            <v>59</v>
          </cell>
          <cell r="H597" t="str">
            <v>Senior</v>
          </cell>
          <cell r="J597" t="str">
            <v>Other</v>
          </cell>
          <cell r="K597" t="str">
            <v>East</v>
          </cell>
          <cell r="L597" t="str">
            <v>Kolkata</v>
          </cell>
          <cell r="M597" t="str">
            <v>Beauty</v>
          </cell>
          <cell r="N597" t="str">
            <v>Face Cream</v>
          </cell>
          <cell r="P597">
            <v>4</v>
          </cell>
          <cell r="Q597">
            <v>1670.09</v>
          </cell>
          <cell r="S597">
            <v>0.39</v>
          </cell>
          <cell r="T597">
            <v>3402.85</v>
          </cell>
          <cell r="U597">
            <v>1861.74</v>
          </cell>
          <cell r="V597">
            <v>0.54711197966410507</v>
          </cell>
          <cell r="W597">
            <v>94.95</v>
          </cell>
          <cell r="X597" t="str">
            <v>UPI</v>
          </cell>
          <cell r="Z597">
            <v>1</v>
          </cell>
          <cell r="AA597" t="b">
            <v>1</v>
          </cell>
          <cell r="AC597" t="str">
            <v>Returned</v>
          </cell>
          <cell r="AE597">
            <v>6</v>
          </cell>
        </row>
        <row r="598">
          <cell r="C598">
            <v>45524</v>
          </cell>
          <cell r="D598" t="str">
            <v>CUST86711</v>
          </cell>
          <cell r="E598" t="str">
            <v>Ritu Chatterjee</v>
          </cell>
          <cell r="G598">
            <v>20</v>
          </cell>
          <cell r="H598" t="str">
            <v>Young Adult</v>
          </cell>
          <cell r="J598" t="str">
            <v>Female</v>
          </cell>
          <cell r="K598" t="str">
            <v>West</v>
          </cell>
          <cell r="L598" t="str">
            <v>Ahmedabad</v>
          </cell>
          <cell r="M598" t="str">
            <v>Furniture</v>
          </cell>
          <cell r="N598" t="str">
            <v>Bed Frame</v>
          </cell>
          <cell r="P598">
            <v>7</v>
          </cell>
          <cell r="Q598">
            <v>14200.86</v>
          </cell>
          <cell r="S598">
            <v>0.14000000000000001</v>
          </cell>
          <cell r="T598">
            <v>123743.08</v>
          </cell>
          <cell r="U598">
            <v>37065.68</v>
          </cell>
          <cell r="V598">
            <v>0.29953739635380017</v>
          </cell>
          <cell r="W598">
            <v>54.52</v>
          </cell>
          <cell r="X598" t="str">
            <v>Debit Card</v>
          </cell>
          <cell r="Z598">
            <v>2</v>
          </cell>
          <cell r="AA598" t="b">
            <v>0</v>
          </cell>
          <cell r="AC598" t="str">
            <v>Delivered</v>
          </cell>
          <cell r="AE598">
            <v>10</v>
          </cell>
        </row>
        <row r="599">
          <cell r="C599">
            <v>44469</v>
          </cell>
          <cell r="D599" t="str">
            <v>CUST32469</v>
          </cell>
          <cell r="E599" t="str">
            <v>Aditya Das</v>
          </cell>
          <cell r="G599">
            <v>31</v>
          </cell>
          <cell r="H599" t="str">
            <v>Young Adult</v>
          </cell>
          <cell r="J599" t="str">
            <v>Male</v>
          </cell>
          <cell r="K599" t="str">
            <v>East</v>
          </cell>
          <cell r="L599" t="str">
            <v>Patna</v>
          </cell>
          <cell r="M599" t="str">
            <v>Books</v>
          </cell>
          <cell r="N599" t="str">
            <v>Comic Book</v>
          </cell>
          <cell r="P599">
            <v>3</v>
          </cell>
          <cell r="Q599">
            <v>751.24</v>
          </cell>
          <cell r="S599">
            <v>0.34</v>
          </cell>
          <cell r="T599">
            <v>1754.21</v>
          </cell>
          <cell r="U599">
            <v>458.13</v>
          </cell>
          <cell r="V599">
            <v>0.26116029437752608</v>
          </cell>
          <cell r="W599">
            <v>103.5</v>
          </cell>
          <cell r="X599" t="str">
            <v>Debit Card</v>
          </cell>
          <cell r="Z599">
            <v>3</v>
          </cell>
          <cell r="AA599" t="b">
            <v>0</v>
          </cell>
          <cell r="AC599" t="str">
            <v>Delivered</v>
          </cell>
          <cell r="AE599">
            <v>10</v>
          </cell>
        </row>
        <row r="600">
          <cell r="C600">
            <v>45156</v>
          </cell>
          <cell r="D600" t="str">
            <v>CUST82969</v>
          </cell>
          <cell r="E600" t="str">
            <v>Ritu Joshi</v>
          </cell>
          <cell r="G600">
            <v>50</v>
          </cell>
          <cell r="H600" t="str">
            <v>Adult</v>
          </cell>
          <cell r="J600" t="str">
            <v>Female</v>
          </cell>
          <cell r="K600" t="str">
            <v>South</v>
          </cell>
          <cell r="L600" t="str">
            <v>Hyderabad</v>
          </cell>
          <cell r="M600" t="str">
            <v>Furniture</v>
          </cell>
          <cell r="N600" t="str">
            <v>Wardrobe</v>
          </cell>
          <cell r="P600">
            <v>7</v>
          </cell>
          <cell r="Q600">
            <v>34829.83</v>
          </cell>
          <cell r="S600">
            <v>0.27</v>
          </cell>
          <cell r="T600">
            <v>251225.51</v>
          </cell>
          <cell r="U600">
            <v>87253.16</v>
          </cell>
          <cell r="V600">
            <v>0.34731011193887118</v>
          </cell>
          <cell r="W600">
            <v>74.92</v>
          </cell>
          <cell r="X600" t="str">
            <v>EMI</v>
          </cell>
          <cell r="Z600">
            <v>1</v>
          </cell>
          <cell r="AA600" t="b">
            <v>0</v>
          </cell>
          <cell r="AC600" t="str">
            <v>Delivered</v>
          </cell>
          <cell r="AE600">
            <v>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0807-C773-4564-A3B8-A4691139159A}">
  <dimension ref="A1:W600"/>
  <sheetViews>
    <sheetView tabSelected="1" topLeftCell="C1" zoomScale="81" zoomScaleNormal="81" workbookViewId="0">
      <selection activeCell="R8" sqref="R8"/>
    </sheetView>
  </sheetViews>
  <sheetFormatPr defaultRowHeight="14.5" x14ac:dyDescent="0.35"/>
  <cols>
    <col min="2" max="2" width="11.1796875" customWidth="1"/>
    <col min="5" max="5" width="8.7265625" style="5"/>
    <col min="12" max="12" width="8.7265625" style="5"/>
    <col min="13" max="13" width="10.26953125" style="7" bestFit="1" customWidth="1"/>
    <col min="14" max="14" width="8.7265625" style="9"/>
    <col min="15" max="15" width="12.54296875" style="7" customWidth="1"/>
    <col min="16" max="16" width="11.26953125" style="7" bestFit="1" customWidth="1"/>
    <col min="17" max="17" width="9.7265625" style="11" customWidth="1"/>
    <col min="18" max="18" width="12.6328125" style="7" customWidth="1"/>
    <col min="20" max="20" width="10.26953125" style="5" customWidth="1"/>
    <col min="23" max="23" width="8.7265625" style="5"/>
  </cols>
  <sheetData>
    <row r="1" spans="1:23" s="2" customFormat="1" x14ac:dyDescent="0.35">
      <c r="A1" s="2" t="s">
        <v>621</v>
      </c>
      <c r="B1" s="3" t="s">
        <v>600</v>
      </c>
      <c r="C1" s="2" t="s">
        <v>601</v>
      </c>
      <c r="D1" s="2" t="s">
        <v>602</v>
      </c>
      <c r="E1" s="4" t="s">
        <v>603</v>
      </c>
      <c r="F1" s="2" t="s">
        <v>599</v>
      </c>
      <c r="G1" s="2" t="s">
        <v>604</v>
      </c>
      <c r="H1" s="2" t="s">
        <v>605</v>
      </c>
      <c r="I1" s="2" t="s">
        <v>606</v>
      </c>
      <c r="J1" s="2" t="s">
        <v>607</v>
      </c>
      <c r="K1" s="2" t="s">
        <v>608</v>
      </c>
      <c r="L1" s="4" t="s">
        <v>609</v>
      </c>
      <c r="M1" s="6" t="s">
        <v>610</v>
      </c>
      <c r="N1" s="8" t="s">
        <v>611</v>
      </c>
      <c r="O1" s="6" t="s">
        <v>613</v>
      </c>
      <c r="P1" s="6" t="s">
        <v>612</v>
      </c>
      <c r="Q1" s="10" t="s">
        <v>614</v>
      </c>
      <c r="R1" s="6" t="s">
        <v>615</v>
      </c>
      <c r="S1" s="2" t="s">
        <v>616</v>
      </c>
      <c r="T1" s="4" t="s">
        <v>617</v>
      </c>
      <c r="U1" s="2" t="s">
        <v>618</v>
      </c>
      <c r="V1" s="2" t="s">
        <v>619</v>
      </c>
      <c r="W1" s="4" t="s">
        <v>620</v>
      </c>
    </row>
    <row r="2" spans="1:23" x14ac:dyDescent="0.35">
      <c r="A2" t="s">
        <v>521</v>
      </c>
      <c r="B2" s="1">
        <f>_xlfn.XLOOKUP(A2,A1:A600,[1]Sheet3!C78:C677)</f>
        <v>43833</v>
      </c>
      <c r="C2" t="str">
        <f>_xlfn.XLOOKUP(A2,A1:A600,[1]Sheet3!D78:D677)</f>
        <v>CUST64950</v>
      </c>
      <c r="D2" t="str">
        <f>_xlfn.XLOOKUP(A2,A1:A600,[1]Sheet3!E78:E677)</f>
        <v>Nisha Mehta</v>
      </c>
      <c r="E2" s="5">
        <f>_xlfn.XLOOKUP(A2,A1:A600,[1]Sheet3!G78:G677)</f>
        <v>23</v>
      </c>
      <c r="F2" t="str">
        <f>_xlfn.XLOOKUP('Retail Sales'!A79,'Retail Sales'!A78:A677,[1]Sheet3!H78:H677)</f>
        <v>Young Adult</v>
      </c>
      <c r="G2" t="str">
        <f>_xlfn.XLOOKUP(A2,A1:A600,[1]Sheet3!J78:J677)</f>
        <v>Female</v>
      </c>
      <c r="H2" t="str">
        <f>_xlfn.XLOOKUP(A2,A1:A600,[1]Sheet3!K78:K677)</f>
        <v>South</v>
      </c>
      <c r="I2" t="str">
        <f>_xlfn.XLOOKUP(A2,A1:A600,[1]Sheet3!L78:L677)</f>
        <v>Hyderabad</v>
      </c>
      <c r="J2" t="str">
        <f>_xlfn.XLOOKUP(A2,A1:A600,[1]Sheet3!M78:M677)</f>
        <v>Furniture</v>
      </c>
      <c r="K2" t="str">
        <f>_xlfn.XLOOKUP('Retail Sales'!A79,'Retail Sales'!A78:A677,[1]Sheet3!N78:N677)</f>
        <v>Sofa</v>
      </c>
      <c r="L2" s="5">
        <f>_xlfn.XLOOKUP(A2,A1:A600,[1]Sheet3!P78:P677)</f>
        <v>8</v>
      </c>
      <c r="M2" s="7">
        <f>_xlfn.XLOOKUP(A2,A1:A600,[1]Sheet3!Q78:Q677)</f>
        <v>22523.15</v>
      </c>
      <c r="N2" s="9">
        <f>_xlfn.XLOOKUP(A2,A1:A600,[1]Sheet3!S78:S677)</f>
        <v>0.34</v>
      </c>
      <c r="O2" s="7">
        <f>_xlfn.XLOOKUP(A2,A1:A600,[1]Sheet3!T78:T677)</f>
        <v>95036.79</v>
      </c>
      <c r="P2" s="7">
        <f>_xlfn.XLOOKUP(A2,A1:A600,[1]Sheet3!U78:U677)</f>
        <v>29818.97</v>
      </c>
      <c r="Q2" s="11">
        <f>_xlfn.XLOOKUP(A2,A1:A600,[1]Sheet3!V78:V677)</f>
        <v>0.31376238612436302</v>
      </c>
      <c r="R2" s="7">
        <f>_xlfn.XLOOKUP(A2,A1:A600,[1]Sheet3!W78:W677)</f>
        <v>65.72</v>
      </c>
      <c r="S2" t="str">
        <f>_xlfn.XLOOKUP(A2,A1:A600,[1]Sheet3!X78:X677)</f>
        <v>EMI</v>
      </c>
      <c r="T2" s="5">
        <f>_xlfn.XLOOKUP(A2,A1:A600,[1]Sheet3!Z78:Z677)</f>
        <v>2</v>
      </c>
      <c r="U2" t="b">
        <f>_xlfn.XLOOKUP(A2,A1:A600,[1]Sheet3!AA78:AA677)</f>
        <v>0</v>
      </c>
      <c r="V2" t="str">
        <f>_xlfn.XLOOKUP(A2,A1:A600,[1]Sheet3!AC78:AC677)</f>
        <v>Delivered</v>
      </c>
      <c r="W2" s="5">
        <f>_xlfn.XLOOKUP(A2,A1:A600,[1]Sheet3!AE78:AE677)</f>
        <v>5</v>
      </c>
    </row>
    <row r="3" spans="1:23" x14ac:dyDescent="0.35">
      <c r="A3" t="s">
        <v>137</v>
      </c>
      <c r="B3" s="1">
        <f>_xlfn.XLOOKUP(A3,A2:A601,[1]Sheet3!C462:C1061)</f>
        <v>43838</v>
      </c>
      <c r="C3" t="str">
        <f>_xlfn.XLOOKUP(A3,A2:A601,[1]Sheet3!D462:D1061)</f>
        <v>CUST05879</v>
      </c>
      <c r="D3" t="str">
        <f>_xlfn.XLOOKUP(A3,A2:A601,[1]Sheet3!E462:E1061)</f>
        <v>Nisha Nair</v>
      </c>
      <c r="E3" s="5">
        <f>_xlfn.XLOOKUP(A3,A2:A601,[1]Sheet3!G462:G1061)</f>
        <v>12</v>
      </c>
      <c r="F3" t="str">
        <f>_xlfn.XLOOKUP('Retail Sales'!A463,'Retail Sales'!A462:A1061,[1]Sheet3!H462:H1061)</f>
        <v>Child</v>
      </c>
      <c r="G3" t="str">
        <f>_xlfn.XLOOKUP(A3,A2:A601,[1]Sheet3!J462:J1061)</f>
        <v>Other</v>
      </c>
      <c r="H3" t="str">
        <f>_xlfn.XLOOKUP(A3,A2:A601,[1]Sheet3!K462:K1061)</f>
        <v>Central</v>
      </c>
      <c r="I3" t="str">
        <f>_xlfn.XLOOKUP(A3,A2:A601,[1]Sheet3!L462:L1061)</f>
        <v>Nagpur</v>
      </c>
      <c r="J3" t="str">
        <f>_xlfn.XLOOKUP(A3,A2:A601,[1]Sheet3!M462:M1061)</f>
        <v>Sports</v>
      </c>
      <c r="K3" t="str">
        <f>_xlfn.XLOOKUP('Retail Sales'!A463,'Retail Sales'!A462:A1061,[1]Sheet3!N462:N1061)</f>
        <v>Dumbbells</v>
      </c>
      <c r="L3" s="5">
        <f>_xlfn.XLOOKUP(A3,A2:A601,[1]Sheet3!P462:P1061)</f>
        <v>2</v>
      </c>
      <c r="M3" s="7">
        <f>_xlfn.XLOOKUP(A3,A2:A601,[1]Sheet3!Q462:Q1061)</f>
        <v>2448.88</v>
      </c>
      <c r="N3" s="9">
        <f>_xlfn.XLOOKUP(A3,A2:A601,[1]Sheet3!S462:S1061)</f>
        <v>0.08</v>
      </c>
      <c r="O3" s="7">
        <f>_xlfn.XLOOKUP(A3,A2:A601,[1]Sheet3!T462:T1061)</f>
        <v>3192.22</v>
      </c>
      <c r="P3" s="7">
        <f>_xlfn.XLOOKUP(A3,A2:A601,[1]Sheet3!U462:U1061)</f>
        <v>355.63</v>
      </c>
      <c r="Q3" s="11">
        <f>_xlfn.XLOOKUP(A3,A2:A601,[1]Sheet3!V462:V1061)</f>
        <v>0.11140522896291609</v>
      </c>
      <c r="R3" s="7">
        <f>_xlfn.XLOOKUP(A3,A2:A601,[1]Sheet3!W462:W1061)</f>
        <v>47.54</v>
      </c>
      <c r="S3" t="str">
        <f>_xlfn.XLOOKUP(A3,A2:A601,[1]Sheet3!X462:X1061)</f>
        <v>Cash on Delivery</v>
      </c>
      <c r="T3" s="5">
        <f>_xlfn.XLOOKUP(A3,A2:A601,[1]Sheet3!Z462:Z1061)</f>
        <v>3</v>
      </c>
      <c r="U3" t="b">
        <f>_xlfn.XLOOKUP(A3,A2:A601,[1]Sheet3!AA462:AA1061)</f>
        <v>0</v>
      </c>
      <c r="V3" t="str">
        <f>_xlfn.XLOOKUP(A3,A2:A601,[1]Sheet3!AC462:AC1061)</f>
        <v>Delivered</v>
      </c>
      <c r="W3" s="5">
        <f>_xlfn.XLOOKUP(A3,A2:A601,[1]Sheet3!AE462:AE1061)</f>
        <v>9</v>
      </c>
    </row>
    <row r="4" spans="1:23" x14ac:dyDescent="0.35">
      <c r="A4" t="s">
        <v>559</v>
      </c>
      <c r="B4" s="1">
        <f>_xlfn.XLOOKUP(A4,A3:A602,[1]Sheet3!C40:C639)</f>
        <v>43840</v>
      </c>
      <c r="C4" t="str">
        <f>_xlfn.XLOOKUP(A4,A3:A602,[1]Sheet3!D40:D639)</f>
        <v>CUST91373</v>
      </c>
      <c r="D4" t="str">
        <f>_xlfn.XLOOKUP(A4,A3:A602,[1]Sheet3!E40:E639)</f>
        <v>Karan Iyer</v>
      </c>
      <c r="E4" s="5">
        <f>_xlfn.XLOOKUP(A4,A3:A602,[1]Sheet3!G40:G639)</f>
        <v>52</v>
      </c>
      <c r="F4" t="str">
        <f>_xlfn.XLOOKUP('Retail Sales'!A41,'Retail Sales'!A40:A639,[1]Sheet3!H40:H639)</f>
        <v>Senior</v>
      </c>
      <c r="G4" t="str">
        <f>_xlfn.XLOOKUP(A4,A3:A602,[1]Sheet3!J40:J639)</f>
        <v>Female</v>
      </c>
      <c r="H4" t="str">
        <f>_xlfn.XLOOKUP(A4,A3:A602,[1]Sheet3!K40:K639)</f>
        <v>West</v>
      </c>
      <c r="I4" t="str">
        <f>_xlfn.XLOOKUP(A4,A3:A602,[1]Sheet3!L40:L639)</f>
        <v>Mumbai</v>
      </c>
      <c r="J4" t="str">
        <f>_xlfn.XLOOKUP(A4,A3:A602,[1]Sheet3!M40:M639)</f>
        <v>Books</v>
      </c>
      <c r="K4" t="str">
        <f>_xlfn.XLOOKUP('Retail Sales'!A41,'Retail Sales'!A40:A639,[1]Sheet3!N40:N639)</f>
        <v>Cook Book</v>
      </c>
      <c r="L4" s="5">
        <f>_xlfn.XLOOKUP(A4,A3:A602,[1]Sheet3!P40:P639)</f>
        <v>10</v>
      </c>
      <c r="M4" s="7">
        <f>_xlfn.XLOOKUP(A4,A3:A602,[1]Sheet3!Q40:Q639)</f>
        <v>324.41000000000003</v>
      </c>
      <c r="N4" s="9">
        <f>_xlfn.XLOOKUP(A4,A3:A602,[1]Sheet3!S40:S639)</f>
        <v>0.32</v>
      </c>
      <c r="O4" s="7">
        <f>_xlfn.XLOOKUP(A4,A3:A602,[1]Sheet3!T40:T639)</f>
        <v>1810.18</v>
      </c>
      <c r="P4" s="7">
        <f>_xlfn.XLOOKUP(A4,A3:A602,[1]Sheet3!U40:U639)</f>
        <v>903.99</v>
      </c>
      <c r="Q4" s="11">
        <f>_xlfn.XLOOKUP(A4,A3:A602,[1]Sheet3!V40:V639)</f>
        <v>0.49939232562507596</v>
      </c>
      <c r="R4" s="7">
        <f>_xlfn.XLOOKUP(A4,A3:A602,[1]Sheet3!W40:W639)</f>
        <v>48.24</v>
      </c>
      <c r="S4" t="str">
        <f>_xlfn.XLOOKUP(A4,A3:A602,[1]Sheet3!X40:X639)</f>
        <v>UPI</v>
      </c>
      <c r="T4" s="5">
        <f>_xlfn.XLOOKUP(A4,A3:A602,[1]Sheet3!Z40:Z639)</f>
        <v>3</v>
      </c>
      <c r="U4" t="b">
        <f>_xlfn.XLOOKUP(A4,A3:A602,[1]Sheet3!AA40:AA639)</f>
        <v>0</v>
      </c>
      <c r="V4" t="str">
        <f>_xlfn.XLOOKUP(A4,A3:A602,[1]Sheet3!AC40:AC639)</f>
        <v>Delivered</v>
      </c>
      <c r="W4" s="5">
        <f>_xlfn.XLOOKUP(A4,A3:A602,[1]Sheet3!AE40:AE639)</f>
        <v>4</v>
      </c>
    </row>
    <row r="5" spans="1:23" x14ac:dyDescent="0.35">
      <c r="A5" t="s">
        <v>45</v>
      </c>
      <c r="B5" s="1">
        <f>_xlfn.XLOOKUP(A5,A4:A603,[1]Sheet3!C554:C1153)</f>
        <v>43841</v>
      </c>
      <c r="C5" t="str">
        <f>_xlfn.XLOOKUP(A5,A4:A603,[1]Sheet3!D554:D1153)</f>
        <v>CUST03400</v>
      </c>
      <c r="D5" t="str">
        <f>_xlfn.XLOOKUP(A5,A4:A603,[1]Sheet3!E554:E1153)</f>
        <v>Karan Mishra</v>
      </c>
      <c r="E5" s="5">
        <f>_xlfn.XLOOKUP(A5,A4:A603,[1]Sheet3!G554:G1153)</f>
        <v>23</v>
      </c>
      <c r="F5" t="str">
        <f>_xlfn.XLOOKUP('Retail Sales'!A555,'Retail Sales'!A554:A1153,[1]Sheet3!H554:H1153)</f>
        <v>Young Adult</v>
      </c>
      <c r="G5" t="str">
        <f>_xlfn.XLOOKUP(A5,A4:A603,[1]Sheet3!J554:J1153)</f>
        <v>Male</v>
      </c>
      <c r="H5" t="str">
        <f>_xlfn.XLOOKUP(A5,A4:A603,[1]Sheet3!K554:K1153)</f>
        <v>Central</v>
      </c>
      <c r="I5" t="str">
        <f>_xlfn.XLOOKUP(A5,A4:A603,[1]Sheet3!L554:L1153)</f>
        <v>Indore</v>
      </c>
      <c r="J5" t="str">
        <f>_xlfn.XLOOKUP(A5,A4:A603,[1]Sheet3!M554:M1153)</f>
        <v>Sports</v>
      </c>
      <c r="K5" t="str">
        <f>_xlfn.XLOOKUP('Retail Sales'!A555,'Retail Sales'!A554:A1153,[1]Sheet3!N554:N1153)</f>
        <v>Football</v>
      </c>
      <c r="L5" s="5">
        <f>_xlfn.XLOOKUP(A5,A4:A603,[1]Sheet3!P554:P1153)</f>
        <v>7</v>
      </c>
      <c r="M5" s="7">
        <f>_xlfn.XLOOKUP(A5,A4:A603,[1]Sheet3!Q554:Q1153)</f>
        <v>12178.99</v>
      </c>
      <c r="N5" s="9">
        <f>_xlfn.XLOOKUP(A5,A4:A603,[1]Sheet3!S554:S1153)</f>
        <v>0.01</v>
      </c>
      <c r="O5" s="7">
        <f>_xlfn.XLOOKUP(A5,A4:A603,[1]Sheet3!T554:T1153)</f>
        <v>66009.55</v>
      </c>
      <c r="P5" s="7">
        <f>_xlfn.XLOOKUP(A5,A4:A603,[1]Sheet3!U554:U1153)</f>
        <v>17076.439999999999</v>
      </c>
      <c r="Q5" s="11">
        <f>_xlfn.XLOOKUP(A5,A4:A603,[1]Sheet3!V554:V1153)</f>
        <v>0.25869650679333517</v>
      </c>
      <c r="R5" s="7">
        <f>_xlfn.XLOOKUP(A5,A4:A603,[1]Sheet3!W554:W1153)</f>
        <v>51.51</v>
      </c>
      <c r="S5" t="str">
        <f>_xlfn.XLOOKUP(A5,A4:A603,[1]Sheet3!X554:X1153)</f>
        <v>UPI</v>
      </c>
      <c r="T5" s="5">
        <f>_xlfn.XLOOKUP(A5,A4:A603,[1]Sheet3!Z554:Z1153)</f>
        <v>5</v>
      </c>
      <c r="U5" t="b">
        <f>_xlfn.XLOOKUP(A5,A4:A603,[1]Sheet3!AA554:AA1153)</f>
        <v>0</v>
      </c>
      <c r="V5" t="str">
        <f>_xlfn.XLOOKUP(A5,A4:A603,[1]Sheet3!AC554:AC1153)</f>
        <v>Cancelled</v>
      </c>
      <c r="W5" s="5">
        <f>_xlfn.XLOOKUP(A5,A4:A603,[1]Sheet3!AE554:AE1153)</f>
        <v>10</v>
      </c>
    </row>
    <row r="6" spans="1:23" x14ac:dyDescent="0.35">
      <c r="A6" t="s">
        <v>305</v>
      </c>
      <c r="B6" s="1">
        <f>_xlfn.XLOOKUP(A6,A5:A604,[1]Sheet3!C294:C893)</f>
        <v>43842</v>
      </c>
      <c r="C6" t="str">
        <f>_xlfn.XLOOKUP(A6,A5:A604,[1]Sheet3!D294:D893)</f>
        <v>CUST21613</v>
      </c>
      <c r="D6" t="str">
        <f>_xlfn.XLOOKUP(A6,A5:A604,[1]Sheet3!E294:E893)</f>
        <v>Arjun Das</v>
      </c>
      <c r="E6" s="5">
        <f>_xlfn.XLOOKUP(A6,A5:A604,[1]Sheet3!G294:G893)</f>
        <v>49</v>
      </c>
      <c r="F6" t="str">
        <f>_xlfn.XLOOKUP('Retail Sales'!A295,'Retail Sales'!A294:A893,[1]Sheet3!H294:H893)</f>
        <v>Adult</v>
      </c>
      <c r="G6" t="str">
        <f>_xlfn.XLOOKUP(A6,A5:A604,[1]Sheet3!J294:J893)</f>
        <v>Other</v>
      </c>
      <c r="H6" t="str">
        <f>_xlfn.XLOOKUP(A6,A5:A604,[1]Sheet3!K294:K893)</f>
        <v>West</v>
      </c>
      <c r="I6" t="str">
        <f>_xlfn.XLOOKUP(A6,A5:A604,[1]Sheet3!L294:L893)</f>
        <v>Mumbai</v>
      </c>
      <c r="J6" t="str">
        <f>_xlfn.XLOOKUP(A6,A5:A604,[1]Sheet3!M294:M893)</f>
        <v>Groceries</v>
      </c>
      <c r="K6" t="str">
        <f>_xlfn.XLOOKUP('Retail Sales'!A295,'Retail Sales'!A294:A893,[1]Sheet3!N294:N893)</f>
        <v>Flour</v>
      </c>
      <c r="L6" s="5">
        <f>_xlfn.XLOOKUP(A6,A5:A604,[1]Sheet3!P294:P893)</f>
        <v>7.0954861111111107</v>
      </c>
      <c r="M6" s="7">
        <f>_xlfn.XLOOKUP(A6,A5:A604,[1]Sheet3!Q294:Q893)</f>
        <v>315.85000000000002</v>
      </c>
      <c r="N6" s="9">
        <f>_xlfn.XLOOKUP(A6,A5:A604,[1]Sheet3!S294:S893)</f>
        <v>0.13</v>
      </c>
      <c r="O6" s="7">
        <f>_xlfn.XLOOKUP(A6,A5:A604,[1]Sheet3!T294:T893)</f>
        <v>203.41</v>
      </c>
      <c r="P6" s="7">
        <f>_xlfn.XLOOKUP(A6,A5:A604,[1]Sheet3!U294:U893)</f>
        <v>13.82</v>
      </c>
      <c r="Q6" s="11">
        <f>_xlfn.XLOOKUP(A6,A5:A604,[1]Sheet3!V294:V893)</f>
        <v>6.7941595791750659E-2</v>
      </c>
      <c r="R6" s="7">
        <f>_xlfn.XLOOKUP(A6,A5:A604,[1]Sheet3!W294:W893)</f>
        <v>60.46</v>
      </c>
      <c r="S6" t="str">
        <f>_xlfn.XLOOKUP(A6,A5:A604,[1]Sheet3!X294:X893)</f>
        <v>Cash on Delivery</v>
      </c>
      <c r="T6" s="5">
        <f>_xlfn.XLOOKUP(A6,A5:A604,[1]Sheet3!Z294:Z893)</f>
        <v>5</v>
      </c>
      <c r="U6" t="b">
        <f>_xlfn.XLOOKUP(A6,A5:A604,[1]Sheet3!AA294:AA893)</f>
        <v>0</v>
      </c>
      <c r="V6" t="str">
        <f>_xlfn.XLOOKUP(A6,A5:A604,[1]Sheet3!AC294:AC893)</f>
        <v>Delivered</v>
      </c>
      <c r="W6" s="5">
        <f>_xlfn.XLOOKUP(A6,A5:A604,[1]Sheet3!AE294:AE893)</f>
        <v>10</v>
      </c>
    </row>
    <row r="7" spans="1:23" x14ac:dyDescent="0.35">
      <c r="A7" t="s">
        <v>346</v>
      </c>
      <c r="B7" s="1">
        <f>_xlfn.XLOOKUP(A7,A6:A605,[1]Sheet3!C253:C852)</f>
        <v>43844</v>
      </c>
      <c r="C7" t="str">
        <f>_xlfn.XLOOKUP(A7,A6:A605,[1]Sheet3!D253:D852)</f>
        <v>CUST79223</v>
      </c>
      <c r="D7" t="str">
        <f>_xlfn.XLOOKUP(A7,A6:A605,[1]Sheet3!E253:E852)</f>
        <v>Sunita Reddy</v>
      </c>
      <c r="E7" s="5">
        <f>_xlfn.XLOOKUP(A7,A6:A605,[1]Sheet3!G253:G852)</f>
        <v>20</v>
      </c>
      <c r="F7" t="str">
        <f>_xlfn.XLOOKUP('Retail Sales'!A254,'Retail Sales'!A253:A852,[1]Sheet3!H253:H852)</f>
        <v>Young Adult</v>
      </c>
      <c r="G7" t="str">
        <f>_xlfn.XLOOKUP(A7,A6:A605,[1]Sheet3!J253:J852)</f>
        <v>Male</v>
      </c>
      <c r="H7" t="str">
        <f>_xlfn.XLOOKUP(A7,A6:A605,[1]Sheet3!K253:K852)</f>
        <v>East</v>
      </c>
      <c r="I7" t="str">
        <f>_xlfn.XLOOKUP(A7,A6:A605,[1]Sheet3!L253:L852)</f>
        <v>Kolkata</v>
      </c>
      <c r="J7" t="str">
        <f>_xlfn.XLOOKUP(A7,A6:A605,[1]Sheet3!M253:M852)</f>
        <v>Books</v>
      </c>
      <c r="K7" t="str">
        <f>_xlfn.XLOOKUP('Retail Sales'!A254,'Retail Sales'!A253:A852,[1]Sheet3!N253:N852)</f>
        <v>Fiction Novel</v>
      </c>
      <c r="L7" s="5">
        <f>_xlfn.XLOOKUP(A7,A6:A605,[1]Sheet3!P253:P852)</f>
        <v>1</v>
      </c>
      <c r="M7" s="7">
        <f>_xlfn.XLOOKUP(A7,A6:A605,[1]Sheet3!Q253:Q852)</f>
        <v>1172.06</v>
      </c>
      <c r="N7" s="9">
        <f>_xlfn.XLOOKUP(A7,A6:A605,[1]Sheet3!S253:S852)</f>
        <v>0.18</v>
      </c>
      <c r="O7" s="7">
        <f>_xlfn.XLOOKUP(A7,A6:A605,[1]Sheet3!T253:T852)</f>
        <v>613.66</v>
      </c>
      <c r="P7" s="7">
        <f>_xlfn.XLOOKUP(A7,A6:A605,[1]Sheet3!U253:U852)</f>
        <v>243.99</v>
      </c>
      <c r="Q7" s="11">
        <f>_xlfn.XLOOKUP(A7,A6:A605,[1]Sheet3!V253:V852)</f>
        <v>0.3975980184466969</v>
      </c>
      <c r="R7" s="7">
        <f>_xlfn.XLOOKUP(A7,A6:A605,[1]Sheet3!W253:W852)</f>
        <v>62.05</v>
      </c>
      <c r="S7" t="str">
        <f>_xlfn.XLOOKUP(A7,A6:A605,[1]Sheet3!X253:X852)</f>
        <v>Cash on Delivery</v>
      </c>
      <c r="T7" s="5">
        <f>_xlfn.XLOOKUP(A7,A6:A605,[1]Sheet3!Z253:Z852)</f>
        <v>4</v>
      </c>
      <c r="U7" t="b">
        <f>_xlfn.XLOOKUP(A7,A6:A605,[1]Sheet3!AA253:AA852)</f>
        <v>0</v>
      </c>
      <c r="V7" t="str">
        <f>_xlfn.XLOOKUP(A7,A6:A605,[1]Sheet3!AC253:AC852)</f>
        <v>Delivered</v>
      </c>
      <c r="W7" s="5">
        <f>_xlfn.XLOOKUP(A7,A6:A605,[1]Sheet3!AE253:AE852)</f>
        <v>1</v>
      </c>
    </row>
    <row r="8" spans="1:23" x14ac:dyDescent="0.35">
      <c r="A8" t="s">
        <v>579</v>
      </c>
      <c r="B8" s="1">
        <f>_xlfn.XLOOKUP(A8,A7:A606,[1]Sheet3!C20:C619)</f>
        <v>43849</v>
      </c>
      <c r="C8" t="str">
        <f>_xlfn.XLOOKUP(A8,A7:A606,[1]Sheet3!D20:D619)</f>
        <v>CUST43401</v>
      </c>
      <c r="D8" t="str">
        <f>_xlfn.XLOOKUP(A8,A7:A606,[1]Sheet3!E20:E619)</f>
        <v>Sanjay Bose</v>
      </c>
      <c r="E8" s="5">
        <f>_xlfn.XLOOKUP(A8,A7:A606,[1]Sheet3!G20:G619)</f>
        <v>21</v>
      </c>
      <c r="F8" t="str">
        <f>_xlfn.XLOOKUP('Retail Sales'!A21,'Retail Sales'!A20:A619,[1]Sheet3!H20:H619)</f>
        <v>Young Adult</v>
      </c>
      <c r="G8" t="str">
        <f>_xlfn.XLOOKUP(A8,A7:A606,[1]Sheet3!J20:J619)</f>
        <v>Other</v>
      </c>
      <c r="H8" t="str">
        <f>_xlfn.XLOOKUP(A8,A7:A606,[1]Sheet3!K20:K619)</f>
        <v>North</v>
      </c>
      <c r="I8" t="str">
        <f>_xlfn.XLOOKUP(A8,A7:A606,[1]Sheet3!L20:L619)</f>
        <v>Delhi</v>
      </c>
      <c r="J8" t="str">
        <f>_xlfn.XLOOKUP(A8,A7:A606,[1]Sheet3!M20:M619)</f>
        <v>Furniture</v>
      </c>
      <c r="K8" t="str">
        <f>_xlfn.XLOOKUP('Retail Sales'!A21,'Retail Sales'!A20:A619,[1]Sheet3!N20:N619)</f>
        <v>Sofa</v>
      </c>
      <c r="L8" s="5">
        <f>_xlfn.XLOOKUP(A8,A7:A606,[1]Sheet3!P20:P619)</f>
        <v>3</v>
      </c>
      <c r="M8" s="7">
        <f>_xlfn.XLOOKUP(A8,A7:A606,[1]Sheet3!Q20:Q619)</f>
        <v>34890.629999999997</v>
      </c>
      <c r="N8" s="9">
        <f>_xlfn.XLOOKUP(A8,A7:A606,[1]Sheet3!S20:S619)</f>
        <v>0.28999999999999998</v>
      </c>
      <c r="O8" s="7">
        <f>_xlfn.XLOOKUP(A8,A7:A606,[1]Sheet3!T20:T619)</f>
        <v>64727.53</v>
      </c>
      <c r="P8" s="7">
        <f>_xlfn.XLOOKUP(A8,A7:A606,[1]Sheet3!U20:U619)</f>
        <v>18067.63</v>
      </c>
      <c r="Q8" s="11">
        <f>_xlfn.XLOOKUP(A8,A7:A606,[1]Sheet3!V20:V619)</f>
        <v>0.27913362366832167</v>
      </c>
      <c r="R8" s="7">
        <f>_xlfn.XLOOKUP(A8,A7:A606,[1]Sheet3!W20:W619)</f>
        <v>40.97</v>
      </c>
      <c r="S8" t="str">
        <f>_xlfn.XLOOKUP(A8,A7:A606,[1]Sheet3!X20:X619)</f>
        <v>Net Banking</v>
      </c>
      <c r="T8" s="5">
        <f>_xlfn.XLOOKUP(A8,A7:A606,[1]Sheet3!Z20:Z619)</f>
        <v>5</v>
      </c>
      <c r="U8" t="b">
        <f>_xlfn.XLOOKUP(A8,A7:A606,[1]Sheet3!AA20:AA619)</f>
        <v>0</v>
      </c>
      <c r="V8" t="str">
        <f>_xlfn.XLOOKUP(A8,A7:A606,[1]Sheet3!AC20:AC619)</f>
        <v>Shipped</v>
      </c>
      <c r="W8" s="5">
        <f>_xlfn.XLOOKUP(A8,A7:A606,[1]Sheet3!AE20:AE619)</f>
        <v>3</v>
      </c>
    </row>
    <row r="9" spans="1:23" x14ac:dyDescent="0.35">
      <c r="A9" t="s">
        <v>13</v>
      </c>
      <c r="B9" s="1">
        <f>_xlfn.XLOOKUP(A9,A8:A607,[1]Sheet3!C586:C1185)</f>
        <v>43850</v>
      </c>
      <c r="C9" t="str">
        <f>_xlfn.XLOOKUP(A9,A8:A607,[1]Sheet3!D586:D1185)</f>
        <v>CUST27973</v>
      </c>
      <c r="D9" t="str">
        <f>_xlfn.XLOOKUP(A9,A8:A607,[1]Sheet3!E586:E1185)</f>
        <v>Shreya Pillai</v>
      </c>
      <c r="E9" s="5">
        <f>_xlfn.XLOOKUP(A9,A8:A607,[1]Sheet3!G586:G1185)</f>
        <v>13</v>
      </c>
      <c r="F9" t="str">
        <f>_xlfn.XLOOKUP('Retail Sales'!A587,'Retail Sales'!A586:A1185,[1]Sheet3!H586:H1185)</f>
        <v>Teen</v>
      </c>
      <c r="G9" t="str">
        <f>_xlfn.XLOOKUP(A9,A8:A607,[1]Sheet3!J586:J1185)</f>
        <v>Male</v>
      </c>
      <c r="H9" t="str">
        <f>_xlfn.XLOOKUP(A9,A8:A607,[1]Sheet3!K586:K1185)</f>
        <v>South</v>
      </c>
      <c r="I9" t="str">
        <f>_xlfn.XLOOKUP(A9,A8:A607,[1]Sheet3!L586:L1185)</f>
        <v>Hyderabad</v>
      </c>
      <c r="J9" t="str">
        <f>_xlfn.XLOOKUP(A9,A8:A607,[1]Sheet3!M586:M1185)</f>
        <v>Beauty</v>
      </c>
      <c r="K9" t="str">
        <f>_xlfn.XLOOKUP('Retail Sales'!A587,'Retail Sales'!A586:A1185,[1]Sheet3!N586:N1185)</f>
        <v>Perfume</v>
      </c>
      <c r="L9" s="5">
        <f>_xlfn.XLOOKUP(A9,A8:A607,[1]Sheet3!P586:P1185)</f>
        <v>6</v>
      </c>
      <c r="M9" s="7">
        <f>_xlfn.XLOOKUP(A9,A8:A607,[1]Sheet3!Q586:Q1185)</f>
        <v>1952.59</v>
      </c>
      <c r="N9" s="9">
        <f>_xlfn.XLOOKUP(A9,A8:A607,[1]Sheet3!S586:S1185)</f>
        <v>0.14000000000000001</v>
      </c>
      <c r="O9" s="7">
        <f>_xlfn.XLOOKUP(A9,A8:A607,[1]Sheet3!T586:T1185)</f>
        <v>6658.21</v>
      </c>
      <c r="P9" s="7">
        <f>_xlfn.XLOOKUP(A9,A8:A607,[1]Sheet3!U586:U1185)</f>
        <v>3867.94</v>
      </c>
      <c r="Q9" s="11">
        <f>_xlfn.XLOOKUP(A9,A8:A607,[1]Sheet3!V586:V1185)</f>
        <v>0.58092790705009301</v>
      </c>
      <c r="R9" s="7">
        <f>_xlfn.XLOOKUP(A9,A8:A607,[1]Sheet3!W586:W1185)</f>
        <v>38.17</v>
      </c>
      <c r="S9" t="str">
        <f>_xlfn.XLOOKUP(A9,A8:A607,[1]Sheet3!X586:X1185)</f>
        <v>Credit Card</v>
      </c>
      <c r="T9" s="5">
        <f>_xlfn.XLOOKUP(A9,A8:A607,[1]Sheet3!Z586:Z1185)</f>
        <v>1</v>
      </c>
      <c r="U9" t="b">
        <f>_xlfn.XLOOKUP(A9,A8:A607,[1]Sheet3!AA586:AA1185)</f>
        <v>0</v>
      </c>
      <c r="V9" t="str">
        <f>_xlfn.XLOOKUP(A9,A8:A607,[1]Sheet3!AC586:AC1185)</f>
        <v>Shipped</v>
      </c>
      <c r="W9" s="5">
        <f>_xlfn.XLOOKUP(A9,A8:A607,[1]Sheet3!AE586:AE1185)</f>
        <v>8</v>
      </c>
    </row>
    <row r="10" spans="1:23" x14ac:dyDescent="0.35">
      <c r="A10" t="s">
        <v>388</v>
      </c>
      <c r="B10" s="1">
        <f>_xlfn.XLOOKUP(A10,A9:A608,[1]Sheet3!C211:C810)</f>
        <v>43851</v>
      </c>
      <c r="C10" t="str">
        <f>_xlfn.XLOOKUP(A10,A9:A608,[1]Sheet3!D211:D810)</f>
        <v>CUST07190</v>
      </c>
      <c r="D10" t="str">
        <f>_xlfn.XLOOKUP(A10,A9:A608,[1]Sheet3!E211:E810)</f>
        <v>Deepa Kapoor</v>
      </c>
      <c r="E10" s="5">
        <f>_xlfn.XLOOKUP(A10,A9:A608,[1]Sheet3!G211:G810)</f>
        <v>33</v>
      </c>
      <c r="F10" t="str">
        <f>_xlfn.XLOOKUP('Retail Sales'!A212,'Retail Sales'!A211:A810,[1]Sheet3!H211:H810)</f>
        <v>Young Adult</v>
      </c>
      <c r="G10" t="str">
        <f>_xlfn.XLOOKUP(A10,A9:A608,[1]Sheet3!J211:J810)</f>
        <v>Other</v>
      </c>
      <c r="H10" t="str">
        <f>_xlfn.XLOOKUP(A10,A9:A608,[1]Sheet3!K211:K810)</f>
        <v>East</v>
      </c>
      <c r="I10" t="str">
        <f>_xlfn.XLOOKUP(A10,A9:A608,[1]Sheet3!L211:L810)</f>
        <v>Guwahati</v>
      </c>
      <c r="J10" t="str">
        <f>_xlfn.XLOOKUP(A10,A9:A608,[1]Sheet3!M211:M810)</f>
        <v>Beauty</v>
      </c>
      <c r="K10" t="str">
        <f>_xlfn.XLOOKUP('Retail Sales'!A212,'Retail Sales'!A211:A810,[1]Sheet3!N211:N810)</f>
        <v>Lipstick</v>
      </c>
      <c r="L10" s="5">
        <f>_xlfn.XLOOKUP(A10,A9:A608,[1]Sheet3!P211:P810)</f>
        <v>9</v>
      </c>
      <c r="M10" s="7">
        <f>_xlfn.XLOOKUP(A10,A9:A608,[1]Sheet3!Q211:Q810)</f>
        <v>1931.61</v>
      </c>
      <c r="N10" s="9">
        <f>_xlfn.XLOOKUP(A10,A9:A608,[1]Sheet3!S211:S810)</f>
        <v>0.35</v>
      </c>
      <c r="O10" s="7">
        <f>_xlfn.XLOOKUP(A10,A9:A608,[1]Sheet3!T211:T810)</f>
        <v>10532.18</v>
      </c>
      <c r="P10" s="7">
        <f>_xlfn.XLOOKUP(A10,A9:A608,[1]Sheet3!U211:U810)</f>
        <v>5257.88</v>
      </c>
      <c r="Q10" s="11">
        <f>_xlfn.XLOOKUP(A10,A9:A608,[1]Sheet3!V211:V810)</f>
        <v>0.49922048426821419</v>
      </c>
      <c r="R10" s="7">
        <f>_xlfn.XLOOKUP(A10,A9:A608,[1]Sheet3!W211:W810)</f>
        <v>98.73</v>
      </c>
      <c r="S10" t="str">
        <f>_xlfn.XLOOKUP(A10,A9:A608,[1]Sheet3!X211:X810)</f>
        <v>Net Banking</v>
      </c>
      <c r="T10" s="5">
        <f>_xlfn.XLOOKUP(A10,A9:A608,[1]Sheet3!Z211:Z810)</f>
        <v>5</v>
      </c>
      <c r="U10" t="b">
        <f>_xlfn.XLOOKUP(A10,A9:A608,[1]Sheet3!AA211:AA810)</f>
        <v>0</v>
      </c>
      <c r="V10" t="str">
        <f>_xlfn.XLOOKUP(A10,A9:A608,[1]Sheet3!AC211:AC810)</f>
        <v>Delivered</v>
      </c>
      <c r="W10" s="5">
        <f>_xlfn.XLOOKUP(A10,A9:A608,[1]Sheet3!AE211:AE810)</f>
        <v>3</v>
      </c>
    </row>
    <row r="11" spans="1:23" x14ac:dyDescent="0.35">
      <c r="A11" t="s">
        <v>520</v>
      </c>
      <c r="B11" s="1">
        <f>_xlfn.XLOOKUP(A11,A10:A609,[1]Sheet3!C79:C678)</f>
        <v>43852</v>
      </c>
      <c r="C11" t="str">
        <f>_xlfn.XLOOKUP(A11,A10:A609,[1]Sheet3!D79:D678)</f>
        <v>CUST60127</v>
      </c>
      <c r="D11" t="str">
        <f>_xlfn.XLOOKUP(A11,A10:A609,[1]Sheet3!E79:E678)</f>
        <v>Ritu Kapoor</v>
      </c>
      <c r="E11" s="5">
        <f>_xlfn.XLOOKUP(A11,A10:A609,[1]Sheet3!G79:G678)</f>
        <v>16</v>
      </c>
      <c r="F11" t="str">
        <f>_xlfn.XLOOKUP('Retail Sales'!A80,'Retail Sales'!A79:A678,[1]Sheet3!H79:H678)</f>
        <v>Teen</v>
      </c>
      <c r="G11" t="str">
        <f>_xlfn.XLOOKUP(A11,A10:A609,[1]Sheet3!J79:J678)</f>
        <v>Other</v>
      </c>
      <c r="H11" t="str">
        <f>_xlfn.XLOOKUP(A11,A10:A609,[1]Sheet3!K79:K678)</f>
        <v>South</v>
      </c>
      <c r="I11" t="str">
        <f>_xlfn.XLOOKUP(A11,A10:A609,[1]Sheet3!L79:L678)</f>
        <v>Bangalore</v>
      </c>
      <c r="J11" t="str">
        <f>_xlfn.XLOOKUP(A11,A10:A609,[1]Sheet3!M79:M678)</f>
        <v>Books</v>
      </c>
      <c r="K11" t="str">
        <f>_xlfn.XLOOKUP('Retail Sales'!A80,'Retail Sales'!A79:A678,[1]Sheet3!N79:N678)</f>
        <v>Textbook</v>
      </c>
      <c r="L11" s="5">
        <f>_xlfn.XLOOKUP(A11,A10:A609,[1]Sheet3!P79:P678)</f>
        <v>4</v>
      </c>
      <c r="M11" s="7">
        <f>_xlfn.XLOOKUP(A11,A10:A609,[1]Sheet3!Q79:Q678)</f>
        <v>363.32</v>
      </c>
      <c r="N11" s="9">
        <f>_xlfn.XLOOKUP(A11,A10:A609,[1]Sheet3!S79:S678)</f>
        <v>7.0000000000000007E-2</v>
      </c>
      <c r="O11" s="7">
        <f>_xlfn.XLOOKUP(A11,A10:A609,[1]Sheet3!T79:T678)</f>
        <v>1026.5</v>
      </c>
      <c r="P11" s="7">
        <f>_xlfn.XLOOKUP(A11,A10:A609,[1]Sheet3!U79:U678)</f>
        <v>410.28</v>
      </c>
      <c r="Q11" s="11">
        <f>_xlfn.XLOOKUP(A11,A10:A609,[1]Sheet3!V79:V678)</f>
        <v>0.39968826108134436</v>
      </c>
      <c r="R11" s="7">
        <f>_xlfn.XLOOKUP(A11,A10:A609,[1]Sheet3!W79:W678)</f>
        <v>89.93</v>
      </c>
      <c r="S11" t="str">
        <f>_xlfn.XLOOKUP(A11,A10:A609,[1]Sheet3!X79:X678)</f>
        <v>EMI</v>
      </c>
      <c r="T11" s="5">
        <f>_xlfn.XLOOKUP(A11,A10:A609,[1]Sheet3!Z79:Z678)</f>
        <v>5</v>
      </c>
      <c r="U11" t="b">
        <f>_xlfn.XLOOKUP(A11,A10:A609,[1]Sheet3!AA79:AA678)</f>
        <v>0</v>
      </c>
      <c r="V11" t="str">
        <f>_xlfn.XLOOKUP(A11,A10:A609,[1]Sheet3!AC79:AC678)</f>
        <v>Shipped</v>
      </c>
      <c r="W11" s="5">
        <f>_xlfn.XLOOKUP(A11,A10:A609,[1]Sheet3!AE79:AE678)</f>
        <v>5</v>
      </c>
    </row>
    <row r="12" spans="1:23" x14ac:dyDescent="0.35">
      <c r="A12" t="s">
        <v>452</v>
      </c>
      <c r="B12" s="1">
        <f>_xlfn.XLOOKUP(A12,A11:A610,[1]Sheet3!C147:C746)</f>
        <v>43858</v>
      </c>
      <c r="C12" t="str">
        <f>_xlfn.XLOOKUP(A12,A11:A610,[1]Sheet3!D147:D746)</f>
        <v>CUST44662</v>
      </c>
      <c r="D12" t="str">
        <f>_xlfn.XLOOKUP(A12,A11:A610,[1]Sheet3!E147:E746)</f>
        <v>Ananya Nair</v>
      </c>
      <c r="E12" s="5">
        <f>_xlfn.XLOOKUP(A12,A11:A610,[1]Sheet3!G147:G746)</f>
        <v>34.294220665499125</v>
      </c>
      <c r="F12" t="str">
        <f>_xlfn.XLOOKUP('Retail Sales'!A148,'Retail Sales'!A147:A746,[1]Sheet3!H147:H746)</f>
        <v>Young Adult</v>
      </c>
      <c r="G12" t="str">
        <f>_xlfn.XLOOKUP(A12,A11:A610,[1]Sheet3!J147:J746)</f>
        <v>Male</v>
      </c>
      <c r="H12" t="str">
        <f>_xlfn.XLOOKUP(A12,A11:A610,[1]Sheet3!K147:K746)</f>
        <v>North</v>
      </c>
      <c r="I12" t="str">
        <f>_xlfn.XLOOKUP(A12,A11:A610,[1]Sheet3!L147:L746)</f>
        <v>Delhi</v>
      </c>
      <c r="J12" t="str">
        <f>_xlfn.XLOOKUP(A12,A11:A610,[1]Sheet3!M147:M746)</f>
        <v>Sports</v>
      </c>
      <c r="K12" t="str">
        <f>_xlfn.XLOOKUP('Retail Sales'!A148,'Retail Sales'!A147:A746,[1]Sheet3!N147:N746)</f>
        <v>Dumbbells</v>
      </c>
      <c r="L12" s="5">
        <f>_xlfn.XLOOKUP(A12,A11:A610,[1]Sheet3!P147:P746)</f>
        <v>4</v>
      </c>
      <c r="M12" s="7">
        <f>_xlfn.XLOOKUP(A12,A11:A610,[1]Sheet3!Q147:Q746)</f>
        <v>12945.28</v>
      </c>
      <c r="N12" s="9">
        <f>_xlfn.XLOOKUP(A12,A11:A610,[1]Sheet3!S147:S746)</f>
        <v>0.13</v>
      </c>
      <c r="O12" s="7">
        <f>_xlfn.XLOOKUP(A12,A11:A610,[1]Sheet3!T147:T746)</f>
        <v>31129.56</v>
      </c>
      <c r="P12" s="7">
        <f>_xlfn.XLOOKUP(A12,A11:A610,[1]Sheet3!U147:U746)</f>
        <v>7042.29</v>
      </c>
      <c r="Q12" s="11">
        <f>_xlfn.XLOOKUP(A12,A11:A610,[1]Sheet3!V147:V746)</f>
        <v>0.22622516990281905</v>
      </c>
      <c r="R12" s="7">
        <f>_xlfn.XLOOKUP(A12,A11:A610,[1]Sheet3!W147:W746)</f>
        <v>65.38</v>
      </c>
      <c r="S12" t="str">
        <f>_xlfn.XLOOKUP(A12,A11:A610,[1]Sheet3!X147:X746)</f>
        <v>Credit Card</v>
      </c>
      <c r="T12" s="5">
        <f>_xlfn.XLOOKUP(A12,A11:A610,[1]Sheet3!Z147:Z746)</f>
        <v>5</v>
      </c>
      <c r="U12" t="b">
        <f>_xlfn.XLOOKUP(A12,A11:A610,[1]Sheet3!AA147:AA746)</f>
        <v>0</v>
      </c>
      <c r="V12" t="str">
        <f>_xlfn.XLOOKUP(A12,A11:A610,[1]Sheet3!AC147:AC746)</f>
        <v>Delivered</v>
      </c>
      <c r="W12" s="5">
        <f>_xlfn.XLOOKUP(A12,A11:A610,[1]Sheet3!AE147:AE746)</f>
        <v>4</v>
      </c>
    </row>
    <row r="13" spans="1:23" x14ac:dyDescent="0.35">
      <c r="A13" t="s">
        <v>480</v>
      </c>
      <c r="B13" s="1">
        <f>_xlfn.XLOOKUP(A13,A12:A611,[1]Sheet3!C119:C718)</f>
        <v>43864</v>
      </c>
      <c r="C13" t="str">
        <f>_xlfn.XLOOKUP(A13,A12:A611,[1]Sheet3!D119:D718)</f>
        <v>CUST63884</v>
      </c>
      <c r="D13" t="str">
        <f>_xlfn.XLOOKUP(A13,A12:A611,[1]Sheet3!E119:E718)</f>
        <v>Amit Das</v>
      </c>
      <c r="E13" s="5">
        <f>_xlfn.XLOOKUP(A13,A12:A611,[1]Sheet3!G119:G718)</f>
        <v>29</v>
      </c>
      <c r="F13" t="str">
        <f>_xlfn.XLOOKUP('Retail Sales'!A120,'Retail Sales'!A119:A718,[1]Sheet3!H119:H718)</f>
        <v>Young Adult</v>
      </c>
      <c r="G13" t="str">
        <f>_xlfn.XLOOKUP(A13,A12:A611,[1]Sheet3!J119:J718)</f>
        <v>Female</v>
      </c>
      <c r="H13" t="str">
        <f>_xlfn.XLOOKUP(A13,A12:A611,[1]Sheet3!K119:K718)</f>
        <v>West</v>
      </c>
      <c r="I13" t="str">
        <f>_xlfn.XLOOKUP(A13,A12:A611,[1]Sheet3!L119:L718)</f>
        <v>Ahmedabad</v>
      </c>
      <c r="J13" t="str">
        <f>_xlfn.XLOOKUP(A13,A12:A611,[1]Sheet3!M119:M718)</f>
        <v>Furniture</v>
      </c>
      <c r="K13" t="str">
        <f>_xlfn.XLOOKUP('Retail Sales'!A120,'Retail Sales'!A119:A718,[1]Sheet3!N119:N718)</f>
        <v>Chair</v>
      </c>
      <c r="L13" s="5">
        <f>_xlfn.XLOOKUP(A13,A12:A611,[1]Sheet3!P119:P718)</f>
        <v>10</v>
      </c>
      <c r="M13" s="7">
        <f>_xlfn.XLOOKUP(A13,A12:A611,[1]Sheet3!Q119:Q718)</f>
        <v>9468.07</v>
      </c>
      <c r="N13" s="9">
        <f>_xlfn.XLOOKUP(A13,A12:A611,[1]Sheet3!S119:S718)</f>
        <v>0.32</v>
      </c>
      <c r="O13" s="7">
        <f>_xlfn.XLOOKUP(A13,A12:A611,[1]Sheet3!T119:T718)</f>
        <v>57174.239999999998</v>
      </c>
      <c r="P13" s="7">
        <f>_xlfn.XLOOKUP(A13,A12:A611,[1]Sheet3!U119:U718)</f>
        <v>15202.22</v>
      </c>
      <c r="Q13" s="11">
        <f>_xlfn.XLOOKUP(A13,A12:A611,[1]Sheet3!V119:V718)</f>
        <v>0.26589282166234302</v>
      </c>
      <c r="R13" s="7">
        <f>_xlfn.XLOOKUP(A13,A12:A611,[1]Sheet3!W119:W718)</f>
        <v>40.98</v>
      </c>
      <c r="S13" t="str">
        <f>_xlfn.XLOOKUP(A13,A12:A611,[1]Sheet3!X119:X718)</f>
        <v>EMI</v>
      </c>
      <c r="T13" s="5">
        <f>_xlfn.XLOOKUP(A13,A12:A611,[1]Sheet3!Z119:Z718)</f>
        <v>3</v>
      </c>
      <c r="U13" t="b">
        <f>_xlfn.XLOOKUP(A13,A12:A611,[1]Sheet3!AA119:AA718)</f>
        <v>0</v>
      </c>
      <c r="V13" t="str">
        <f>_xlfn.XLOOKUP(A13,A12:A611,[1]Sheet3!AC119:AC718)</f>
        <v>Delivered</v>
      </c>
      <c r="W13" s="5">
        <f>_xlfn.XLOOKUP(A13,A12:A611,[1]Sheet3!AE119:AE718)</f>
        <v>2</v>
      </c>
    </row>
    <row r="14" spans="1:23" x14ac:dyDescent="0.35">
      <c r="A14" t="s">
        <v>70</v>
      </c>
      <c r="B14" s="1">
        <f>_xlfn.XLOOKUP(A14,A13:A612,[1]Sheet3!C529:C1128)</f>
        <v>43867</v>
      </c>
      <c r="C14" t="str">
        <f>_xlfn.XLOOKUP(A14,A13:A612,[1]Sheet3!D529:D1128)</f>
        <v>CUST28742</v>
      </c>
      <c r="D14" t="str">
        <f>_xlfn.XLOOKUP(A14,A13:A612,[1]Sheet3!E529:E1128)</f>
        <v>Kavya Bhat</v>
      </c>
      <c r="E14" s="5">
        <f>_xlfn.XLOOKUP(A14,A13:A612,[1]Sheet3!G529:G1128)</f>
        <v>38</v>
      </c>
      <c r="F14" t="str">
        <f>_xlfn.XLOOKUP('Retail Sales'!A530,'Retail Sales'!A529:A1128,[1]Sheet3!H529:H1128)</f>
        <v>Adult</v>
      </c>
      <c r="G14" t="str">
        <f>_xlfn.XLOOKUP(A14,A13:A612,[1]Sheet3!J529:J1128)</f>
        <v>Female</v>
      </c>
      <c r="H14" t="str">
        <f>_xlfn.XLOOKUP(A14,A13:A612,[1]Sheet3!K529:K1128)</f>
        <v>East</v>
      </c>
      <c r="I14" t="str">
        <f>_xlfn.XLOOKUP(A14,A13:A612,[1]Sheet3!L529:L1128)</f>
        <v>Kolkata</v>
      </c>
      <c r="J14" t="str">
        <f>_xlfn.XLOOKUP(A14,A13:A612,[1]Sheet3!M529:M1128)</f>
        <v>Beauty</v>
      </c>
      <c r="K14" t="str">
        <f>_xlfn.XLOOKUP('Retail Sales'!A530,'Retail Sales'!A529:A1128,[1]Sheet3!N529:N1128)</f>
        <v>Hair Oil</v>
      </c>
      <c r="L14" s="5">
        <f>_xlfn.XLOOKUP(A14,A13:A612,[1]Sheet3!P529:P1128)</f>
        <v>3</v>
      </c>
      <c r="M14" s="7">
        <f>_xlfn.XLOOKUP(A14,A13:A612,[1]Sheet3!Q529:Q1128)</f>
        <v>1535.87</v>
      </c>
      <c r="N14" s="9">
        <f>_xlfn.XLOOKUP(A14,A13:A612,[1]Sheet3!S529:S1128)</f>
        <v>0.04</v>
      </c>
      <c r="O14" s="7">
        <f>_xlfn.XLOOKUP(A14,A13:A612,[1]Sheet3!T529:T1128)</f>
        <v>3186.03</v>
      </c>
      <c r="P14" s="7">
        <f>_xlfn.XLOOKUP(A14,A13:A612,[1]Sheet3!U529:U1128)</f>
        <v>1346.8</v>
      </c>
      <c r="Q14" s="11">
        <f>_xlfn.XLOOKUP(A14,A13:A612,[1]Sheet3!V529:V1128)</f>
        <v>0.42272043891614325</v>
      </c>
      <c r="R14" s="7">
        <f>_xlfn.XLOOKUP(A14,A13:A612,[1]Sheet3!W529:W1128)</f>
        <v>86.51</v>
      </c>
      <c r="S14" t="str">
        <f>_xlfn.XLOOKUP(A14,A13:A612,[1]Sheet3!X529:X1128)</f>
        <v>Cash on Delivery</v>
      </c>
      <c r="T14" s="5">
        <f>_xlfn.XLOOKUP(A14,A13:A612,[1]Sheet3!Z529:Z1128)</f>
        <v>5</v>
      </c>
      <c r="U14" t="b">
        <f>_xlfn.XLOOKUP(A14,A13:A612,[1]Sheet3!AA529:AA1128)</f>
        <v>1</v>
      </c>
      <c r="V14" t="str">
        <f>_xlfn.XLOOKUP(A14,A13:A612,[1]Sheet3!AC529:AC1128)</f>
        <v>Returned</v>
      </c>
      <c r="W14" s="5">
        <f>_xlfn.XLOOKUP(A14,A13:A612,[1]Sheet3!AE529:AE1128)</f>
        <v>7</v>
      </c>
    </row>
    <row r="15" spans="1:23" x14ac:dyDescent="0.35">
      <c r="A15" t="s">
        <v>530</v>
      </c>
      <c r="B15" s="1">
        <f>_xlfn.XLOOKUP(A15,A14:A613,[1]Sheet3!C69:C668)</f>
        <v>43869</v>
      </c>
      <c r="C15" t="str">
        <f>_xlfn.XLOOKUP(A15,A14:A613,[1]Sheet3!D69:D668)</f>
        <v>CUST15599</v>
      </c>
      <c r="D15" t="str">
        <f>_xlfn.XLOOKUP(A15,A14:A613,[1]Sheet3!E69:E668)</f>
        <v>Karan Shah</v>
      </c>
      <c r="E15" s="5">
        <f>_xlfn.XLOOKUP(A15,A14:A613,[1]Sheet3!G69:G668)</f>
        <v>33</v>
      </c>
      <c r="F15" t="str">
        <f>_xlfn.XLOOKUP('Retail Sales'!A70,'Retail Sales'!A69:A668,[1]Sheet3!H69:H668)</f>
        <v>Young Adult</v>
      </c>
      <c r="G15" t="str">
        <f>_xlfn.XLOOKUP(A15,A14:A613,[1]Sheet3!J69:J668)</f>
        <v>Other</v>
      </c>
      <c r="H15" t="str">
        <f>_xlfn.XLOOKUP(A15,A14:A613,[1]Sheet3!K69:K668)</f>
        <v>West</v>
      </c>
      <c r="I15" t="str">
        <f>_xlfn.XLOOKUP(A15,A14:A613,[1]Sheet3!L69:L668)</f>
        <v>Pune</v>
      </c>
      <c r="J15" t="str">
        <f>_xlfn.XLOOKUP(A15,A14:A613,[1]Sheet3!M69:M668)</f>
        <v>Furniture</v>
      </c>
      <c r="K15" t="str">
        <f>_xlfn.XLOOKUP('Retail Sales'!A70,'Retail Sales'!A69:A668,[1]Sheet3!N69:N668)</f>
        <v>Chair</v>
      </c>
      <c r="L15" s="5">
        <f>_xlfn.XLOOKUP(A15,A14:A613,[1]Sheet3!P69:P668)</f>
        <v>9</v>
      </c>
      <c r="M15" s="7">
        <f>_xlfn.XLOOKUP(A15,A14:A613,[1]Sheet3!Q69:Q668)</f>
        <v>22687.65</v>
      </c>
      <c r="N15" s="9">
        <f>_xlfn.XLOOKUP(A15,A14:A613,[1]Sheet3!S69:S668)</f>
        <v>0.33</v>
      </c>
      <c r="O15" s="7">
        <f>_xlfn.XLOOKUP(A15,A14:A613,[1]Sheet3!T69:T668)</f>
        <v>117568.37</v>
      </c>
      <c r="P15" s="7">
        <f>_xlfn.XLOOKUP(A15,A14:A613,[1]Sheet3!U69:U668)</f>
        <v>33050.92</v>
      </c>
      <c r="Q15" s="11">
        <f>_xlfn.XLOOKUP(A15,A14:A613,[1]Sheet3!V69:V668)</f>
        <v>0.2811208490855151</v>
      </c>
      <c r="R15" s="7">
        <f>_xlfn.XLOOKUP(A15,A14:A613,[1]Sheet3!W69:W668)</f>
        <v>45.04</v>
      </c>
      <c r="S15" t="str">
        <f>_xlfn.XLOOKUP(A15,A14:A613,[1]Sheet3!X69:X668)</f>
        <v>Net Banking</v>
      </c>
      <c r="T15" s="5">
        <f>_xlfn.XLOOKUP(A15,A14:A613,[1]Sheet3!Z69:Z668)</f>
        <v>3</v>
      </c>
      <c r="U15" t="b">
        <f>_xlfn.XLOOKUP(A15,A14:A613,[1]Sheet3!AA69:AA668)</f>
        <v>0</v>
      </c>
      <c r="V15" t="str">
        <f>_xlfn.XLOOKUP(A15,A14:A613,[1]Sheet3!AC69:AC668)</f>
        <v>Delivered</v>
      </c>
      <c r="W15" s="5">
        <f>_xlfn.XLOOKUP(A15,A14:A613,[1]Sheet3!AE69:AE668)</f>
        <v>2</v>
      </c>
    </row>
    <row r="16" spans="1:23" x14ac:dyDescent="0.35">
      <c r="A16" t="s">
        <v>488</v>
      </c>
      <c r="B16" s="1">
        <f>_xlfn.XLOOKUP(A16,A15:A614,[1]Sheet3!C111:C710)</f>
        <v>43869</v>
      </c>
      <c r="C16" t="str">
        <f>_xlfn.XLOOKUP(A16,A15:A614,[1]Sheet3!D111:D710)</f>
        <v>CUST45487</v>
      </c>
      <c r="D16" t="str">
        <f>_xlfn.XLOOKUP(A16,A15:A614,[1]Sheet3!E111:E710)</f>
        <v>Sunita Joshi</v>
      </c>
      <c r="E16" s="5">
        <f>_xlfn.XLOOKUP(A16,A15:A614,[1]Sheet3!G111:G710)</f>
        <v>34</v>
      </c>
      <c r="F16" t="str">
        <f>_xlfn.XLOOKUP('Retail Sales'!A112,'Retail Sales'!A111:A710,[1]Sheet3!H111:H710)</f>
        <v>Young Adult</v>
      </c>
      <c r="G16" t="str">
        <f>_xlfn.XLOOKUP(A16,A15:A614,[1]Sheet3!J111:J710)</f>
        <v>Other</v>
      </c>
      <c r="H16" t="str">
        <f>_xlfn.XLOOKUP(A16,A15:A614,[1]Sheet3!K111:K710)</f>
        <v>West</v>
      </c>
      <c r="I16" t="str">
        <f>_xlfn.XLOOKUP(A16,A15:A614,[1]Sheet3!L111:L710)</f>
        <v>Pune</v>
      </c>
      <c r="J16" t="str">
        <f>_xlfn.XLOOKUP(A16,A15:A614,[1]Sheet3!M111:M710)</f>
        <v>Books</v>
      </c>
      <c r="K16" t="str">
        <f>_xlfn.XLOOKUP('Retail Sales'!A112,'Retail Sales'!A111:A710,[1]Sheet3!N111:N710)</f>
        <v>Cook Book</v>
      </c>
      <c r="L16" s="5">
        <f>_xlfn.XLOOKUP(A16,A15:A614,[1]Sheet3!P111:P710)</f>
        <v>8</v>
      </c>
      <c r="M16" s="7">
        <f>_xlfn.XLOOKUP(A16,A15:A614,[1]Sheet3!Q111:Q710)</f>
        <v>1325.02</v>
      </c>
      <c r="N16" s="9">
        <f>_xlfn.XLOOKUP(A16,A15:A614,[1]Sheet3!S111:S710)</f>
        <v>0.09</v>
      </c>
      <c r="O16" s="7">
        <f>_xlfn.XLOOKUP(A16,A15:A614,[1]Sheet3!T111:T710)</f>
        <v>8717.89</v>
      </c>
      <c r="P16" s="7">
        <f>_xlfn.XLOOKUP(A16,A15:A614,[1]Sheet3!U111:U710)</f>
        <v>3265.49</v>
      </c>
      <c r="Q16" s="11">
        <f>_xlfn.XLOOKUP(A16,A15:A614,[1]Sheet3!V111:V710)</f>
        <v>0.37457343462695675</v>
      </c>
      <c r="R16" s="7">
        <f>_xlfn.XLOOKUP(A16,A15:A614,[1]Sheet3!W111:W710)</f>
        <v>41.67</v>
      </c>
      <c r="S16" t="str">
        <f>_xlfn.XLOOKUP(A16,A15:A614,[1]Sheet3!X111:X710)</f>
        <v>Debit Card</v>
      </c>
      <c r="T16" s="5">
        <f>_xlfn.XLOOKUP(A16,A15:A614,[1]Sheet3!Z111:Z710)</f>
        <v>2</v>
      </c>
      <c r="U16" t="b">
        <f>_xlfn.XLOOKUP(A16,A15:A614,[1]Sheet3!AA111:AA710)</f>
        <v>0</v>
      </c>
      <c r="V16" t="str">
        <f>_xlfn.XLOOKUP(A16,A15:A614,[1]Sheet3!AC111:AC710)</f>
        <v>Cancelled</v>
      </c>
      <c r="W16" s="5">
        <f>_xlfn.XLOOKUP(A16,A15:A614,[1]Sheet3!AE111:AE710)</f>
        <v>5</v>
      </c>
    </row>
    <row r="17" spans="1:23" x14ac:dyDescent="0.35">
      <c r="A17" t="s">
        <v>589</v>
      </c>
      <c r="B17" s="1">
        <f>_xlfn.XLOOKUP(A17,A16:A615,[1]Sheet3!C10:C609)</f>
        <v>43870</v>
      </c>
      <c r="C17" t="str">
        <f>_xlfn.XLOOKUP(A17,A16:A615,[1]Sheet3!D10:D609)</f>
        <v>CUST75337</v>
      </c>
      <c r="D17" t="str">
        <f>_xlfn.XLOOKUP(A17,A16:A615,[1]Sheet3!E10:E609)</f>
        <v>Arjun Das</v>
      </c>
      <c r="E17" s="5">
        <f>_xlfn.XLOOKUP(A17,A16:A615,[1]Sheet3!G10:G609)</f>
        <v>17</v>
      </c>
      <c r="F17" t="str">
        <f>_xlfn.XLOOKUP('Retail Sales'!A11,'Retail Sales'!A10:A609,[1]Sheet3!H10:H609)</f>
        <v>Teen</v>
      </c>
      <c r="G17" t="str">
        <f>_xlfn.XLOOKUP(A17,A16:A615,[1]Sheet3!J10:J609)</f>
        <v>Female</v>
      </c>
      <c r="H17" t="str">
        <f>_xlfn.XLOOKUP(A17,A16:A615,[1]Sheet3!K10:K609)</f>
        <v>East</v>
      </c>
      <c r="I17" t="str">
        <f>_xlfn.XLOOKUP(A17,A16:A615,[1]Sheet3!L10:L609)</f>
        <v>Patna</v>
      </c>
      <c r="J17" t="str">
        <f>_xlfn.XLOOKUP(A17,A16:A615,[1]Sheet3!M10:M609)</f>
        <v>Clothing</v>
      </c>
      <c r="K17" t="str">
        <f>_xlfn.XLOOKUP('Retail Sales'!A11,'Retail Sales'!A10:A609,[1]Sheet3!N10:N609)</f>
        <v>Kurta</v>
      </c>
      <c r="L17" s="5">
        <f>_xlfn.XLOOKUP(A17,A16:A615,[1]Sheet3!P10:P609)</f>
        <v>9</v>
      </c>
      <c r="M17" s="7">
        <f>_xlfn.XLOOKUP(A17,A16:A615,[1]Sheet3!Q10:Q609)</f>
        <v>2128.77</v>
      </c>
      <c r="N17" s="9">
        <f>_xlfn.XLOOKUP(A17,A16:A615,[1]Sheet3!S10:S609)</f>
        <v>0.1</v>
      </c>
      <c r="O17" s="7">
        <f>_xlfn.XLOOKUP(A17,A16:A615,[1]Sheet3!T10:T609)</f>
        <v>14568.16</v>
      </c>
      <c r="P17" s="7">
        <f>_xlfn.XLOOKUP(A17,A16:A615,[1]Sheet3!U10:U609)</f>
        <v>4173.45</v>
      </c>
      <c r="Q17" s="11">
        <f>_xlfn.XLOOKUP(A17,A16:A615,[1]Sheet3!V10:V609)</f>
        <v>0.28647749612854334</v>
      </c>
      <c r="R17" s="7">
        <f>_xlfn.XLOOKUP(A17,A16:A615,[1]Sheet3!W10:W609)</f>
        <v>75.33</v>
      </c>
      <c r="S17" t="str">
        <f>_xlfn.XLOOKUP(A17,A16:A615,[1]Sheet3!X10:X609)</f>
        <v>UPI</v>
      </c>
      <c r="T17" s="5">
        <f>_xlfn.XLOOKUP(A17,A16:A615,[1]Sheet3!Z10:Z609)</f>
        <v>3</v>
      </c>
      <c r="U17" t="b">
        <f>_xlfn.XLOOKUP(A17,A16:A615,[1]Sheet3!AA10:AA609)</f>
        <v>0</v>
      </c>
      <c r="V17" t="str">
        <f>_xlfn.XLOOKUP(A17,A16:A615,[1]Sheet3!AC10:AC609)</f>
        <v>Delivered</v>
      </c>
      <c r="W17" s="5">
        <f>_xlfn.XLOOKUP(A17,A16:A615,[1]Sheet3!AE10:AE609)</f>
        <v>8</v>
      </c>
    </row>
    <row r="18" spans="1:23" x14ac:dyDescent="0.35">
      <c r="A18" t="s">
        <v>140</v>
      </c>
      <c r="B18" s="1">
        <f>_xlfn.XLOOKUP(A18,A17:A616,[1]Sheet3!C459:C1058)</f>
        <v>43873</v>
      </c>
      <c r="C18" t="str">
        <f>_xlfn.XLOOKUP(A18,A17:A616,[1]Sheet3!D459:D1058)</f>
        <v>CUST05374</v>
      </c>
      <c r="D18" t="str">
        <f>_xlfn.XLOOKUP(A18,A17:A616,[1]Sheet3!E459:E1058)</f>
        <v>Aditya Chatterjee</v>
      </c>
      <c r="E18" s="5">
        <f>_xlfn.XLOOKUP(A18,A17:A616,[1]Sheet3!G459:G1058)</f>
        <v>39</v>
      </c>
      <c r="F18" t="str">
        <f>_xlfn.XLOOKUP('Retail Sales'!A460,'Retail Sales'!A459:A1058,[1]Sheet3!H459:H1058)</f>
        <v>Adult</v>
      </c>
      <c r="G18" t="str">
        <f>_xlfn.XLOOKUP(A18,A17:A616,[1]Sheet3!J459:J1058)</f>
        <v>Female</v>
      </c>
      <c r="H18" t="str">
        <f>_xlfn.XLOOKUP(A18,A17:A616,[1]Sheet3!K459:K1058)</f>
        <v>South</v>
      </c>
      <c r="I18" t="str">
        <f>_xlfn.XLOOKUP(A18,A17:A616,[1]Sheet3!L459:L1058)</f>
        <v>Chennai</v>
      </c>
      <c r="J18" t="str">
        <f>_xlfn.XLOOKUP(A18,A17:A616,[1]Sheet3!M459:M1058)</f>
        <v>Beauty</v>
      </c>
      <c r="K18" t="str">
        <f>_xlfn.XLOOKUP('Retail Sales'!A460,'Retail Sales'!A459:A1058,[1]Sheet3!N459:N1058)</f>
        <v>Hair Oil</v>
      </c>
      <c r="L18" s="5">
        <f>_xlfn.XLOOKUP(A18,A17:A616,[1]Sheet3!P459:P1058)</f>
        <v>6</v>
      </c>
      <c r="M18" s="7">
        <f>_xlfn.XLOOKUP(A18,A17:A616,[1]Sheet3!Q459:Q1058)</f>
        <v>1270.3599999999999</v>
      </c>
      <c r="N18" s="9">
        <f>_xlfn.XLOOKUP(A18,A17:A616,[1]Sheet3!S459:S1058)</f>
        <v>0.06</v>
      </c>
      <c r="O18" s="7">
        <f>_xlfn.XLOOKUP(A18,A17:A616,[1]Sheet3!T459:T1058)</f>
        <v>5747.77</v>
      </c>
      <c r="P18" s="7">
        <f>_xlfn.XLOOKUP(A18,A17:A616,[1]Sheet3!U459:U1058)</f>
        <v>2669</v>
      </c>
      <c r="Q18" s="11">
        <f>_xlfn.XLOOKUP(A18,A17:A616,[1]Sheet3!V459:V1058)</f>
        <v>0.46435400163889645</v>
      </c>
      <c r="R18" s="7">
        <f>_xlfn.XLOOKUP(A18,A17:A616,[1]Sheet3!W459:W1058)</f>
        <v>62.46</v>
      </c>
      <c r="S18" t="str">
        <f>_xlfn.XLOOKUP(A18,A17:A616,[1]Sheet3!X459:X1058)</f>
        <v>EMI</v>
      </c>
      <c r="T18" s="5">
        <f>_xlfn.XLOOKUP(A18,A17:A616,[1]Sheet3!Z459:Z1058)</f>
        <v>3</v>
      </c>
      <c r="U18" t="b">
        <f>_xlfn.XLOOKUP(A18,A17:A616,[1]Sheet3!AA459:AA1058)</f>
        <v>0</v>
      </c>
      <c r="V18" t="str">
        <f>_xlfn.XLOOKUP(A18,A17:A616,[1]Sheet3!AC459:AC1058)</f>
        <v>Delivered</v>
      </c>
      <c r="W18" s="5">
        <f>_xlfn.XLOOKUP(A18,A17:A616,[1]Sheet3!AE459:AE1058)</f>
        <v>8</v>
      </c>
    </row>
    <row r="19" spans="1:23" x14ac:dyDescent="0.35">
      <c r="A19" t="s">
        <v>539</v>
      </c>
      <c r="B19" s="1">
        <f>_xlfn.XLOOKUP(A19,A18:A617,[1]Sheet3!C60:C659)</f>
        <v>43873</v>
      </c>
      <c r="C19" t="str">
        <f>_xlfn.XLOOKUP(A19,A18:A617,[1]Sheet3!D60:D659)</f>
        <v>CUST33188</v>
      </c>
      <c r="D19" t="str">
        <f>_xlfn.XLOOKUP(A19,A18:A617,[1]Sheet3!E60:E659)</f>
        <v>Sanjay Joshi</v>
      </c>
      <c r="E19" s="5">
        <f>_xlfn.XLOOKUP(A19,A18:A617,[1]Sheet3!G60:G659)</f>
        <v>48</v>
      </c>
      <c r="F19" t="str">
        <f>_xlfn.XLOOKUP('Retail Sales'!A61,'Retail Sales'!A60:A659,[1]Sheet3!H60:H659)</f>
        <v>Adult</v>
      </c>
      <c r="G19" t="str">
        <f>_xlfn.XLOOKUP(A19,A18:A617,[1]Sheet3!J60:J659)</f>
        <v>Female</v>
      </c>
      <c r="H19" t="str">
        <f>_xlfn.XLOOKUP(A19,A18:A617,[1]Sheet3!K60:K659)</f>
        <v>South</v>
      </c>
      <c r="I19" t="str">
        <f>_xlfn.XLOOKUP(A19,A18:A617,[1]Sheet3!L60:L659)</f>
        <v>Kochi</v>
      </c>
      <c r="J19" t="str">
        <f>_xlfn.XLOOKUP(A19,A18:A617,[1]Sheet3!M60:M659)</f>
        <v>Sports</v>
      </c>
      <c r="K19" t="str">
        <f>_xlfn.XLOOKUP('Retail Sales'!A61,'Retail Sales'!A60:A659,[1]Sheet3!N60:N659)</f>
        <v>Cycle</v>
      </c>
      <c r="L19" s="5">
        <f>_xlfn.XLOOKUP(A19,A18:A617,[1]Sheet3!P60:P659)</f>
        <v>3</v>
      </c>
      <c r="M19" s="7">
        <f>_xlfn.XLOOKUP(A19,A18:A617,[1]Sheet3!Q60:Q659)</f>
        <v>6047.51</v>
      </c>
      <c r="N19" s="9">
        <f>_xlfn.XLOOKUP(A19,A18:A617,[1]Sheet3!S60:S659)</f>
        <v>0.08</v>
      </c>
      <c r="O19" s="7">
        <f>_xlfn.XLOOKUP(A19,A18:A617,[1]Sheet3!T60:T659)</f>
        <v>13365.94</v>
      </c>
      <c r="P19" s="7">
        <f>_xlfn.XLOOKUP(A19,A18:A617,[1]Sheet3!U60:U659)</f>
        <v>2741.49</v>
      </c>
      <c r="Q19" s="11">
        <f>_xlfn.XLOOKUP(A19,A18:A617,[1]Sheet3!V60:V659)</f>
        <v>0.20511015312054368</v>
      </c>
      <c r="R19" s="7">
        <f>_xlfn.XLOOKUP(A19,A18:A617,[1]Sheet3!W60:W659)</f>
        <v>36.15</v>
      </c>
      <c r="S19" t="str">
        <f>_xlfn.XLOOKUP(A19,A18:A617,[1]Sheet3!X60:X659)</f>
        <v>Debit Card</v>
      </c>
      <c r="T19" s="5">
        <f>_xlfn.XLOOKUP(A19,A18:A617,[1]Sheet3!Z60:Z659)</f>
        <v>4</v>
      </c>
      <c r="U19" t="b">
        <f>_xlfn.XLOOKUP(A19,A18:A617,[1]Sheet3!AA60:AA659)</f>
        <v>0</v>
      </c>
      <c r="V19" t="str">
        <f>_xlfn.XLOOKUP(A19,A18:A617,[1]Sheet3!AC60:AC659)</f>
        <v>Delivered</v>
      </c>
      <c r="W19" s="5">
        <f>_xlfn.XLOOKUP(A19,A18:A617,[1]Sheet3!AE60:AE659)</f>
        <v>3</v>
      </c>
    </row>
    <row r="20" spans="1:23" x14ac:dyDescent="0.35">
      <c r="A20" t="s">
        <v>30</v>
      </c>
      <c r="B20" s="1">
        <f>_xlfn.XLOOKUP(A20,A19:A618,[1]Sheet3!C569:C1168)</f>
        <v>43880</v>
      </c>
      <c r="C20" t="str">
        <f>_xlfn.XLOOKUP(A20,A19:A618,[1]Sheet3!D569:D1168)</f>
        <v>CUST20302</v>
      </c>
      <c r="D20" t="str">
        <f>_xlfn.XLOOKUP(A20,A19:A618,[1]Sheet3!E569:E1168)</f>
        <v>Aditya Gupta</v>
      </c>
      <c r="E20" s="5">
        <f>_xlfn.XLOOKUP(A20,A19:A618,[1]Sheet3!G569:G1168)</f>
        <v>48</v>
      </c>
      <c r="F20" t="str">
        <f>_xlfn.XLOOKUP('Retail Sales'!A570,'Retail Sales'!A569:A1168,[1]Sheet3!H569:H1168)</f>
        <v>Adult</v>
      </c>
      <c r="G20" t="str">
        <f>_xlfn.XLOOKUP(A20,A19:A618,[1]Sheet3!J569:J1168)</f>
        <v>Other</v>
      </c>
      <c r="H20" t="str">
        <f>_xlfn.XLOOKUP(A20,A19:A618,[1]Sheet3!K569:K1168)</f>
        <v>South</v>
      </c>
      <c r="I20" t="str">
        <f>_xlfn.XLOOKUP(A20,A19:A618,[1]Sheet3!L569:L1168)</f>
        <v>Bangalore</v>
      </c>
      <c r="J20" t="str">
        <f>_xlfn.XLOOKUP(A20,A19:A618,[1]Sheet3!M569:M1168)</f>
        <v>Clothing</v>
      </c>
      <c r="K20" t="str">
        <f>_xlfn.XLOOKUP('Retail Sales'!A570,'Retail Sales'!A569:A1168,[1]Sheet3!N569:N1168)</f>
        <v>Saree</v>
      </c>
      <c r="L20" s="5">
        <f>_xlfn.XLOOKUP(A20,A19:A618,[1]Sheet3!P569:P1168)</f>
        <v>8</v>
      </c>
      <c r="M20" s="7">
        <f>_xlfn.XLOOKUP(A20,A19:A618,[1]Sheet3!Q569:Q1168)</f>
        <v>967.73</v>
      </c>
      <c r="N20" s="9">
        <f>_xlfn.XLOOKUP(A20,A19:A618,[1]Sheet3!S569:S1168)</f>
        <v>0.36</v>
      </c>
      <c r="O20" s="7">
        <f>_xlfn.XLOOKUP(A20,A19:A618,[1]Sheet3!T569:T1168)</f>
        <v>4117.6000000000004</v>
      </c>
      <c r="P20" s="7">
        <f>_xlfn.XLOOKUP(A20,A19:A618,[1]Sheet3!U569:U1168)</f>
        <v>1596.92</v>
      </c>
      <c r="Q20" s="11">
        <f>_xlfn.XLOOKUP(A20,A19:A618,[1]Sheet3!V569:V1168)</f>
        <v>0.38782786088983873</v>
      </c>
      <c r="R20" s="7">
        <f>_xlfn.XLOOKUP(A20,A19:A618,[1]Sheet3!W569:W1168)</f>
        <v>73.930000000000007</v>
      </c>
      <c r="S20" t="str">
        <f>_xlfn.XLOOKUP(A20,A19:A618,[1]Sheet3!X569:X1168)</f>
        <v>Credit Card</v>
      </c>
      <c r="T20" s="5">
        <f>_xlfn.XLOOKUP(A20,A19:A618,[1]Sheet3!Z569:Z1168)</f>
        <v>3</v>
      </c>
      <c r="U20" t="b">
        <f>_xlfn.XLOOKUP(A20,A19:A618,[1]Sheet3!AA569:AA1168)</f>
        <v>1</v>
      </c>
      <c r="V20" t="str">
        <f>_xlfn.XLOOKUP(A20,A19:A618,[1]Sheet3!AC569:AC1168)</f>
        <v>Returned</v>
      </c>
      <c r="W20" s="5">
        <f>_xlfn.XLOOKUP(A20,A19:A618,[1]Sheet3!AE569:AE1168)</f>
        <v>6</v>
      </c>
    </row>
    <row r="21" spans="1:23" x14ac:dyDescent="0.35">
      <c r="A21" t="s">
        <v>268</v>
      </c>
      <c r="B21" s="1">
        <f>_xlfn.XLOOKUP(A21,A20:A619,[1]Sheet3!C331:C930)</f>
        <v>43881</v>
      </c>
      <c r="C21" t="str">
        <f>_xlfn.XLOOKUP(A21,A20:A619,[1]Sheet3!D331:D930)</f>
        <v>CUST73625</v>
      </c>
      <c r="D21" t="str">
        <f>_xlfn.XLOOKUP(A21,A20:A619,[1]Sheet3!E331:E930)</f>
        <v>Nisha Bose</v>
      </c>
      <c r="E21" s="5">
        <f>_xlfn.XLOOKUP(A21,A20:A619,[1]Sheet3!G331:G930)</f>
        <v>28</v>
      </c>
      <c r="F21" t="str">
        <f>_xlfn.XLOOKUP('Retail Sales'!A332,'Retail Sales'!A331:A930,[1]Sheet3!H331:H930)</f>
        <v>Young Adult</v>
      </c>
      <c r="G21" t="str">
        <f>_xlfn.XLOOKUP(A21,A20:A619,[1]Sheet3!J331:J930)</f>
        <v>Other</v>
      </c>
      <c r="H21" t="str">
        <f>_xlfn.XLOOKUP(A21,A20:A619,[1]Sheet3!K331:K930)</f>
        <v>East</v>
      </c>
      <c r="I21" t="str">
        <f>_xlfn.XLOOKUP(A21,A20:A619,[1]Sheet3!L331:L930)</f>
        <v>Guwahati</v>
      </c>
      <c r="J21" t="str">
        <f>_xlfn.XLOOKUP(A21,A20:A619,[1]Sheet3!M331:M930)</f>
        <v>Books</v>
      </c>
      <c r="K21" t="str">
        <f>_xlfn.XLOOKUP('Retail Sales'!A332,'Retail Sales'!A331:A930,[1]Sheet3!N331:N930)</f>
        <v>Textbook</v>
      </c>
      <c r="L21" s="5">
        <f>_xlfn.XLOOKUP(A21,A20:A619,[1]Sheet3!P331:P930)</f>
        <v>10</v>
      </c>
      <c r="M21" s="7">
        <f>_xlfn.XLOOKUP(A21,A20:A619,[1]Sheet3!Q331:Q930)</f>
        <v>327.54000000000002</v>
      </c>
      <c r="N21" s="9">
        <f>_xlfn.XLOOKUP(A21,A20:A619,[1]Sheet3!S331:S930)</f>
        <v>0.15</v>
      </c>
      <c r="O21" s="7">
        <f>_xlfn.XLOOKUP(A21,A20:A619,[1]Sheet3!T331:T930)</f>
        <v>2755.17</v>
      </c>
      <c r="P21" s="7">
        <f>_xlfn.XLOOKUP(A21,A20:A619,[1]Sheet3!U331:U930)</f>
        <v>1528.85</v>
      </c>
      <c r="Q21" s="11">
        <f>_xlfn.XLOOKUP(A21,A20:A619,[1]Sheet3!V331:V930)</f>
        <v>0.55490223833738017</v>
      </c>
      <c r="R21" s="7">
        <f>_xlfn.XLOOKUP(A21,A20:A619,[1]Sheet3!W331:W930)</f>
        <v>80.58</v>
      </c>
      <c r="S21" t="str">
        <f>_xlfn.XLOOKUP(A21,A20:A619,[1]Sheet3!X331:X930)</f>
        <v>Debit Card</v>
      </c>
      <c r="T21" s="5">
        <f>_xlfn.XLOOKUP(A21,A20:A619,[1]Sheet3!Z331:Z930)</f>
        <v>5</v>
      </c>
      <c r="U21" t="b">
        <f>_xlfn.XLOOKUP(A21,A20:A619,[1]Sheet3!AA331:AA930)</f>
        <v>1</v>
      </c>
      <c r="V21" t="str">
        <f>_xlfn.XLOOKUP(A21,A20:A619,[1]Sheet3!AC331:AC930)</f>
        <v>Returned</v>
      </c>
      <c r="W21" s="5">
        <f>_xlfn.XLOOKUP(A21,A20:A619,[1]Sheet3!AE331:AE930)</f>
        <v>2</v>
      </c>
    </row>
    <row r="22" spans="1:23" x14ac:dyDescent="0.35">
      <c r="A22" t="s">
        <v>252</v>
      </c>
      <c r="B22" s="1">
        <f>_xlfn.XLOOKUP(A22,A21:A620,[1]Sheet3!C347:C946)</f>
        <v>43881</v>
      </c>
      <c r="C22" t="str">
        <f>_xlfn.XLOOKUP(A22,A21:A620,[1]Sheet3!D347:D946)</f>
        <v>CUST20387</v>
      </c>
      <c r="D22" t="str">
        <f>_xlfn.XLOOKUP(A22,A21:A620,[1]Sheet3!E347:E946)</f>
        <v>Ritu Mishra</v>
      </c>
      <c r="E22" s="5">
        <f>_xlfn.XLOOKUP(A22,A21:A620,[1]Sheet3!G347:G946)</f>
        <v>26</v>
      </c>
      <c r="F22" t="str">
        <f>_xlfn.XLOOKUP('Retail Sales'!A348,'Retail Sales'!A347:A946,[1]Sheet3!H347:H946)</f>
        <v>Young Adult</v>
      </c>
      <c r="G22" t="str">
        <f>_xlfn.XLOOKUP(A22,A21:A620,[1]Sheet3!J347:J946)</f>
        <v>Female</v>
      </c>
      <c r="H22" t="str">
        <f>_xlfn.XLOOKUP(A22,A21:A620,[1]Sheet3!K347:K946)</f>
        <v>South</v>
      </c>
      <c r="I22" t="str">
        <f>_xlfn.XLOOKUP(A22,A21:A620,[1]Sheet3!L347:L946)</f>
        <v>Kochi</v>
      </c>
      <c r="J22" t="str">
        <f>_xlfn.XLOOKUP(A22,A21:A620,[1]Sheet3!M347:M946)</f>
        <v>Beauty</v>
      </c>
      <c r="K22" t="str">
        <f>_xlfn.XLOOKUP('Retail Sales'!A348,'Retail Sales'!A347:A946,[1]Sheet3!N347:N946)</f>
        <v>Lipstick</v>
      </c>
      <c r="L22" s="5">
        <f>_xlfn.XLOOKUP(A22,A21:A620,[1]Sheet3!P347:P946)</f>
        <v>2</v>
      </c>
      <c r="M22" s="7">
        <f>_xlfn.XLOOKUP(A22,A21:A620,[1]Sheet3!Q347:Q946)</f>
        <v>959.97</v>
      </c>
      <c r="N22" s="9">
        <f>_xlfn.XLOOKUP(A22,A21:A620,[1]Sheet3!S347:S946)</f>
        <v>0.05</v>
      </c>
      <c r="O22" s="7">
        <f>_xlfn.XLOOKUP(A22,A21:A620,[1]Sheet3!T347:T946)</f>
        <v>1563.91</v>
      </c>
      <c r="P22" s="7">
        <f>_xlfn.XLOOKUP(A22,A21:A620,[1]Sheet3!U347:U946)</f>
        <v>630.51</v>
      </c>
      <c r="Q22" s="11">
        <f>_xlfn.XLOOKUP(A22,A21:A620,[1]Sheet3!V347:V946)</f>
        <v>0.40316258608231931</v>
      </c>
      <c r="R22" s="7">
        <f>_xlfn.XLOOKUP(A22,A21:A620,[1]Sheet3!W347:W946)</f>
        <v>71.849999999999994</v>
      </c>
      <c r="S22" t="str">
        <f>_xlfn.XLOOKUP(A22,A21:A620,[1]Sheet3!X347:X946)</f>
        <v>EMI</v>
      </c>
      <c r="T22" s="5">
        <f>_xlfn.XLOOKUP(A22,A21:A620,[1]Sheet3!Z347:Z946)</f>
        <v>4</v>
      </c>
      <c r="U22" t="b">
        <f>_xlfn.XLOOKUP(A22,A21:A620,[1]Sheet3!AA347:AA946)</f>
        <v>0</v>
      </c>
      <c r="V22" t="str">
        <f>_xlfn.XLOOKUP(A22,A21:A620,[1]Sheet3!AC347:AC946)</f>
        <v>Delivered</v>
      </c>
      <c r="W22" s="5">
        <f>_xlfn.XLOOKUP(A22,A21:A620,[1]Sheet3!AE347:AE946)</f>
        <v>2</v>
      </c>
    </row>
    <row r="23" spans="1:23" x14ac:dyDescent="0.35">
      <c r="A23" t="s">
        <v>102</v>
      </c>
      <c r="B23" s="1">
        <f>_xlfn.XLOOKUP(A23,A22:A621,[1]Sheet3!C497:C1096)</f>
        <v>43885</v>
      </c>
      <c r="C23" t="str">
        <f>_xlfn.XLOOKUP(A23,A22:A621,[1]Sheet3!D497:D1096)</f>
        <v>CUST54691</v>
      </c>
      <c r="D23" t="str">
        <f>_xlfn.XLOOKUP(A23,A22:A621,[1]Sheet3!E497:E1096)</f>
        <v>Priya Shah</v>
      </c>
      <c r="E23" s="5">
        <f>_xlfn.XLOOKUP(A23,A22:A621,[1]Sheet3!G497:G1096)</f>
        <v>27</v>
      </c>
      <c r="F23" t="str">
        <f>_xlfn.XLOOKUP('Retail Sales'!A498,'Retail Sales'!A497:A1096,[1]Sheet3!H497:H1096)</f>
        <v>Young Adult</v>
      </c>
      <c r="G23" t="str">
        <f>_xlfn.XLOOKUP(A23,A22:A621,[1]Sheet3!J497:J1096)</f>
        <v>Female</v>
      </c>
      <c r="H23" t="str">
        <f>_xlfn.XLOOKUP(A23,A22:A621,[1]Sheet3!K497:K1096)</f>
        <v>East</v>
      </c>
      <c r="I23" t="str">
        <f>_xlfn.XLOOKUP(A23,A22:A621,[1]Sheet3!L497:L1096)</f>
        <v>Patna</v>
      </c>
      <c r="J23" t="str">
        <f>_xlfn.XLOOKUP(A23,A22:A621,[1]Sheet3!M497:M1096)</f>
        <v>Beauty</v>
      </c>
      <c r="K23" t="str">
        <f>_xlfn.XLOOKUP('Retail Sales'!A498,'Retail Sales'!A497:A1096,[1]Sheet3!N497:N1096)</f>
        <v>Sunscreen</v>
      </c>
      <c r="L23" s="5">
        <f>_xlfn.XLOOKUP(A23,A22:A621,[1]Sheet3!P497:P1096)</f>
        <v>3</v>
      </c>
      <c r="M23" s="7">
        <f>_xlfn.XLOOKUP(A23,A22:A621,[1]Sheet3!Q497:Q1096)</f>
        <v>1655.54</v>
      </c>
      <c r="N23" s="9">
        <f>_xlfn.XLOOKUP(A23,A22:A621,[1]Sheet3!S497:S1096)</f>
        <v>0.25</v>
      </c>
      <c r="O23" s="7">
        <f>_xlfn.XLOOKUP(A23,A22:A621,[1]Sheet3!T497:T1096)</f>
        <v>2825.92</v>
      </c>
      <c r="P23" s="7">
        <f>_xlfn.XLOOKUP(A23,A22:A621,[1]Sheet3!U497:U1096)</f>
        <v>1777.23</v>
      </c>
      <c r="Q23" s="11">
        <f>_xlfn.XLOOKUP(A23,A22:A621,[1]Sheet3!V497:V1096)</f>
        <v>0.6289031536632318</v>
      </c>
      <c r="R23" s="7">
        <f>_xlfn.XLOOKUP(A23,A22:A621,[1]Sheet3!W497:W1096)</f>
        <v>81.69</v>
      </c>
      <c r="S23" t="str">
        <f>_xlfn.XLOOKUP(A23,A22:A621,[1]Sheet3!X497:X1096)</f>
        <v>UPI</v>
      </c>
      <c r="T23" s="5">
        <f>_xlfn.XLOOKUP(A23,A22:A621,[1]Sheet3!Z497:Z1096)</f>
        <v>3</v>
      </c>
      <c r="U23" t="b">
        <f>_xlfn.XLOOKUP(A23,A22:A621,[1]Sheet3!AA497:AA1096)</f>
        <v>0</v>
      </c>
      <c r="V23" t="str">
        <f>_xlfn.XLOOKUP(A23,A22:A621,[1]Sheet3!AC497:AC1096)</f>
        <v>Delivered</v>
      </c>
      <c r="W23" s="5">
        <f>_xlfn.XLOOKUP(A23,A22:A621,[1]Sheet3!AE497:AE1096)</f>
        <v>5</v>
      </c>
    </row>
    <row r="24" spans="1:23" x14ac:dyDescent="0.35">
      <c r="A24" t="s">
        <v>204</v>
      </c>
      <c r="B24" s="1">
        <f>_xlfn.XLOOKUP(A24,A23:A622,[1]Sheet3!C395:C994)</f>
        <v>43888</v>
      </c>
      <c r="C24" t="str">
        <f>_xlfn.XLOOKUP(A24,A23:A622,[1]Sheet3!D395:D994)</f>
        <v>CUST82516</v>
      </c>
      <c r="D24" t="str">
        <f>_xlfn.XLOOKUP(A24,A23:A622,[1]Sheet3!E395:E994)</f>
        <v>Ritu Joshi</v>
      </c>
      <c r="E24" s="5">
        <f>_xlfn.XLOOKUP(A24,A23:A622,[1]Sheet3!G395:G994)</f>
        <v>40</v>
      </c>
      <c r="F24" t="str">
        <f>_xlfn.XLOOKUP('Retail Sales'!A396,'Retail Sales'!A395:A994,[1]Sheet3!H395:H994)</f>
        <v>Adult</v>
      </c>
      <c r="G24" t="str">
        <f>_xlfn.XLOOKUP(A24,A23:A622,[1]Sheet3!J395:J994)</f>
        <v>Female</v>
      </c>
      <c r="H24" t="str">
        <f>_xlfn.XLOOKUP(A24,A23:A622,[1]Sheet3!K395:K994)</f>
        <v>East</v>
      </c>
      <c r="I24" t="str">
        <f>_xlfn.XLOOKUP(A24,A23:A622,[1]Sheet3!L395:L994)</f>
        <v>Bhubaneswar</v>
      </c>
      <c r="J24" t="str">
        <f>_xlfn.XLOOKUP(A24,A23:A622,[1]Sheet3!M395:M994)</f>
        <v>Sports</v>
      </c>
      <c r="K24" t="str">
        <f>_xlfn.XLOOKUP('Retail Sales'!A396,'Retail Sales'!A395:A994,[1]Sheet3!N395:N994)</f>
        <v>Tennis Racket</v>
      </c>
      <c r="L24" s="5">
        <f>_xlfn.XLOOKUP(A24,A23:A622,[1]Sheet3!P395:P994)</f>
        <v>1</v>
      </c>
      <c r="M24" s="7">
        <f>_xlfn.XLOOKUP(A24,A23:A622,[1]Sheet3!Q395:Q994)</f>
        <v>11227.96</v>
      </c>
      <c r="N24" s="9">
        <f>_xlfn.XLOOKUP(A24,A23:A622,[1]Sheet3!S395:S994)</f>
        <v>0.31</v>
      </c>
      <c r="O24" s="7">
        <f>_xlfn.XLOOKUP(A24,A23:A622,[1]Sheet3!T395:T994)</f>
        <v>6220.68</v>
      </c>
      <c r="P24" s="7">
        <f>_xlfn.XLOOKUP(A24,A23:A622,[1]Sheet3!U395:U994)</f>
        <v>1706.13</v>
      </c>
      <c r="Q24" s="11">
        <f>_xlfn.XLOOKUP(A24,A23:A622,[1]Sheet3!V395:V994)</f>
        <v>0.27426744343062176</v>
      </c>
      <c r="R24" s="7">
        <f>_xlfn.XLOOKUP(A24,A23:A622,[1]Sheet3!W395:W994)</f>
        <v>87.6</v>
      </c>
      <c r="S24" t="str">
        <f>_xlfn.XLOOKUP(A24,A23:A622,[1]Sheet3!X395:X994)</f>
        <v>Net Banking</v>
      </c>
      <c r="T24" s="5">
        <f>_xlfn.XLOOKUP(A24,A23:A622,[1]Sheet3!Z395:Z994)</f>
        <v>2</v>
      </c>
      <c r="U24" t="b">
        <f>_xlfn.XLOOKUP(A24,A23:A622,[1]Sheet3!AA395:AA994)</f>
        <v>0</v>
      </c>
      <c r="V24" t="str">
        <f>_xlfn.XLOOKUP(A24,A23:A622,[1]Sheet3!AC395:AC994)</f>
        <v>Shipped</v>
      </c>
      <c r="W24" s="5">
        <f>_xlfn.XLOOKUP(A24,A23:A622,[1]Sheet3!AE395:AE994)</f>
        <v>3</v>
      </c>
    </row>
    <row r="25" spans="1:23" x14ac:dyDescent="0.35">
      <c r="A25" t="s">
        <v>500</v>
      </c>
      <c r="B25" s="1">
        <f>_xlfn.XLOOKUP(A25,A24:A623,[1]Sheet3!C99:C698)</f>
        <v>43897</v>
      </c>
      <c r="C25" t="str">
        <f>_xlfn.XLOOKUP(A25,A24:A623,[1]Sheet3!D99:D698)</f>
        <v>CUST56042</v>
      </c>
      <c r="D25" t="str">
        <f>_xlfn.XLOOKUP(A25,A24:A623,[1]Sheet3!E99:E698)</f>
        <v>Deepa Rao</v>
      </c>
      <c r="E25" s="5">
        <f>_xlfn.XLOOKUP(A25,A24:A623,[1]Sheet3!G99:G698)</f>
        <v>35</v>
      </c>
      <c r="F25" t="str">
        <f>_xlfn.XLOOKUP('Retail Sales'!A100,'Retail Sales'!A99:A698,[1]Sheet3!H99:H698)</f>
        <v>Young Adult</v>
      </c>
      <c r="G25" t="str">
        <f>_xlfn.XLOOKUP(A25,A24:A623,[1]Sheet3!J99:J698)</f>
        <v>Female</v>
      </c>
      <c r="H25" t="str">
        <f>_xlfn.XLOOKUP(A25,A24:A623,[1]Sheet3!K99:K698)</f>
        <v>East</v>
      </c>
      <c r="I25" t="str">
        <f>_xlfn.XLOOKUP(A25,A24:A623,[1]Sheet3!L99:L698)</f>
        <v>Bhubaneswar</v>
      </c>
      <c r="J25" t="str">
        <f>_xlfn.XLOOKUP(A25,A24:A623,[1]Sheet3!M99:M698)</f>
        <v>Furniture</v>
      </c>
      <c r="K25" t="str">
        <f>_xlfn.XLOOKUP('Retail Sales'!A100,'Retail Sales'!A99:A698,[1]Sheet3!N99:N698)</f>
        <v>Desk</v>
      </c>
      <c r="L25" s="5">
        <f>_xlfn.XLOOKUP(A25,A24:A623,[1]Sheet3!P99:P698)</f>
        <v>8</v>
      </c>
      <c r="M25" s="7">
        <f>_xlfn.XLOOKUP(A25,A24:A623,[1]Sheet3!Q99:Q698)</f>
        <v>25624.31</v>
      </c>
      <c r="N25" s="9">
        <f>_xlfn.XLOOKUP(A25,A24:A623,[1]Sheet3!S99:S698)</f>
        <v>0.12</v>
      </c>
      <c r="O25" s="7">
        <f>_xlfn.XLOOKUP(A25,A24:A623,[1]Sheet3!T99:T698)</f>
        <v>188109.47</v>
      </c>
      <c r="P25" s="7">
        <f>_xlfn.XLOOKUP(A25,A24:A623,[1]Sheet3!U99:U698)</f>
        <v>45753.79</v>
      </c>
      <c r="Q25" s="11">
        <f>_xlfn.XLOOKUP(A25,A24:A623,[1]Sheet3!V99:V698)</f>
        <v>0.24322959391677623</v>
      </c>
      <c r="R25" s="7">
        <f>_xlfn.XLOOKUP(A25,A24:A623,[1]Sheet3!W99:W698)</f>
        <v>65.63</v>
      </c>
      <c r="S25" t="str">
        <f>_xlfn.XLOOKUP(A25,A24:A623,[1]Sheet3!X99:X698)</f>
        <v>Credit Card</v>
      </c>
      <c r="T25" s="5">
        <f>_xlfn.XLOOKUP(A25,A24:A623,[1]Sheet3!Z99:Z698)</f>
        <v>1</v>
      </c>
      <c r="U25" t="b">
        <f>_xlfn.XLOOKUP(A25,A24:A623,[1]Sheet3!AA99:AA698)</f>
        <v>0</v>
      </c>
      <c r="V25" t="str">
        <f>_xlfn.XLOOKUP(A25,A24:A623,[1]Sheet3!AC99:AC698)</f>
        <v>Delivered</v>
      </c>
      <c r="W25" s="5">
        <f>_xlfn.XLOOKUP(A25,A24:A623,[1]Sheet3!AE99:AE698)</f>
        <v>3</v>
      </c>
    </row>
    <row r="26" spans="1:23" x14ac:dyDescent="0.35">
      <c r="A26" t="s">
        <v>85</v>
      </c>
      <c r="B26" s="1">
        <f>_xlfn.XLOOKUP(A26,A25:A624,[1]Sheet3!C514:C1113)</f>
        <v>43902</v>
      </c>
      <c r="C26" t="str">
        <f>_xlfn.XLOOKUP(A26,A25:A624,[1]Sheet3!D514:D1113)</f>
        <v>CUST97663</v>
      </c>
      <c r="D26" t="str">
        <f>_xlfn.XLOOKUP(A26,A25:A624,[1]Sheet3!E514:E1113)</f>
        <v>Aarav Singh</v>
      </c>
      <c r="E26" s="5">
        <f>_xlfn.XLOOKUP(A26,A25:A624,[1]Sheet3!G514:G1113)</f>
        <v>34.294220665499125</v>
      </c>
      <c r="F26" t="str">
        <f>_xlfn.XLOOKUP('Retail Sales'!A515,'Retail Sales'!A514:A1113,[1]Sheet3!H514:H1113)</f>
        <v>Young Adult</v>
      </c>
      <c r="G26" t="str">
        <f>_xlfn.XLOOKUP(A26,A25:A624,[1]Sheet3!J514:J1113)</f>
        <v>Male</v>
      </c>
      <c r="H26" t="str">
        <f>_xlfn.XLOOKUP(A26,A25:A624,[1]Sheet3!K514:K1113)</f>
        <v>North</v>
      </c>
      <c r="I26" t="str">
        <f>_xlfn.XLOOKUP(A26,A25:A624,[1]Sheet3!L514:L1113)</f>
        <v>Ludhiana</v>
      </c>
      <c r="J26" t="str">
        <f>_xlfn.XLOOKUP(A26,A25:A624,[1]Sheet3!M514:M1113)</f>
        <v>Clothing</v>
      </c>
      <c r="K26" t="str">
        <f>_xlfn.XLOOKUP('Retail Sales'!A515,'Retail Sales'!A514:A1113,[1]Sheet3!N514:N1113)</f>
        <v>Kurta</v>
      </c>
      <c r="L26" s="5">
        <f>_xlfn.XLOOKUP(A26,A25:A624,[1]Sheet3!P514:P1113)</f>
        <v>9</v>
      </c>
      <c r="M26" s="7">
        <f>_xlfn.XLOOKUP(A26,A25:A624,[1]Sheet3!Q514:Q1113)</f>
        <v>3971.91</v>
      </c>
      <c r="N26" s="9">
        <f>_xlfn.XLOOKUP(A26,A25:A624,[1]Sheet3!S514:S1113)</f>
        <v>0.18</v>
      </c>
      <c r="O26" s="7">
        <f>_xlfn.XLOOKUP(A26,A25:A624,[1]Sheet3!T514:T1113)</f>
        <v>32366.71</v>
      </c>
      <c r="P26" s="7">
        <f>_xlfn.XLOOKUP(A26,A25:A624,[1]Sheet3!U514:U1113)</f>
        <v>14702.14</v>
      </c>
      <c r="Q26" s="11">
        <f>_xlfn.XLOOKUP(A26,A25:A624,[1]Sheet3!V514:V1113)</f>
        <v>0.45423646703665588</v>
      </c>
      <c r="R26" s="7">
        <f>_xlfn.XLOOKUP(A26,A25:A624,[1]Sheet3!W514:W1113)</f>
        <v>47.38</v>
      </c>
      <c r="S26" t="str">
        <f>_xlfn.XLOOKUP(A26,A25:A624,[1]Sheet3!X514:X1113)</f>
        <v>Cash on Delivery</v>
      </c>
      <c r="T26" s="5">
        <f>_xlfn.XLOOKUP(A26,A25:A624,[1]Sheet3!Z514:Z1113)</f>
        <v>3</v>
      </c>
      <c r="U26" t="b">
        <f>_xlfn.XLOOKUP(A26,A25:A624,[1]Sheet3!AA514:AA1113)</f>
        <v>0</v>
      </c>
      <c r="V26" t="str">
        <f>_xlfn.XLOOKUP(A26,A25:A624,[1]Sheet3!AC514:AC1113)</f>
        <v>Pending</v>
      </c>
      <c r="W26" s="5">
        <f>_xlfn.XLOOKUP(A26,A25:A624,[1]Sheet3!AE514:AE1113)</f>
        <v>4</v>
      </c>
    </row>
    <row r="27" spans="1:23" x14ac:dyDescent="0.35">
      <c r="A27" t="s">
        <v>331</v>
      </c>
      <c r="B27" s="1">
        <f>_xlfn.XLOOKUP(A27,A26:A625,[1]Sheet3!C268:C867)</f>
        <v>43905</v>
      </c>
      <c r="C27" t="str">
        <f>_xlfn.XLOOKUP(A27,A26:A625,[1]Sheet3!D268:D867)</f>
        <v>CUST53622</v>
      </c>
      <c r="D27" t="str">
        <f>_xlfn.XLOOKUP(A27,A26:A625,[1]Sheet3!E268:E867)</f>
        <v>Aditya Chatterjee</v>
      </c>
      <c r="E27" s="5">
        <f>_xlfn.XLOOKUP(A27,A26:A625,[1]Sheet3!G268:G867)</f>
        <v>31</v>
      </c>
      <c r="F27" t="str">
        <f>_xlfn.XLOOKUP('Retail Sales'!A269,'Retail Sales'!A268:A867,[1]Sheet3!H268:H867)</f>
        <v>Young Adult</v>
      </c>
      <c r="G27" t="str">
        <f>_xlfn.XLOOKUP(A27,A26:A625,[1]Sheet3!J268:J867)</f>
        <v>Male</v>
      </c>
      <c r="H27" t="str">
        <f>_xlfn.XLOOKUP(A27,A26:A625,[1]Sheet3!K268:K867)</f>
        <v>South</v>
      </c>
      <c r="I27" t="str">
        <f>_xlfn.XLOOKUP(A27,A26:A625,[1]Sheet3!L268:L867)</f>
        <v>Bangalore</v>
      </c>
      <c r="J27" t="str">
        <f>_xlfn.XLOOKUP(A27,A26:A625,[1]Sheet3!M268:M867)</f>
        <v>Groceries</v>
      </c>
      <c r="K27" t="str">
        <f>_xlfn.XLOOKUP('Retail Sales'!A269,'Retail Sales'!A268:A867,[1]Sheet3!N268:N867)</f>
        <v>Sugar</v>
      </c>
      <c r="L27" s="5">
        <f>_xlfn.XLOOKUP(A27,A26:A625,[1]Sheet3!P268:P867)</f>
        <v>9</v>
      </c>
      <c r="M27" s="7">
        <f>_xlfn.XLOOKUP(A27,A26:A625,[1]Sheet3!Q268:Q867)</f>
        <v>236.54</v>
      </c>
      <c r="N27" s="9">
        <f>_xlfn.XLOOKUP(A27,A26:A625,[1]Sheet3!S268:S867)</f>
        <v>0.19</v>
      </c>
      <c r="O27" s="7">
        <f>_xlfn.XLOOKUP(A27,A26:A625,[1]Sheet3!T268:T867)</f>
        <v>1658.66</v>
      </c>
      <c r="P27" s="7">
        <f>_xlfn.XLOOKUP(A27,A26:A625,[1]Sheet3!U268:U867)</f>
        <v>140.16</v>
      </c>
      <c r="Q27" s="11">
        <f>_xlfn.XLOOKUP(A27,A26:A625,[1]Sheet3!V268:V867)</f>
        <v>8.4501947355093865E-2</v>
      </c>
      <c r="R27" s="7">
        <f>_xlfn.XLOOKUP(A27,A26:A625,[1]Sheet3!W268:W867)</f>
        <v>101.07</v>
      </c>
      <c r="S27" t="str">
        <f>_xlfn.XLOOKUP(A27,A26:A625,[1]Sheet3!X268:X867)</f>
        <v>Credit Card</v>
      </c>
      <c r="T27" s="5">
        <f>_xlfn.XLOOKUP(A27,A26:A625,[1]Sheet3!Z268:Z867)</f>
        <v>3</v>
      </c>
      <c r="U27" t="b">
        <f>_xlfn.XLOOKUP(A27,A26:A625,[1]Sheet3!AA268:AA867)</f>
        <v>1</v>
      </c>
      <c r="V27" t="str">
        <f>_xlfn.XLOOKUP(A27,A26:A625,[1]Sheet3!AC268:AC867)</f>
        <v>Returned</v>
      </c>
      <c r="W27" s="5">
        <f>_xlfn.XLOOKUP(A27,A26:A625,[1]Sheet3!AE268:AE867)</f>
        <v>1</v>
      </c>
    </row>
    <row r="28" spans="1:23" x14ac:dyDescent="0.35">
      <c r="A28" t="s">
        <v>149</v>
      </c>
      <c r="B28" s="1">
        <f>_xlfn.XLOOKUP(A28,A27:A626,[1]Sheet3!C450:C1049)</f>
        <v>43905</v>
      </c>
      <c r="C28" t="str">
        <f>_xlfn.XLOOKUP(A28,A27:A626,[1]Sheet3!D450:D1049)</f>
        <v>CUST40704</v>
      </c>
      <c r="D28" t="str">
        <f>_xlfn.XLOOKUP(A28,A27:A626,[1]Sheet3!E450:E1049)</f>
        <v>Aarav Rao</v>
      </c>
      <c r="E28" s="5">
        <f>_xlfn.XLOOKUP(A28,A27:A626,[1]Sheet3!G450:G1049)</f>
        <v>16</v>
      </c>
      <c r="F28" t="str">
        <f>_xlfn.XLOOKUP('Retail Sales'!A451,'Retail Sales'!A450:A1049,[1]Sheet3!H450:H1049)</f>
        <v>Teen</v>
      </c>
      <c r="G28" t="str">
        <f>_xlfn.XLOOKUP(A28,A27:A626,[1]Sheet3!J450:J1049)</f>
        <v>Other</v>
      </c>
      <c r="H28" t="str">
        <f>_xlfn.XLOOKUP(A28,A27:A626,[1]Sheet3!K450:K1049)</f>
        <v>East</v>
      </c>
      <c r="I28" t="str">
        <f>_xlfn.XLOOKUP(A28,A27:A626,[1]Sheet3!L450:L1049)</f>
        <v>Guwahati</v>
      </c>
      <c r="J28" t="str">
        <f>_xlfn.XLOOKUP(A28,A27:A626,[1]Sheet3!M450:M1049)</f>
        <v>Clothing</v>
      </c>
      <c r="K28" t="str">
        <f>_xlfn.XLOOKUP('Retail Sales'!A451,'Retail Sales'!A450:A1049,[1]Sheet3!N450:N1049)</f>
        <v>Saree</v>
      </c>
      <c r="L28" s="5">
        <f>_xlfn.XLOOKUP(A28,A27:A626,[1]Sheet3!P450:P1049)</f>
        <v>2</v>
      </c>
      <c r="M28" s="7">
        <f>_xlfn.XLOOKUP(A28,A27:A626,[1]Sheet3!Q450:Q1049)</f>
        <v>2448.31</v>
      </c>
      <c r="N28" s="9">
        <f>_xlfn.XLOOKUP(A28,A27:A626,[1]Sheet3!S450:S1049)</f>
        <v>0.35</v>
      </c>
      <c r="O28" s="7">
        <f>_xlfn.XLOOKUP(A28,A27:A626,[1]Sheet3!T450:T1049)</f>
        <v>3584.88</v>
      </c>
      <c r="P28" s="7">
        <f>_xlfn.XLOOKUP(A28,A27:A626,[1]Sheet3!U450:U1049)</f>
        <v>1270.1600000000001</v>
      </c>
      <c r="Q28" s="11">
        <f>_xlfn.XLOOKUP(A28,A27:A626,[1]Sheet3!V450:V1049)</f>
        <v>0.35431032558969899</v>
      </c>
      <c r="R28" s="7">
        <f>_xlfn.XLOOKUP(A28,A27:A626,[1]Sheet3!W450:W1049)</f>
        <v>79.97</v>
      </c>
      <c r="S28" t="str">
        <f>_xlfn.XLOOKUP(A28,A27:A626,[1]Sheet3!X450:X1049)</f>
        <v>Credit Card</v>
      </c>
      <c r="T28" s="5">
        <f>_xlfn.XLOOKUP(A28,A27:A626,[1]Sheet3!Z450:Z1049)</f>
        <v>4</v>
      </c>
      <c r="U28" t="b">
        <f>_xlfn.XLOOKUP(A28,A27:A626,[1]Sheet3!AA450:AA1049)</f>
        <v>0</v>
      </c>
      <c r="V28" t="str">
        <f>_xlfn.XLOOKUP(A28,A27:A626,[1]Sheet3!AC450:AC1049)</f>
        <v>Delivered</v>
      </c>
      <c r="W28" s="5">
        <f>_xlfn.XLOOKUP(A28,A27:A626,[1]Sheet3!AE450:AE1049)</f>
        <v>7</v>
      </c>
    </row>
    <row r="29" spans="1:23" x14ac:dyDescent="0.35">
      <c r="A29" t="s">
        <v>377</v>
      </c>
      <c r="B29" s="1">
        <f>_xlfn.XLOOKUP(A29,A28:A627,[1]Sheet3!C222:C821)</f>
        <v>43912</v>
      </c>
      <c r="C29" t="str">
        <f>_xlfn.XLOOKUP(A29,A28:A627,[1]Sheet3!D222:D821)</f>
        <v>CUST16395</v>
      </c>
      <c r="D29" t="str">
        <f>_xlfn.XLOOKUP(A29,A28:A627,[1]Sheet3!E222:E821)</f>
        <v>Sunita Pillai</v>
      </c>
      <c r="E29" s="5">
        <f>_xlfn.XLOOKUP(A29,A28:A627,[1]Sheet3!G222:G821)</f>
        <v>19</v>
      </c>
      <c r="F29" t="str">
        <f>_xlfn.XLOOKUP('Retail Sales'!A223,'Retail Sales'!A222:A821,[1]Sheet3!H222:H821)</f>
        <v>Teen</v>
      </c>
      <c r="G29" t="str">
        <f>_xlfn.XLOOKUP(A29,A28:A627,[1]Sheet3!J222:J821)</f>
        <v>Other</v>
      </c>
      <c r="H29" t="str">
        <f>_xlfn.XLOOKUP(A29,A28:A627,[1]Sheet3!K222:K821)</f>
        <v>Central</v>
      </c>
      <c r="I29" t="str">
        <f>_xlfn.XLOOKUP(A29,A28:A627,[1]Sheet3!L222:L821)</f>
        <v>Raipur</v>
      </c>
      <c r="J29" t="str">
        <f>_xlfn.XLOOKUP(A29,A28:A627,[1]Sheet3!M222:M821)</f>
        <v>Beauty</v>
      </c>
      <c r="K29" t="str">
        <f>_xlfn.XLOOKUP('Retail Sales'!A223,'Retail Sales'!A222:A821,[1]Sheet3!N222:N821)</f>
        <v>Sunscreen</v>
      </c>
      <c r="L29" s="5">
        <f>_xlfn.XLOOKUP(A29,A28:A627,[1]Sheet3!P222:P821)</f>
        <v>9</v>
      </c>
      <c r="M29" s="7">
        <f>_xlfn.XLOOKUP(A29,A28:A627,[1]Sheet3!Q222:Q821)</f>
        <v>646.01</v>
      </c>
      <c r="N29" s="9">
        <f>_xlfn.XLOOKUP(A29,A28:A627,[1]Sheet3!S222:S821)</f>
        <v>0.38</v>
      </c>
      <c r="O29" s="7">
        <f>_xlfn.XLOOKUP(A29,A28:A627,[1]Sheet3!T222:T821)</f>
        <v>3807.56</v>
      </c>
      <c r="P29" s="7">
        <f>_xlfn.XLOOKUP(A29,A28:A627,[1]Sheet3!U222:U821)</f>
        <v>1281.8399999999999</v>
      </c>
      <c r="Q29" s="11">
        <f>_xlfn.XLOOKUP(A29,A28:A627,[1]Sheet3!V222:V821)</f>
        <v>0.33665654644969478</v>
      </c>
      <c r="R29" s="7">
        <f>_xlfn.XLOOKUP(A29,A28:A627,[1]Sheet3!W222:W821)</f>
        <v>51.72</v>
      </c>
      <c r="S29" t="str">
        <f>_xlfn.XLOOKUP(A29,A28:A627,[1]Sheet3!X222:X821)</f>
        <v>Credit Card</v>
      </c>
      <c r="T29" s="5">
        <f>_xlfn.XLOOKUP(A29,A28:A627,[1]Sheet3!Z222:Z821)</f>
        <v>2</v>
      </c>
      <c r="U29" t="b">
        <f>_xlfn.XLOOKUP(A29,A28:A627,[1]Sheet3!AA222:AA821)</f>
        <v>0</v>
      </c>
      <c r="V29" t="str">
        <f>_xlfn.XLOOKUP(A29,A28:A627,[1]Sheet3!AC222:AC821)</f>
        <v>Pending</v>
      </c>
      <c r="W29" s="5">
        <f>_xlfn.XLOOKUP(A29,A28:A627,[1]Sheet3!AE222:AE821)</f>
        <v>3</v>
      </c>
    </row>
    <row r="30" spans="1:23" x14ac:dyDescent="0.35">
      <c r="A30" t="s">
        <v>239</v>
      </c>
      <c r="B30" s="1">
        <f>_xlfn.XLOOKUP(A30,A29:A628,[1]Sheet3!C360:C959)</f>
        <v>43918</v>
      </c>
      <c r="C30" t="str">
        <f>_xlfn.XLOOKUP(A30,A29:A628,[1]Sheet3!D360:D959)</f>
        <v>CUST04223</v>
      </c>
      <c r="D30" t="str">
        <f>_xlfn.XLOOKUP(A30,A29:A628,[1]Sheet3!E360:E959)</f>
        <v>Pooja Joshi</v>
      </c>
      <c r="E30" s="5">
        <f>_xlfn.XLOOKUP(A30,A29:A628,[1]Sheet3!G360:G959)</f>
        <v>12</v>
      </c>
      <c r="F30" t="str">
        <f>_xlfn.XLOOKUP('Retail Sales'!A361,'Retail Sales'!A360:A959,[1]Sheet3!H360:H959)</f>
        <v>Child</v>
      </c>
      <c r="G30" t="str">
        <f>_xlfn.XLOOKUP(A30,A29:A628,[1]Sheet3!J360:J959)</f>
        <v>Other</v>
      </c>
      <c r="H30" t="str">
        <f>_xlfn.XLOOKUP(A30,A29:A628,[1]Sheet3!K360:K959)</f>
        <v>North</v>
      </c>
      <c r="I30" t="str">
        <f>_xlfn.XLOOKUP(A30,A29:A628,[1]Sheet3!L360:L959)</f>
        <v>Amritsar</v>
      </c>
      <c r="J30" t="str">
        <f>_xlfn.XLOOKUP(A30,A29:A628,[1]Sheet3!M360:M959)</f>
        <v>Sports</v>
      </c>
      <c r="K30" t="str">
        <f>_xlfn.XLOOKUP('Retail Sales'!A361,'Retail Sales'!A360:A959,[1]Sheet3!N360:N959)</f>
        <v>Cycle</v>
      </c>
      <c r="L30" s="5">
        <f>_xlfn.XLOOKUP(A30,A29:A628,[1]Sheet3!P360:P959)</f>
        <v>8</v>
      </c>
      <c r="M30" s="7">
        <f>_xlfn.XLOOKUP(A30,A29:A628,[1]Sheet3!Q360:Q959)</f>
        <v>10282.68</v>
      </c>
      <c r="N30" s="9">
        <f>_xlfn.XLOOKUP(A30,A29:A628,[1]Sheet3!S360:S959)</f>
        <v>0.11</v>
      </c>
      <c r="O30" s="7">
        <f>_xlfn.XLOOKUP(A30,A29:A628,[1]Sheet3!T360:T959)</f>
        <v>66340.960000000006</v>
      </c>
      <c r="P30" s="7">
        <f>_xlfn.XLOOKUP(A30,A29:A628,[1]Sheet3!U360:U959)</f>
        <v>13106.07</v>
      </c>
      <c r="Q30" s="11">
        <f>_xlfn.XLOOKUP(A30,A29:A628,[1]Sheet3!V360:V959)</f>
        <v>0.19755623072080955</v>
      </c>
      <c r="R30" s="7">
        <f>_xlfn.XLOOKUP(A30,A29:A628,[1]Sheet3!W360:W959)</f>
        <v>65.44</v>
      </c>
      <c r="S30" t="str">
        <f>_xlfn.XLOOKUP(A30,A29:A628,[1]Sheet3!X360:X959)</f>
        <v>Net Banking</v>
      </c>
      <c r="T30" s="5">
        <f>_xlfn.XLOOKUP(A30,A29:A628,[1]Sheet3!Z360:Z959)</f>
        <v>1</v>
      </c>
      <c r="U30" t="b">
        <f>_xlfn.XLOOKUP(A30,A29:A628,[1]Sheet3!AA360:AA959)</f>
        <v>0</v>
      </c>
      <c r="V30" t="str">
        <f>_xlfn.XLOOKUP(A30,A29:A628,[1]Sheet3!AC360:AC959)</f>
        <v>Delivered</v>
      </c>
      <c r="W30" s="5">
        <f>_xlfn.XLOOKUP(A30,A29:A628,[1]Sheet3!AE360:AE959)</f>
        <v>3</v>
      </c>
    </row>
    <row r="31" spans="1:23" x14ac:dyDescent="0.35">
      <c r="A31" t="s">
        <v>366</v>
      </c>
      <c r="B31" s="1">
        <f>_xlfn.XLOOKUP(A31,A30:A629,[1]Sheet3!C233:C832)</f>
        <v>43920</v>
      </c>
      <c r="C31" t="str">
        <f>_xlfn.XLOOKUP(A31,A30:A629,[1]Sheet3!D233:D832)</f>
        <v>CUST79644</v>
      </c>
      <c r="D31" t="str">
        <f>_xlfn.XLOOKUP(A31,A30:A629,[1]Sheet3!E233:E832)</f>
        <v>Aarav Verma</v>
      </c>
      <c r="E31" s="5">
        <f>_xlfn.XLOOKUP(A31,A30:A629,[1]Sheet3!G233:G832)</f>
        <v>23</v>
      </c>
      <c r="F31" t="str">
        <f>_xlfn.XLOOKUP('Retail Sales'!A234,'Retail Sales'!A233:A832,[1]Sheet3!H233:H832)</f>
        <v>Young Adult</v>
      </c>
      <c r="G31" t="str">
        <f>_xlfn.XLOOKUP(A31,A30:A629,[1]Sheet3!J233:J832)</f>
        <v>Female</v>
      </c>
      <c r="H31" t="str">
        <f>_xlfn.XLOOKUP(A31,A30:A629,[1]Sheet3!K233:K832)</f>
        <v>West</v>
      </c>
      <c r="I31" t="str">
        <f>_xlfn.XLOOKUP(A31,A30:A629,[1]Sheet3!L233:L832)</f>
        <v>Mumbai</v>
      </c>
      <c r="J31" t="str">
        <f>_xlfn.XLOOKUP(A31,A30:A629,[1]Sheet3!M233:M832)</f>
        <v>Sports</v>
      </c>
      <c r="K31" t="str">
        <f>_xlfn.XLOOKUP('Retail Sales'!A234,'Retail Sales'!A233:A832,[1]Sheet3!N233:N832)</f>
        <v>Cycle</v>
      </c>
      <c r="L31" s="5">
        <f>_xlfn.XLOOKUP(A31,A30:A629,[1]Sheet3!P233:P832)</f>
        <v>5</v>
      </c>
      <c r="M31" s="7">
        <f>_xlfn.XLOOKUP(A31,A30:A629,[1]Sheet3!Q233:Q832)</f>
        <v>9009.65</v>
      </c>
      <c r="N31" s="9">
        <f>_xlfn.XLOOKUP(A31,A30:A629,[1]Sheet3!S233:S832)</f>
        <v>0.08</v>
      </c>
      <c r="O31" s="7">
        <f>_xlfn.XLOOKUP(A31,A30:A629,[1]Sheet3!T233:T832)</f>
        <v>44971.39</v>
      </c>
      <c r="P31" s="7">
        <f>_xlfn.XLOOKUP(A31,A30:A629,[1]Sheet3!U233:U832)</f>
        <v>10004.34</v>
      </c>
      <c r="Q31" s="11">
        <f>_xlfn.XLOOKUP(A31,A30:A629,[1]Sheet3!V233:V832)</f>
        <v>0.22246010185586881</v>
      </c>
      <c r="R31" s="7">
        <f>_xlfn.XLOOKUP(A31,A30:A629,[1]Sheet3!W233:W832)</f>
        <v>58.16</v>
      </c>
      <c r="S31" t="str">
        <f>_xlfn.XLOOKUP(A31,A30:A629,[1]Sheet3!X233:X832)</f>
        <v>EMI</v>
      </c>
      <c r="T31" s="5">
        <f>_xlfn.XLOOKUP(A31,A30:A629,[1]Sheet3!Z233:Z832)</f>
        <v>3</v>
      </c>
      <c r="U31" t="b">
        <f>_xlfn.XLOOKUP(A31,A30:A629,[1]Sheet3!AA233:AA832)</f>
        <v>0</v>
      </c>
      <c r="V31" t="str">
        <f>_xlfn.XLOOKUP(A31,A30:A629,[1]Sheet3!AC233:AC832)</f>
        <v>Delivered</v>
      </c>
      <c r="W31" s="5">
        <f>_xlfn.XLOOKUP(A31,A30:A629,[1]Sheet3!AE233:AE832)</f>
        <v>4</v>
      </c>
    </row>
    <row r="32" spans="1:23" x14ac:dyDescent="0.35">
      <c r="A32" t="s">
        <v>62</v>
      </c>
      <c r="B32" s="1">
        <f>_xlfn.XLOOKUP(A32,A31:A630,[1]Sheet3!C537:C1136)</f>
        <v>43920</v>
      </c>
      <c r="C32" t="str">
        <f>_xlfn.XLOOKUP(A32,A31:A630,[1]Sheet3!D537:D1136)</f>
        <v>CUST39806</v>
      </c>
      <c r="D32" t="str">
        <f>_xlfn.XLOOKUP(A32,A31:A630,[1]Sheet3!E537:E1136)</f>
        <v>Sanjay Bhat</v>
      </c>
      <c r="E32" s="5">
        <f>_xlfn.XLOOKUP(A32,A31:A630,[1]Sheet3!G537:G1136)</f>
        <v>27</v>
      </c>
      <c r="F32" t="str">
        <f>_xlfn.XLOOKUP('Retail Sales'!A538,'Retail Sales'!A537:A1136,[1]Sheet3!H537:H1136)</f>
        <v>Young Adult</v>
      </c>
      <c r="G32" t="str">
        <f>_xlfn.XLOOKUP(A32,A31:A630,[1]Sheet3!J537:J1136)</f>
        <v>Other</v>
      </c>
      <c r="H32" t="str">
        <f>_xlfn.XLOOKUP(A32,A31:A630,[1]Sheet3!K537:K1136)</f>
        <v>West</v>
      </c>
      <c r="I32" t="str">
        <f>_xlfn.XLOOKUP(A32,A31:A630,[1]Sheet3!L537:L1136)</f>
        <v>Mumbai</v>
      </c>
      <c r="J32" t="str">
        <f>_xlfn.XLOOKUP(A32,A31:A630,[1]Sheet3!M537:M1136)</f>
        <v>Beauty</v>
      </c>
      <c r="K32" t="str">
        <f>_xlfn.XLOOKUP('Retail Sales'!A538,'Retail Sales'!A537:A1136,[1]Sheet3!N537:N1136)</f>
        <v>Face Cream</v>
      </c>
      <c r="L32" s="5">
        <f>_xlfn.XLOOKUP(A32,A31:A630,[1]Sheet3!P537:P1136)</f>
        <v>4</v>
      </c>
      <c r="M32" s="7">
        <f>_xlfn.XLOOKUP(A32,A31:A630,[1]Sheet3!Q537:Q1136)</f>
        <v>2430.1</v>
      </c>
      <c r="N32" s="9">
        <f>_xlfn.XLOOKUP(A32,A31:A630,[1]Sheet3!S537:S1136)</f>
        <v>0.03</v>
      </c>
      <c r="O32" s="7">
        <f>_xlfn.XLOOKUP(A32,A31:A630,[1]Sheet3!T537:T1136)</f>
        <v>8709.27</v>
      </c>
      <c r="P32" s="7">
        <f>_xlfn.XLOOKUP(A32,A31:A630,[1]Sheet3!U537:U1136)</f>
        <v>5472.38</v>
      </c>
      <c r="Q32" s="11">
        <f>_xlfn.XLOOKUP(A32,A31:A630,[1]Sheet3!V537:V1136)</f>
        <v>0.62833968863061995</v>
      </c>
      <c r="R32" s="7">
        <f>_xlfn.XLOOKUP(A32,A31:A630,[1]Sheet3!W537:W1136)</f>
        <v>60.42</v>
      </c>
      <c r="S32" t="str">
        <f>_xlfn.XLOOKUP(A32,A31:A630,[1]Sheet3!X537:X1136)</f>
        <v>Debit Card</v>
      </c>
      <c r="T32" s="5">
        <f>_xlfn.XLOOKUP(A32,A31:A630,[1]Sheet3!Z537:Z1136)</f>
        <v>5</v>
      </c>
      <c r="U32" t="b">
        <f>_xlfn.XLOOKUP(A32,A31:A630,[1]Sheet3!AA537:AA1136)</f>
        <v>0</v>
      </c>
      <c r="V32" t="str">
        <f>_xlfn.XLOOKUP(A32,A31:A630,[1]Sheet3!AC537:AC1136)</f>
        <v>Delivered</v>
      </c>
      <c r="W32" s="5">
        <f>_xlfn.XLOOKUP(A32,A31:A630,[1]Sheet3!AE537:AE1136)</f>
        <v>1</v>
      </c>
    </row>
    <row r="33" spans="1:23" x14ac:dyDescent="0.35">
      <c r="A33" t="s">
        <v>103</v>
      </c>
      <c r="B33" s="1">
        <f>_xlfn.XLOOKUP(A33,A32:A631,[1]Sheet3!C496:C1095)</f>
        <v>43926</v>
      </c>
      <c r="C33" t="str">
        <f>_xlfn.XLOOKUP(A33,A32:A631,[1]Sheet3!D496:D1095)</f>
        <v>CUST81881</v>
      </c>
      <c r="D33" t="str">
        <f>_xlfn.XLOOKUP(A33,A32:A631,[1]Sheet3!E496:E1095)</f>
        <v>Sanjay Mishra</v>
      </c>
      <c r="E33" s="5">
        <f>_xlfn.XLOOKUP(A33,A32:A631,[1]Sheet3!G496:G1095)</f>
        <v>34.294220665499125</v>
      </c>
      <c r="F33" t="str">
        <f>_xlfn.XLOOKUP('Retail Sales'!A497,'Retail Sales'!A496:A1095,[1]Sheet3!H496:H1095)</f>
        <v>Young Adult</v>
      </c>
      <c r="G33" t="str">
        <f>_xlfn.XLOOKUP(A33,A32:A631,[1]Sheet3!J496:J1095)</f>
        <v>Male</v>
      </c>
      <c r="H33" t="str">
        <f>_xlfn.XLOOKUP(A33,A32:A631,[1]Sheet3!K496:K1095)</f>
        <v>Central</v>
      </c>
      <c r="I33" t="str">
        <f>_xlfn.XLOOKUP(A33,A32:A631,[1]Sheet3!L496:L1095)</f>
        <v>Indore</v>
      </c>
      <c r="J33" t="str">
        <f>_xlfn.XLOOKUP(A33,A32:A631,[1]Sheet3!M496:M1095)</f>
        <v>Beauty</v>
      </c>
      <c r="K33" t="str">
        <f>_xlfn.XLOOKUP('Retail Sales'!A497,'Retail Sales'!A496:A1095,[1]Sheet3!N496:N1095)</f>
        <v>Face Cream</v>
      </c>
      <c r="L33" s="5">
        <f>_xlfn.XLOOKUP(A33,A32:A631,[1]Sheet3!P496:P1095)</f>
        <v>9</v>
      </c>
      <c r="M33" s="7">
        <f>_xlfn.XLOOKUP(A33,A32:A631,[1]Sheet3!Q496:Q1095)</f>
        <v>1356.81</v>
      </c>
      <c r="N33" s="9">
        <f>_xlfn.XLOOKUP(A33,A32:A631,[1]Sheet3!S496:S1095)</f>
        <v>0.01</v>
      </c>
      <c r="O33" s="7">
        <f>_xlfn.XLOOKUP(A33,A32:A631,[1]Sheet3!T496:T1095)</f>
        <v>13938.43</v>
      </c>
      <c r="P33" s="7">
        <f>_xlfn.XLOOKUP(A33,A32:A631,[1]Sheet3!U496:U1095)</f>
        <v>5273.14</v>
      </c>
      <c r="Q33" s="11">
        <f>_xlfn.XLOOKUP(A33,A32:A631,[1]Sheet3!V496:V1095)</f>
        <v>0.37831663967893087</v>
      </c>
      <c r="R33" s="7">
        <f>_xlfn.XLOOKUP(A33,A32:A631,[1]Sheet3!W496:W1095)</f>
        <v>76.63</v>
      </c>
      <c r="S33" t="str">
        <f>_xlfn.XLOOKUP(A33,A32:A631,[1]Sheet3!X496:X1095)</f>
        <v>Credit Card</v>
      </c>
      <c r="T33" s="5">
        <f>_xlfn.XLOOKUP(A33,A32:A631,[1]Sheet3!Z496:Z1095)</f>
        <v>3</v>
      </c>
      <c r="U33" t="b">
        <f>_xlfn.XLOOKUP(A33,A32:A631,[1]Sheet3!AA496:AA1095)</f>
        <v>0</v>
      </c>
      <c r="V33" t="str">
        <f>_xlfn.XLOOKUP(A33,A32:A631,[1]Sheet3!AC496:AC1095)</f>
        <v>Delivered</v>
      </c>
      <c r="W33" s="5">
        <f>_xlfn.XLOOKUP(A33,A32:A631,[1]Sheet3!AE496:AE1095)</f>
        <v>4</v>
      </c>
    </row>
    <row r="34" spans="1:23" x14ac:dyDescent="0.35">
      <c r="A34" t="s">
        <v>538</v>
      </c>
      <c r="B34" s="1">
        <f>_xlfn.XLOOKUP(A34,A33:A632,[1]Sheet3!C61:C660)</f>
        <v>43929</v>
      </c>
      <c r="C34" t="str">
        <f>_xlfn.XLOOKUP(A34,A33:A632,[1]Sheet3!D61:D660)</f>
        <v>CUST97307</v>
      </c>
      <c r="D34" t="str">
        <f>_xlfn.XLOOKUP(A34,A33:A632,[1]Sheet3!E61:E660)</f>
        <v>Ritu Gupta</v>
      </c>
      <c r="E34" s="5">
        <f>_xlfn.XLOOKUP(A34,A33:A632,[1]Sheet3!G61:G660)</f>
        <v>37</v>
      </c>
      <c r="F34" t="str">
        <f>_xlfn.XLOOKUP('Retail Sales'!A62,'Retail Sales'!A61:A660,[1]Sheet3!H61:H660)</f>
        <v>Adult</v>
      </c>
      <c r="G34" t="str">
        <f>_xlfn.XLOOKUP(A34,A33:A632,[1]Sheet3!J61:J660)</f>
        <v>Male</v>
      </c>
      <c r="H34" t="str">
        <f>_xlfn.XLOOKUP(A34,A33:A632,[1]Sheet3!K61:K660)</f>
        <v>Central</v>
      </c>
      <c r="I34" t="str">
        <f>_xlfn.XLOOKUP(A34,A33:A632,[1]Sheet3!L61:L660)</f>
        <v>Nagpur</v>
      </c>
      <c r="J34" t="str">
        <f>_xlfn.XLOOKUP(A34,A33:A632,[1]Sheet3!M61:M660)</f>
        <v>Sports</v>
      </c>
      <c r="K34" t="str">
        <f>_xlfn.XLOOKUP('Retail Sales'!A62,'Retail Sales'!A61:A660,[1]Sheet3!N61:N660)</f>
        <v>Tennis Racket</v>
      </c>
      <c r="L34" s="5">
        <f>_xlfn.XLOOKUP(A34,A33:A632,[1]Sheet3!P61:P660)</f>
        <v>1</v>
      </c>
      <c r="M34" s="7">
        <f>_xlfn.XLOOKUP(A34,A33:A632,[1]Sheet3!Q61:Q660)</f>
        <v>5935.12</v>
      </c>
      <c r="N34" s="9">
        <f>_xlfn.XLOOKUP(A34,A33:A632,[1]Sheet3!S61:S660)</f>
        <v>0.08</v>
      </c>
      <c r="O34" s="7">
        <f>_xlfn.XLOOKUP(A34,A33:A632,[1]Sheet3!T61:T660)</f>
        <v>6293.66</v>
      </c>
      <c r="P34" s="7">
        <f>_xlfn.XLOOKUP(A34,A33:A632,[1]Sheet3!U61:U660)</f>
        <v>1165.6300000000001</v>
      </c>
      <c r="Q34" s="11">
        <f>_xlfn.XLOOKUP(A34,A33:A632,[1]Sheet3!V61:V660)</f>
        <v>0.18520701785606469</v>
      </c>
      <c r="R34" s="7">
        <f>_xlfn.XLOOKUP(A34,A33:A632,[1]Sheet3!W61:W660)</f>
        <v>47.97</v>
      </c>
      <c r="S34" t="str">
        <f>_xlfn.XLOOKUP(A34,A33:A632,[1]Sheet3!X61:X660)</f>
        <v>Credit Card</v>
      </c>
      <c r="T34" s="5">
        <f>_xlfn.XLOOKUP(A34,A33:A632,[1]Sheet3!Z61:Z660)</f>
        <v>5</v>
      </c>
      <c r="U34" t="b">
        <f>_xlfn.XLOOKUP(A34,A33:A632,[1]Sheet3!AA61:AA660)</f>
        <v>0</v>
      </c>
      <c r="V34" t="str">
        <f>_xlfn.XLOOKUP(A34,A33:A632,[1]Sheet3!AC61:AC660)</f>
        <v>Delivered</v>
      </c>
      <c r="W34" s="5">
        <f>_xlfn.XLOOKUP(A34,A33:A632,[1]Sheet3!AE61:AE660)</f>
        <v>7</v>
      </c>
    </row>
    <row r="35" spans="1:23" x14ac:dyDescent="0.35">
      <c r="A35" t="s">
        <v>162</v>
      </c>
      <c r="B35" s="1">
        <f>_xlfn.XLOOKUP(A35,A34:A633,[1]Sheet3!C437:C1036)</f>
        <v>43932</v>
      </c>
      <c r="C35" t="str">
        <f>_xlfn.XLOOKUP(A35,A34:A633,[1]Sheet3!D437:D1036)</f>
        <v>CUST30800</v>
      </c>
      <c r="D35" t="str">
        <f>_xlfn.XLOOKUP(A35,A34:A633,[1]Sheet3!E437:E1036)</f>
        <v>Rohan Chatterjee</v>
      </c>
      <c r="E35" s="5">
        <f>_xlfn.XLOOKUP(A35,A34:A633,[1]Sheet3!G437:G1036)</f>
        <v>36</v>
      </c>
      <c r="F35" t="str">
        <f>_xlfn.XLOOKUP('Retail Sales'!A438,'Retail Sales'!A437:A1036,[1]Sheet3!H437:H1036)</f>
        <v>Adult</v>
      </c>
      <c r="G35" t="str">
        <f>_xlfn.XLOOKUP(A35,A34:A633,[1]Sheet3!J437:J1036)</f>
        <v>Other</v>
      </c>
      <c r="H35" t="str">
        <f>_xlfn.XLOOKUP(A35,A34:A633,[1]Sheet3!K437:K1036)</f>
        <v>Central</v>
      </c>
      <c r="I35" t="str">
        <f>_xlfn.XLOOKUP(A35,A34:A633,[1]Sheet3!L437:L1036)</f>
        <v>Nagpur</v>
      </c>
      <c r="J35" t="str">
        <f>_xlfn.XLOOKUP(A35,A34:A633,[1]Sheet3!M437:M1036)</f>
        <v>Beauty</v>
      </c>
      <c r="K35" t="str">
        <f>_xlfn.XLOOKUP('Retail Sales'!A438,'Retail Sales'!A437:A1036,[1]Sheet3!N437:N1036)</f>
        <v>Perfume</v>
      </c>
      <c r="L35" s="5">
        <f>_xlfn.XLOOKUP(A35,A34:A633,[1]Sheet3!P437:P1036)</f>
        <v>4</v>
      </c>
      <c r="M35" s="7">
        <f>_xlfn.XLOOKUP(A35,A34:A633,[1]Sheet3!Q437:Q1036)</f>
        <v>171.85</v>
      </c>
      <c r="N35" s="9">
        <f>_xlfn.XLOOKUP(A35,A34:A633,[1]Sheet3!S437:S1036)</f>
        <v>0.03</v>
      </c>
      <c r="O35" s="7">
        <f>_xlfn.XLOOKUP(A35,A34:A633,[1]Sheet3!T437:T1036)</f>
        <v>902.31</v>
      </c>
      <c r="P35" s="7">
        <f>_xlfn.XLOOKUP(A35,A34:A633,[1]Sheet3!U437:U1036)</f>
        <v>591.14</v>
      </c>
      <c r="Q35" s="11">
        <f>_xlfn.XLOOKUP(A35,A34:A633,[1]Sheet3!V437:V1036)</f>
        <v>0.6551406944398267</v>
      </c>
      <c r="R35" s="7">
        <f>_xlfn.XLOOKUP(A35,A34:A633,[1]Sheet3!W437:W1036)</f>
        <v>34.270000000000003</v>
      </c>
      <c r="S35" t="str">
        <f>_xlfn.XLOOKUP(A35,A34:A633,[1]Sheet3!X437:X1036)</f>
        <v>Debit Card</v>
      </c>
      <c r="T35" s="5">
        <f>_xlfn.XLOOKUP(A35,A34:A633,[1]Sheet3!Z437:Z1036)</f>
        <v>3</v>
      </c>
      <c r="U35" t="b">
        <f>_xlfn.XLOOKUP(A35,A34:A633,[1]Sheet3!AA437:AA1036)</f>
        <v>0</v>
      </c>
      <c r="V35" t="str">
        <f>_xlfn.XLOOKUP(A35,A34:A633,[1]Sheet3!AC437:AC1036)</f>
        <v>Shipped</v>
      </c>
      <c r="W35" s="5">
        <f>_xlfn.XLOOKUP(A35,A34:A633,[1]Sheet3!AE437:AE1036)</f>
        <v>8</v>
      </c>
    </row>
    <row r="36" spans="1:23" x14ac:dyDescent="0.35">
      <c r="A36" t="s">
        <v>211</v>
      </c>
      <c r="B36" s="1">
        <f>_xlfn.XLOOKUP(A36,A35:A634,[1]Sheet3!C388:C987)</f>
        <v>43941</v>
      </c>
      <c r="C36" t="str">
        <f>_xlfn.XLOOKUP(A36,A35:A634,[1]Sheet3!D388:D987)</f>
        <v>CUST66007</v>
      </c>
      <c r="D36" t="str">
        <f>_xlfn.XLOOKUP(A36,A35:A634,[1]Sheet3!E388:E987)</f>
        <v>Sunita Bose</v>
      </c>
      <c r="E36" s="5">
        <f>_xlfn.XLOOKUP(A36,A35:A634,[1]Sheet3!G388:G987)</f>
        <v>26</v>
      </c>
      <c r="F36" t="str">
        <f>_xlfn.XLOOKUP('Retail Sales'!A389,'Retail Sales'!A388:A987,[1]Sheet3!H388:H987)</f>
        <v>Young Adult</v>
      </c>
      <c r="G36" t="str">
        <f>_xlfn.XLOOKUP(A36,A35:A634,[1]Sheet3!J388:J987)</f>
        <v>Male</v>
      </c>
      <c r="H36" t="str">
        <f>_xlfn.XLOOKUP(A36,A35:A634,[1]Sheet3!K388:K987)</f>
        <v>North</v>
      </c>
      <c r="I36" t="str">
        <f>_xlfn.XLOOKUP(A36,A35:A634,[1]Sheet3!L388:L987)</f>
        <v>Ludhiana</v>
      </c>
      <c r="J36" t="str">
        <f>_xlfn.XLOOKUP(A36,A35:A634,[1]Sheet3!M388:M987)</f>
        <v>Furniture</v>
      </c>
      <c r="K36" t="str">
        <f>_xlfn.XLOOKUP('Retail Sales'!A389,'Retail Sales'!A388:A987,[1]Sheet3!N388:N987)</f>
        <v>Sofa</v>
      </c>
      <c r="L36" s="5">
        <f>_xlfn.XLOOKUP(A36,A35:A634,[1]Sheet3!P388:P987)</f>
        <v>1</v>
      </c>
      <c r="M36" s="7">
        <f>_xlfn.XLOOKUP(A36,A35:A634,[1]Sheet3!Q388:Q987)</f>
        <v>6470.7</v>
      </c>
      <c r="N36" s="9">
        <f>_xlfn.XLOOKUP(A36,A35:A634,[1]Sheet3!S388:S987)</f>
        <v>0.34</v>
      </c>
      <c r="O36" s="7">
        <f>_xlfn.XLOOKUP(A36,A35:A634,[1]Sheet3!T388:T987)</f>
        <v>4394.74</v>
      </c>
      <c r="P36" s="7">
        <f>_xlfn.XLOOKUP(A36,A35:A634,[1]Sheet3!U388:U987)</f>
        <v>1235.03</v>
      </c>
      <c r="Q36" s="11">
        <f>_xlfn.XLOOKUP(A36,A35:A634,[1]Sheet3!V388:V987)</f>
        <v>0.28102458848532563</v>
      </c>
      <c r="R36" s="7">
        <f>_xlfn.XLOOKUP(A36,A35:A634,[1]Sheet3!W388:W987)</f>
        <v>66.87</v>
      </c>
      <c r="S36" t="str">
        <f>_xlfn.XLOOKUP(A36,A35:A634,[1]Sheet3!X388:X987)</f>
        <v>Net Banking</v>
      </c>
      <c r="T36" s="5">
        <f>_xlfn.XLOOKUP(A36,A35:A634,[1]Sheet3!Z388:Z987)</f>
        <v>4</v>
      </c>
      <c r="U36" t="b">
        <f>_xlfn.XLOOKUP(A36,A35:A634,[1]Sheet3!AA388:AA987)</f>
        <v>0</v>
      </c>
      <c r="V36" t="str">
        <f>_xlfn.XLOOKUP(A36,A35:A634,[1]Sheet3!AC388:AC987)</f>
        <v>Delivered</v>
      </c>
      <c r="W36" s="5">
        <f>_xlfn.XLOOKUP(A36,A35:A634,[1]Sheet3!AE388:AE987)</f>
        <v>7</v>
      </c>
    </row>
    <row r="37" spans="1:23" x14ac:dyDescent="0.35">
      <c r="A37" t="s">
        <v>356</v>
      </c>
      <c r="B37" s="1">
        <f>_xlfn.XLOOKUP(A37,A36:A635,[1]Sheet3!C243:C842)</f>
        <v>43946</v>
      </c>
      <c r="C37" t="str">
        <f>_xlfn.XLOOKUP(A37,A36:A635,[1]Sheet3!D243:D842)</f>
        <v>CUST33827</v>
      </c>
      <c r="D37" t="str">
        <f>_xlfn.XLOOKUP(A37,A36:A635,[1]Sheet3!E243:E842)</f>
        <v>Rahul Bose</v>
      </c>
      <c r="E37" s="5">
        <f>_xlfn.XLOOKUP(A37,A36:A635,[1]Sheet3!G243:G842)</f>
        <v>24</v>
      </c>
      <c r="F37" t="str">
        <f>_xlfn.XLOOKUP('Retail Sales'!A244,'Retail Sales'!A243:A842,[1]Sheet3!H243:H842)</f>
        <v>Young Adult</v>
      </c>
      <c r="G37" t="str">
        <f>_xlfn.XLOOKUP(A37,A36:A635,[1]Sheet3!J243:J842)</f>
        <v>Male</v>
      </c>
      <c r="H37" t="str">
        <f>_xlfn.XLOOKUP(A37,A36:A635,[1]Sheet3!K243:K842)</f>
        <v>West</v>
      </c>
      <c r="I37" t="str">
        <f>_xlfn.XLOOKUP(A37,A36:A635,[1]Sheet3!L243:L842)</f>
        <v>Surat</v>
      </c>
      <c r="J37" t="str">
        <f>_xlfn.XLOOKUP(A37,A36:A635,[1]Sheet3!M243:M842)</f>
        <v>Furniture</v>
      </c>
      <c r="K37" t="str">
        <f>_xlfn.XLOOKUP('Retail Sales'!A244,'Retail Sales'!A243:A842,[1]Sheet3!N243:N842)</f>
        <v>Wardrobe</v>
      </c>
      <c r="L37" s="5">
        <f>_xlfn.XLOOKUP(A37,A36:A635,[1]Sheet3!P243:P842)</f>
        <v>2</v>
      </c>
      <c r="M37" s="7">
        <f>_xlfn.XLOOKUP(A37,A36:A635,[1]Sheet3!Q243:Q842)</f>
        <v>3582.55</v>
      </c>
      <c r="N37" s="9">
        <f>_xlfn.XLOOKUP(A37,A36:A635,[1]Sheet3!S243:S842)</f>
        <v>0.08</v>
      </c>
      <c r="O37" s="7">
        <f>_xlfn.XLOOKUP(A37,A36:A635,[1]Sheet3!T243:T842)</f>
        <v>8506.99</v>
      </c>
      <c r="P37" s="7">
        <f>_xlfn.XLOOKUP(A37,A36:A635,[1]Sheet3!U243:U842)</f>
        <v>2610.08</v>
      </c>
      <c r="Q37" s="11">
        <f>_xlfn.XLOOKUP(A37,A36:A635,[1]Sheet3!V243:V842)</f>
        <v>0.30681592431635629</v>
      </c>
      <c r="R37" s="7">
        <f>_xlfn.XLOOKUP(A37,A36:A635,[1]Sheet3!W243:W842)</f>
        <v>54.88</v>
      </c>
      <c r="S37" t="str">
        <f>_xlfn.XLOOKUP(A37,A36:A635,[1]Sheet3!X243:X842)</f>
        <v>Debit Card</v>
      </c>
      <c r="T37" s="5">
        <f>_xlfn.XLOOKUP(A37,A36:A635,[1]Sheet3!Z243:Z842)</f>
        <v>3</v>
      </c>
      <c r="U37" t="b">
        <f>_xlfn.XLOOKUP(A37,A36:A635,[1]Sheet3!AA243:AA842)</f>
        <v>0</v>
      </c>
      <c r="V37" t="str">
        <f>_xlfn.XLOOKUP(A37,A36:A635,[1]Sheet3!AC243:AC842)</f>
        <v>Delivered</v>
      </c>
      <c r="W37" s="5">
        <f>_xlfn.XLOOKUP(A37,A36:A635,[1]Sheet3!AE243:AE842)</f>
        <v>7</v>
      </c>
    </row>
    <row r="38" spans="1:23" x14ac:dyDescent="0.35">
      <c r="A38" t="s">
        <v>233</v>
      </c>
      <c r="B38" s="1">
        <f>_xlfn.XLOOKUP(A38,A37:A636,[1]Sheet3!C366:C965)</f>
        <v>43948</v>
      </c>
      <c r="C38" t="str">
        <f>_xlfn.XLOOKUP(A38,A37:A636,[1]Sheet3!D366:D965)</f>
        <v>CUST76356</v>
      </c>
      <c r="D38" t="str">
        <f>_xlfn.XLOOKUP(A38,A37:A636,[1]Sheet3!E366:E965)</f>
        <v>Aditya Pillai</v>
      </c>
      <c r="E38" s="5">
        <f>_xlfn.XLOOKUP(A38,A37:A636,[1]Sheet3!G366:G965)</f>
        <v>21</v>
      </c>
      <c r="F38" t="str">
        <f>_xlfn.XLOOKUP('Retail Sales'!A367,'Retail Sales'!A366:A965,[1]Sheet3!H366:H965)</f>
        <v>Young Adult</v>
      </c>
      <c r="G38" t="str">
        <f>_xlfn.XLOOKUP(A38,A37:A636,[1]Sheet3!J366:J965)</f>
        <v>Female</v>
      </c>
      <c r="H38" t="str">
        <f>_xlfn.XLOOKUP(A38,A37:A636,[1]Sheet3!K366:K965)</f>
        <v>East</v>
      </c>
      <c r="I38" t="str">
        <f>_xlfn.XLOOKUP(A38,A37:A636,[1]Sheet3!L366:L965)</f>
        <v>Kolkata</v>
      </c>
      <c r="J38" t="str">
        <f>_xlfn.XLOOKUP(A38,A37:A636,[1]Sheet3!M366:M965)</f>
        <v>Sports</v>
      </c>
      <c r="K38" t="str">
        <f>_xlfn.XLOOKUP('Retail Sales'!A367,'Retail Sales'!A366:A965,[1]Sheet3!N366:N965)</f>
        <v>Football</v>
      </c>
      <c r="L38" s="5">
        <f>_xlfn.XLOOKUP(A38,A37:A636,[1]Sheet3!P366:P965)</f>
        <v>6</v>
      </c>
      <c r="M38" s="7">
        <f>_xlfn.XLOOKUP(A38,A37:A636,[1]Sheet3!Q366:Q965)</f>
        <v>7876.81</v>
      </c>
      <c r="N38" s="9">
        <f>_xlfn.XLOOKUP(A38,A37:A636,[1]Sheet3!S366:S965)</f>
        <v>0.02</v>
      </c>
      <c r="O38" s="7">
        <f>_xlfn.XLOOKUP(A38,A37:A636,[1]Sheet3!T366:T965)</f>
        <v>58868.95</v>
      </c>
      <c r="P38" s="7">
        <f>_xlfn.XLOOKUP(A38,A37:A636,[1]Sheet3!U366:U965)</f>
        <v>12406.43</v>
      </c>
      <c r="Q38" s="11">
        <f>_xlfn.XLOOKUP(A38,A37:A636,[1]Sheet3!V366:V965)</f>
        <v>0.21074658202668811</v>
      </c>
      <c r="R38" s="7">
        <f>_xlfn.XLOOKUP(A38,A37:A636,[1]Sheet3!W366:W965)</f>
        <v>62.09</v>
      </c>
      <c r="S38" t="str">
        <f>_xlfn.XLOOKUP(A38,A37:A636,[1]Sheet3!X366:X965)</f>
        <v>Debit Card</v>
      </c>
      <c r="T38" s="5">
        <f>_xlfn.XLOOKUP(A38,A37:A636,[1]Sheet3!Z366:Z965)</f>
        <v>4</v>
      </c>
      <c r="U38" t="b">
        <f>_xlfn.XLOOKUP(A38,A37:A636,[1]Sheet3!AA366:AA965)</f>
        <v>0</v>
      </c>
      <c r="V38" t="str">
        <f>_xlfn.XLOOKUP(A38,A37:A636,[1]Sheet3!AC366:AC965)</f>
        <v>Shipped</v>
      </c>
      <c r="W38" s="5">
        <f>_xlfn.XLOOKUP(A38,A37:A636,[1]Sheet3!AE366:AE965)</f>
        <v>3</v>
      </c>
    </row>
    <row r="39" spans="1:23" x14ac:dyDescent="0.35">
      <c r="A39" t="s">
        <v>471</v>
      </c>
      <c r="B39" s="1">
        <f>_xlfn.XLOOKUP(A39,A38:A637,[1]Sheet3!C128:C727)</f>
        <v>43948</v>
      </c>
      <c r="C39" t="str">
        <f>_xlfn.XLOOKUP(A39,A38:A637,[1]Sheet3!D128:D727)</f>
        <v>CUST64785</v>
      </c>
      <c r="D39" t="str">
        <f>_xlfn.XLOOKUP(A39,A38:A637,[1]Sheet3!E128:E727)</f>
        <v>Sunita Reddy</v>
      </c>
      <c r="E39" s="5">
        <f>_xlfn.XLOOKUP(A39,A38:A637,[1]Sheet3!G128:G727)</f>
        <v>32</v>
      </c>
      <c r="F39" t="str">
        <f>_xlfn.XLOOKUP('Retail Sales'!A129,'Retail Sales'!A128:A727,[1]Sheet3!H128:H727)</f>
        <v>Young Adult</v>
      </c>
      <c r="G39" t="str">
        <f>_xlfn.XLOOKUP(A39,A38:A637,[1]Sheet3!J128:J727)</f>
        <v>Female</v>
      </c>
      <c r="H39" t="str">
        <f>_xlfn.XLOOKUP(A39,A38:A637,[1]Sheet3!K128:K727)</f>
        <v>West</v>
      </c>
      <c r="I39" t="str">
        <f>_xlfn.XLOOKUP(A39,A38:A637,[1]Sheet3!L128:L727)</f>
        <v>Mumbai</v>
      </c>
      <c r="J39" t="str">
        <f>_xlfn.XLOOKUP(A39,A38:A637,[1]Sheet3!M128:M727)</f>
        <v>Books</v>
      </c>
      <c r="K39" t="str">
        <f>_xlfn.XLOOKUP('Retail Sales'!A129,'Retail Sales'!A128:A727,[1]Sheet3!N128:N727)</f>
        <v>Cook Book</v>
      </c>
      <c r="L39" s="5">
        <f>_xlfn.XLOOKUP(A39,A38:A637,[1]Sheet3!P128:P727)</f>
        <v>7</v>
      </c>
      <c r="M39" s="7">
        <f>_xlfn.XLOOKUP(A39,A38:A637,[1]Sheet3!Q128:Q727)</f>
        <v>257.18</v>
      </c>
      <c r="N39" s="9">
        <f>_xlfn.XLOOKUP(A39,A38:A637,[1]Sheet3!S128:S727)</f>
        <v>0.28999999999999998</v>
      </c>
      <c r="O39" s="7">
        <f>_xlfn.XLOOKUP(A39,A38:A637,[1]Sheet3!T128:T727)</f>
        <v>1452.88</v>
      </c>
      <c r="P39" s="7">
        <f>_xlfn.XLOOKUP(A39,A38:A637,[1]Sheet3!U128:U727)</f>
        <v>604.80999999999995</v>
      </c>
      <c r="Q39" s="11">
        <f>_xlfn.XLOOKUP(A39,A38:A637,[1]Sheet3!V128:V727)</f>
        <v>0.41628351962997623</v>
      </c>
      <c r="R39" s="7">
        <f>_xlfn.XLOOKUP(A39,A38:A637,[1]Sheet3!W128:W727)</f>
        <v>60.36</v>
      </c>
      <c r="S39" t="str">
        <f>_xlfn.XLOOKUP(A39,A38:A637,[1]Sheet3!X128:X727)</f>
        <v>Credit Card</v>
      </c>
      <c r="T39" s="5">
        <f>_xlfn.XLOOKUP(A39,A38:A637,[1]Sheet3!Z128:Z727)</f>
        <v>1</v>
      </c>
      <c r="U39" t="b">
        <f>_xlfn.XLOOKUP(A39,A38:A637,[1]Sheet3!AA128:AA727)</f>
        <v>0</v>
      </c>
      <c r="V39" t="str">
        <f>_xlfn.XLOOKUP(A39,A38:A637,[1]Sheet3!AC128:AC727)</f>
        <v>Cancelled</v>
      </c>
      <c r="W39" s="5">
        <f>_xlfn.XLOOKUP(A39,A38:A637,[1]Sheet3!AE128:AE727)</f>
        <v>5</v>
      </c>
    </row>
    <row r="40" spans="1:23" x14ac:dyDescent="0.35">
      <c r="A40" t="s">
        <v>176</v>
      </c>
      <c r="B40" s="1">
        <f>_xlfn.XLOOKUP(A40,A39:A638,[1]Sheet3!C423:C1022)</f>
        <v>43949</v>
      </c>
      <c r="C40" t="str">
        <f>_xlfn.XLOOKUP(A40,A39:A638,[1]Sheet3!D423:D1022)</f>
        <v>CUST73911</v>
      </c>
      <c r="D40" t="str">
        <f>_xlfn.XLOOKUP(A40,A39:A638,[1]Sheet3!E423:E1022)</f>
        <v>Ritu Patel</v>
      </c>
      <c r="E40" s="5">
        <f>_xlfn.XLOOKUP(A40,A39:A638,[1]Sheet3!G423:G1022)</f>
        <v>34.294220665499125</v>
      </c>
      <c r="F40" t="str">
        <f>_xlfn.XLOOKUP('Retail Sales'!A424,'Retail Sales'!A423:A1022,[1]Sheet3!H423:H1022)</f>
        <v>Young Adult</v>
      </c>
      <c r="G40" t="str">
        <f>_xlfn.XLOOKUP(A40,A39:A638,[1]Sheet3!J423:J1022)</f>
        <v>Other</v>
      </c>
      <c r="H40" t="str">
        <f>_xlfn.XLOOKUP(A40,A39:A638,[1]Sheet3!K423:K1022)</f>
        <v>East</v>
      </c>
      <c r="I40" t="str">
        <f>_xlfn.XLOOKUP(A40,A39:A638,[1]Sheet3!L423:L1022)</f>
        <v>Kolkata</v>
      </c>
      <c r="J40" t="str">
        <f>_xlfn.XLOOKUP(A40,A39:A638,[1]Sheet3!M423:M1022)</f>
        <v>Clothing</v>
      </c>
      <c r="K40" t="str">
        <f>_xlfn.XLOOKUP('Retail Sales'!A424,'Retail Sales'!A423:A1022,[1]Sheet3!N423:N1022)</f>
        <v>Jeans</v>
      </c>
      <c r="L40" s="5">
        <f>_xlfn.XLOOKUP(A40,A39:A638,[1]Sheet3!P423:P1022)</f>
        <v>6</v>
      </c>
      <c r="M40" s="7">
        <f>_xlfn.XLOOKUP(A40,A39:A638,[1]Sheet3!Q423:Q1022)</f>
        <v>2934.92</v>
      </c>
      <c r="N40" s="9">
        <f>_xlfn.XLOOKUP(A40,A39:A638,[1]Sheet3!S423:S1022)</f>
        <v>0.1</v>
      </c>
      <c r="O40" s="7">
        <f>_xlfn.XLOOKUP(A40,A39:A638,[1]Sheet3!T423:T1022)</f>
        <v>18790.52</v>
      </c>
      <c r="P40" s="7">
        <f>_xlfn.XLOOKUP(A40,A39:A638,[1]Sheet3!U423:U1022)</f>
        <v>7715.18</v>
      </c>
      <c r="Q40" s="11">
        <f>_xlfn.XLOOKUP(A40,A39:A638,[1]Sheet3!V423:V1022)</f>
        <v>0.41058895655894567</v>
      </c>
      <c r="R40" s="7">
        <f>_xlfn.XLOOKUP(A40,A39:A638,[1]Sheet3!W423:W1022)</f>
        <v>74.02</v>
      </c>
      <c r="S40" t="str">
        <f>_xlfn.XLOOKUP(A40,A39:A638,[1]Sheet3!X423:X1022)</f>
        <v>Debit Card</v>
      </c>
      <c r="T40" s="5">
        <f>_xlfn.XLOOKUP(A40,A39:A638,[1]Sheet3!Z423:Z1022)</f>
        <v>5</v>
      </c>
      <c r="U40" t="b">
        <f>_xlfn.XLOOKUP(A40,A39:A638,[1]Sheet3!AA423:AA1022)</f>
        <v>0</v>
      </c>
      <c r="V40" t="str">
        <f>_xlfn.XLOOKUP(A40,A39:A638,[1]Sheet3!AC423:AC1022)</f>
        <v>Cancelled</v>
      </c>
      <c r="W40" s="5">
        <f>_xlfn.XLOOKUP(A40,A39:A638,[1]Sheet3!AE423:AE1022)</f>
        <v>8</v>
      </c>
    </row>
    <row r="41" spans="1:23" x14ac:dyDescent="0.35">
      <c r="A41" t="s">
        <v>420</v>
      </c>
      <c r="B41" s="1">
        <f>_xlfn.XLOOKUP(A41,A40:A639,[1]Sheet3!C179:C778)</f>
        <v>43952</v>
      </c>
      <c r="C41" t="str">
        <f>_xlfn.XLOOKUP(A41,A40:A639,[1]Sheet3!D179:D778)</f>
        <v>CUST92554</v>
      </c>
      <c r="D41" t="str">
        <f>_xlfn.XLOOKUP(A41,A40:A639,[1]Sheet3!E179:E778)</f>
        <v>Nisha Joshi</v>
      </c>
      <c r="E41" s="5">
        <f>_xlfn.XLOOKUP(A41,A40:A639,[1]Sheet3!G179:G778)</f>
        <v>34</v>
      </c>
      <c r="F41" t="str">
        <f>_xlfn.XLOOKUP('Retail Sales'!A180,'Retail Sales'!A179:A778,[1]Sheet3!H179:H778)</f>
        <v>Young Adult</v>
      </c>
      <c r="G41" t="str">
        <f>_xlfn.XLOOKUP(A41,A40:A639,[1]Sheet3!J179:J778)</f>
        <v>Other</v>
      </c>
      <c r="H41" t="str">
        <f>_xlfn.XLOOKUP(A41,A40:A639,[1]Sheet3!K179:K778)</f>
        <v>West</v>
      </c>
      <c r="I41" t="str">
        <f>_xlfn.XLOOKUP(A41,A40:A639,[1]Sheet3!L179:L778)</f>
        <v>Pune</v>
      </c>
      <c r="J41" t="str">
        <f>_xlfn.XLOOKUP(A41,A40:A639,[1]Sheet3!M179:M778)</f>
        <v>Electronics</v>
      </c>
      <c r="K41" t="str">
        <f>_xlfn.XLOOKUP('Retail Sales'!A180,'Retail Sales'!A179:A778,[1]Sheet3!N179:N778)</f>
        <v>Laptop</v>
      </c>
      <c r="L41" s="5">
        <f>_xlfn.XLOOKUP(A41,A40:A639,[1]Sheet3!P179:P778)</f>
        <v>8</v>
      </c>
      <c r="M41" s="7">
        <f>_xlfn.XLOOKUP(A41,A40:A639,[1]Sheet3!Q179:Q778)</f>
        <v>74156.479999999996</v>
      </c>
      <c r="N41" s="9">
        <f>_xlfn.XLOOKUP(A41,A40:A639,[1]Sheet3!S179:S778)</f>
        <v>0.02</v>
      </c>
      <c r="O41" s="7">
        <f>_xlfn.XLOOKUP(A41,A40:A639,[1]Sheet3!T179:T778)</f>
        <v>789939.57</v>
      </c>
      <c r="P41" s="7">
        <f>_xlfn.XLOOKUP(A41,A40:A639,[1]Sheet3!U179:U778)</f>
        <v>58250.48</v>
      </c>
      <c r="Q41" s="11">
        <f>_xlfn.XLOOKUP(A41,A40:A639,[1]Sheet3!V179:V778)</f>
        <v>7.3740425485964711E-2</v>
      </c>
      <c r="R41" s="7">
        <f>_xlfn.XLOOKUP(A41,A40:A639,[1]Sheet3!W179:W778)</f>
        <v>75.8</v>
      </c>
      <c r="S41" t="str">
        <f>_xlfn.XLOOKUP(A41,A40:A639,[1]Sheet3!X179:X778)</f>
        <v>Credit Card</v>
      </c>
      <c r="T41" s="5">
        <f>_xlfn.XLOOKUP(A41,A40:A639,[1]Sheet3!Z179:Z778)</f>
        <v>5</v>
      </c>
      <c r="U41" t="b">
        <f>_xlfn.XLOOKUP(A41,A40:A639,[1]Sheet3!AA179:AA778)</f>
        <v>0</v>
      </c>
      <c r="V41" t="str">
        <f>_xlfn.XLOOKUP(A41,A40:A639,[1]Sheet3!AC179:AC778)</f>
        <v>Delivered</v>
      </c>
      <c r="W41" s="5">
        <f>_xlfn.XLOOKUP(A41,A40:A639,[1]Sheet3!AE179:AE778)</f>
        <v>2</v>
      </c>
    </row>
    <row r="42" spans="1:23" x14ac:dyDescent="0.35">
      <c r="A42" t="s">
        <v>406</v>
      </c>
      <c r="B42" s="1">
        <f>_xlfn.XLOOKUP(A42,A41:A640,[1]Sheet3!C193:C792)</f>
        <v>43954</v>
      </c>
      <c r="C42" t="str">
        <f>_xlfn.XLOOKUP(A42,A41:A640,[1]Sheet3!D193:D792)</f>
        <v>CUST00544</v>
      </c>
      <c r="D42" t="str">
        <f>_xlfn.XLOOKUP(A42,A41:A640,[1]Sheet3!E193:E792)</f>
        <v>Sanjay Joshi</v>
      </c>
      <c r="E42" s="5">
        <f>_xlfn.XLOOKUP(A42,A41:A640,[1]Sheet3!G193:G792)</f>
        <v>26</v>
      </c>
      <c r="F42" t="str">
        <f>_xlfn.XLOOKUP('Retail Sales'!A194,'Retail Sales'!A193:A792,[1]Sheet3!H193:H792)</f>
        <v>Young Adult</v>
      </c>
      <c r="G42" t="str">
        <f>_xlfn.XLOOKUP(A42,A41:A640,[1]Sheet3!J193:J792)</f>
        <v>Male</v>
      </c>
      <c r="H42" t="str">
        <f>_xlfn.XLOOKUP(A42,A41:A640,[1]Sheet3!K193:K792)</f>
        <v>North</v>
      </c>
      <c r="I42" t="str">
        <f>_xlfn.XLOOKUP(A42,A41:A640,[1]Sheet3!L193:L792)</f>
        <v>Ludhiana</v>
      </c>
      <c r="J42" t="str">
        <f>_xlfn.XLOOKUP(A42,A41:A640,[1]Sheet3!M193:M792)</f>
        <v>Books</v>
      </c>
      <c r="K42" t="str">
        <f>_xlfn.XLOOKUP('Retail Sales'!A194,'Retail Sales'!A193:A792,[1]Sheet3!N193:N792)</f>
        <v>Textbook</v>
      </c>
      <c r="L42" s="5">
        <f>_xlfn.XLOOKUP(A42,A41:A640,[1]Sheet3!P193:P792)</f>
        <v>10</v>
      </c>
      <c r="M42" s="7">
        <f>_xlfn.XLOOKUP(A42,A41:A640,[1]Sheet3!Q193:Q792)</f>
        <v>1346.41</v>
      </c>
      <c r="N42" s="9">
        <f>_xlfn.XLOOKUP(A42,A41:A640,[1]Sheet3!S193:S792)</f>
        <v>0.24</v>
      </c>
      <c r="O42" s="7">
        <f>_xlfn.XLOOKUP(A42,A41:A640,[1]Sheet3!T193:T792)</f>
        <v>12502.33</v>
      </c>
      <c r="P42" s="7">
        <f>_xlfn.XLOOKUP(A42,A41:A640,[1]Sheet3!U193:U792)</f>
        <v>5924.88</v>
      </c>
      <c r="Q42" s="11">
        <f>_xlfn.XLOOKUP(A42,A41:A640,[1]Sheet3!V193:V792)</f>
        <v>0.47390206465514828</v>
      </c>
      <c r="R42" s="7">
        <f>_xlfn.XLOOKUP(A42,A41:A640,[1]Sheet3!W193:W792)</f>
        <v>55.15</v>
      </c>
      <c r="S42" t="str">
        <f>_xlfn.XLOOKUP(A42,A41:A640,[1]Sheet3!X193:X792)</f>
        <v>UPI</v>
      </c>
      <c r="T42" s="5">
        <f>_xlfn.XLOOKUP(A42,A41:A640,[1]Sheet3!Z193:Z792)</f>
        <v>1</v>
      </c>
      <c r="U42" t="b">
        <f>_xlfn.XLOOKUP(A42,A41:A640,[1]Sheet3!AA193:AA792)</f>
        <v>0</v>
      </c>
      <c r="V42" t="str">
        <f>_xlfn.XLOOKUP(A42,A41:A640,[1]Sheet3!AC193:AC792)</f>
        <v>Pending</v>
      </c>
      <c r="W42" s="5">
        <f>_xlfn.XLOOKUP(A42,A41:A640,[1]Sheet3!AE193:AE792)</f>
        <v>2</v>
      </c>
    </row>
    <row r="43" spans="1:23" x14ac:dyDescent="0.35">
      <c r="A43" t="s">
        <v>200</v>
      </c>
      <c r="B43" s="1">
        <f>_xlfn.XLOOKUP(A43,A42:A641,[1]Sheet3!C399:C998)</f>
        <v>43956</v>
      </c>
      <c r="C43" t="str">
        <f>_xlfn.XLOOKUP(A43,A42:A641,[1]Sheet3!D399:D998)</f>
        <v>CUST17741</v>
      </c>
      <c r="D43" t="str">
        <f>_xlfn.XLOOKUP(A43,A42:A641,[1]Sheet3!E399:E998)</f>
        <v>Arjun Verma</v>
      </c>
      <c r="E43" s="5">
        <f>_xlfn.XLOOKUP(A43,A42:A641,[1]Sheet3!G399:G998)</f>
        <v>32</v>
      </c>
      <c r="F43" t="str">
        <f>_xlfn.XLOOKUP('Retail Sales'!A400,'Retail Sales'!A399:A998,[1]Sheet3!H399:H998)</f>
        <v>Young Adult</v>
      </c>
      <c r="G43" t="str">
        <f>_xlfn.XLOOKUP(A43,A42:A641,[1]Sheet3!J399:J998)</f>
        <v>Female</v>
      </c>
      <c r="H43" t="str">
        <f>_xlfn.XLOOKUP(A43,A42:A641,[1]Sheet3!K399:K998)</f>
        <v>East</v>
      </c>
      <c r="I43" t="str">
        <f>_xlfn.XLOOKUP(A43,A42:A641,[1]Sheet3!L399:L998)</f>
        <v>Patna</v>
      </c>
      <c r="J43" t="str">
        <f>_xlfn.XLOOKUP(A43,A42:A641,[1]Sheet3!M399:M998)</f>
        <v>Books</v>
      </c>
      <c r="K43" t="str">
        <f>_xlfn.XLOOKUP('Retail Sales'!A400,'Retail Sales'!A399:A998,[1]Sheet3!N399:N998)</f>
        <v>Cook Book</v>
      </c>
      <c r="L43" s="5">
        <f>_xlfn.XLOOKUP(A43,A42:A641,[1]Sheet3!P399:P998)</f>
        <v>10</v>
      </c>
      <c r="M43" s="7">
        <f>_xlfn.XLOOKUP(A43,A42:A641,[1]Sheet3!Q399:Q998)</f>
        <v>1387.77</v>
      </c>
      <c r="N43" s="9">
        <f>_xlfn.XLOOKUP(A43,A42:A641,[1]Sheet3!S399:S998)</f>
        <v>0.03</v>
      </c>
      <c r="O43" s="7">
        <f>_xlfn.XLOOKUP(A43,A42:A641,[1]Sheet3!T399:T998)</f>
        <v>15244.18</v>
      </c>
      <c r="P43" s="7">
        <f>_xlfn.XLOOKUP(A43,A42:A641,[1]Sheet3!U399:U998)</f>
        <v>5378.75</v>
      </c>
      <c r="Q43" s="11">
        <f>_xlfn.XLOOKUP(A43,A42:A641,[1]Sheet3!V399:V998)</f>
        <v>0.35283957549700934</v>
      </c>
      <c r="R43" s="7">
        <f>_xlfn.XLOOKUP(A43,A42:A641,[1]Sheet3!W399:W998)</f>
        <v>88.89</v>
      </c>
      <c r="S43" t="str">
        <f>_xlfn.XLOOKUP(A43,A42:A641,[1]Sheet3!X399:X998)</f>
        <v>Net Banking</v>
      </c>
      <c r="T43" s="5">
        <f>_xlfn.XLOOKUP(A43,A42:A641,[1]Sheet3!Z399:Z998)</f>
        <v>4</v>
      </c>
      <c r="U43" t="b">
        <f>_xlfn.XLOOKUP(A43,A42:A641,[1]Sheet3!AA399:AA998)</f>
        <v>0</v>
      </c>
      <c r="V43" t="str">
        <f>_xlfn.XLOOKUP(A43,A42:A641,[1]Sheet3!AC399:AC998)</f>
        <v>Delivered</v>
      </c>
      <c r="W43" s="5">
        <f>_xlfn.XLOOKUP(A43,A42:A641,[1]Sheet3!AE399:AE998)</f>
        <v>9</v>
      </c>
    </row>
    <row r="44" spans="1:23" x14ac:dyDescent="0.35">
      <c r="A44" t="s">
        <v>594</v>
      </c>
      <c r="B44" s="1">
        <f>_xlfn.XLOOKUP(A44,A43:A642,[1]Sheet3!C5:C604)</f>
        <v>43958</v>
      </c>
      <c r="C44" t="str">
        <f>_xlfn.XLOOKUP(A44,A43:A642,[1]Sheet3!D5:D604)</f>
        <v>CUST58035</v>
      </c>
      <c r="D44" t="str">
        <f>_xlfn.XLOOKUP(A44,A43:A642,[1]Sheet3!E5:E604)</f>
        <v>Ritu Sharma</v>
      </c>
      <c r="E44" s="5">
        <f>_xlfn.XLOOKUP(A44,A43:A642,[1]Sheet3!G5:G604)</f>
        <v>9</v>
      </c>
      <c r="F44" t="str">
        <f>_xlfn.XLOOKUP('Retail Sales'!A6,'Retail Sales'!A5:A604,[1]Sheet3!H5:H604)</f>
        <v>Child</v>
      </c>
      <c r="G44" t="str">
        <f>_xlfn.XLOOKUP(A44,A43:A642,[1]Sheet3!J5:J604)</f>
        <v>Male</v>
      </c>
      <c r="H44" t="str">
        <f>_xlfn.XLOOKUP(A44,A43:A642,[1]Sheet3!K5:K604)</f>
        <v>Central</v>
      </c>
      <c r="I44" t="str">
        <f>_xlfn.XLOOKUP(A44,A43:A642,[1]Sheet3!L5:L604)</f>
        <v>Nagpur</v>
      </c>
      <c r="J44" t="str">
        <f>_xlfn.XLOOKUP(A44,A43:A642,[1]Sheet3!M5:M604)</f>
        <v>Groceries</v>
      </c>
      <c r="K44" t="str">
        <f>_xlfn.XLOOKUP('Retail Sales'!A6,'Retail Sales'!A5:A604,[1]Sheet3!N5:N604)</f>
        <v>Cooking Oil</v>
      </c>
      <c r="L44" s="5">
        <f>_xlfn.XLOOKUP(A44,A43:A642,[1]Sheet3!P5:P604)</f>
        <v>1</v>
      </c>
      <c r="M44" s="7">
        <f>_xlfn.XLOOKUP(A44,A43:A642,[1]Sheet3!Q5:Q604)</f>
        <v>320.06</v>
      </c>
      <c r="N44" s="9">
        <f>_xlfn.XLOOKUP(A44,A43:A642,[1]Sheet3!S5:S604)</f>
        <v>0.31</v>
      </c>
      <c r="O44" s="7">
        <f>_xlfn.XLOOKUP(A44,A43:A642,[1]Sheet3!T5:T604)</f>
        <v>323.95</v>
      </c>
      <c r="P44" s="7">
        <f>_xlfn.XLOOKUP(A44,A43:A642,[1]Sheet3!U5:U604)</f>
        <v>31.38</v>
      </c>
      <c r="Q44" s="11">
        <f>_xlfn.XLOOKUP(A44,A43:A642,[1]Sheet3!V5:V604)</f>
        <v>9.6866800432165459E-2</v>
      </c>
      <c r="R44" s="7">
        <f>_xlfn.XLOOKUP(A44,A43:A642,[1]Sheet3!W5:W604)</f>
        <v>48.81</v>
      </c>
      <c r="S44" t="str">
        <f>_xlfn.XLOOKUP(A44,A43:A642,[1]Sheet3!X5:X604)</f>
        <v>Net Banking</v>
      </c>
      <c r="T44" s="5">
        <f>_xlfn.XLOOKUP(A44,A43:A642,[1]Sheet3!Z5:Z604)</f>
        <v>4</v>
      </c>
      <c r="U44" t="b">
        <f>_xlfn.XLOOKUP(A44,A43:A642,[1]Sheet3!AA5:AA604)</f>
        <v>0</v>
      </c>
      <c r="V44" t="str">
        <f>_xlfn.XLOOKUP(A44,A43:A642,[1]Sheet3!AC5:AC604)</f>
        <v>Pending</v>
      </c>
      <c r="W44" s="5">
        <f>_xlfn.XLOOKUP(A44,A43:A642,[1]Sheet3!AE5:AE604)</f>
        <v>4</v>
      </c>
    </row>
    <row r="45" spans="1:23" x14ac:dyDescent="0.35">
      <c r="A45" t="s">
        <v>398</v>
      </c>
      <c r="B45" s="1">
        <f>_xlfn.XLOOKUP(A45,A44:A643,[1]Sheet3!C201:C800)</f>
        <v>43959</v>
      </c>
      <c r="C45" t="str">
        <f>_xlfn.XLOOKUP(A45,A44:A643,[1]Sheet3!D201:D800)</f>
        <v>CUST36091</v>
      </c>
      <c r="D45" t="str">
        <f>_xlfn.XLOOKUP(A45,A44:A643,[1]Sheet3!E201:E800)</f>
        <v>Meera Mehta</v>
      </c>
      <c r="E45" s="5">
        <f>_xlfn.XLOOKUP(A45,A44:A643,[1]Sheet3!G201:G800)</f>
        <v>43</v>
      </c>
      <c r="F45" t="str">
        <f>_xlfn.XLOOKUP('Retail Sales'!A202,'Retail Sales'!A201:A800,[1]Sheet3!H201:H800)</f>
        <v>Adult</v>
      </c>
      <c r="G45" t="str">
        <f>_xlfn.XLOOKUP(A45,A44:A643,[1]Sheet3!J201:J800)</f>
        <v>Other</v>
      </c>
      <c r="H45" t="str">
        <f>_xlfn.XLOOKUP(A45,A44:A643,[1]Sheet3!K201:K800)</f>
        <v>North</v>
      </c>
      <c r="I45" t="str">
        <f>_xlfn.XLOOKUP(A45,A44:A643,[1]Sheet3!L201:L800)</f>
        <v>Delhi</v>
      </c>
      <c r="J45" t="str">
        <f>_xlfn.XLOOKUP(A45,A44:A643,[1]Sheet3!M201:M800)</f>
        <v>Electronics</v>
      </c>
      <c r="K45" t="str">
        <f>_xlfn.XLOOKUP('Retail Sales'!A202,'Retail Sales'!A201:A800,[1]Sheet3!N201:N800)</f>
        <v>Laptop</v>
      </c>
      <c r="L45" s="5">
        <f>_xlfn.XLOOKUP(A45,A44:A643,[1]Sheet3!P201:P800)</f>
        <v>5</v>
      </c>
      <c r="M45" s="7">
        <f>_xlfn.XLOOKUP(A45,A44:A643,[1]Sheet3!Q201:Q800)</f>
        <v>16919.29</v>
      </c>
      <c r="N45" s="9">
        <f>_xlfn.XLOOKUP(A45,A44:A643,[1]Sheet3!S201:S800)</f>
        <v>0.06</v>
      </c>
      <c r="O45" s="7">
        <f>_xlfn.XLOOKUP(A45,A44:A643,[1]Sheet3!T201:T800)</f>
        <v>117489.88</v>
      </c>
      <c r="P45" s="7">
        <f>_xlfn.XLOOKUP(A45,A44:A643,[1]Sheet3!U201:U800)</f>
        <v>14930.93</v>
      </c>
      <c r="Q45" s="11">
        <f>_xlfn.XLOOKUP(A45,A44:A643,[1]Sheet3!V201:V800)</f>
        <v>0.12708269001551453</v>
      </c>
      <c r="R45" s="7">
        <f>_xlfn.XLOOKUP(A45,A44:A643,[1]Sheet3!W201:W800)</f>
        <v>59.99</v>
      </c>
      <c r="S45" t="str">
        <f>_xlfn.XLOOKUP(A45,A44:A643,[1]Sheet3!X201:X800)</f>
        <v>UPI</v>
      </c>
      <c r="T45" s="5">
        <f>_xlfn.XLOOKUP(A45,A44:A643,[1]Sheet3!Z201:Z800)</f>
        <v>5</v>
      </c>
      <c r="U45" t="b">
        <f>_xlfn.XLOOKUP(A45,A44:A643,[1]Sheet3!AA201:AA800)</f>
        <v>1</v>
      </c>
      <c r="V45" t="str">
        <f>_xlfn.XLOOKUP(A45,A44:A643,[1]Sheet3!AC201:AC800)</f>
        <v>Returned</v>
      </c>
      <c r="W45" s="5">
        <f>_xlfn.XLOOKUP(A45,A44:A643,[1]Sheet3!AE201:AE800)</f>
        <v>10</v>
      </c>
    </row>
    <row r="46" spans="1:23" x14ac:dyDescent="0.35">
      <c r="A46" t="s">
        <v>37</v>
      </c>
      <c r="B46" s="1">
        <f>_xlfn.XLOOKUP(A46,A45:A644,[1]Sheet3!C562:C1161)</f>
        <v>43970</v>
      </c>
      <c r="C46" t="str">
        <f>_xlfn.XLOOKUP(A46,A45:A644,[1]Sheet3!D562:D1161)</f>
        <v>CUST52213</v>
      </c>
      <c r="D46" t="str">
        <f>_xlfn.XLOOKUP(A46,A45:A644,[1]Sheet3!E562:E1161)</f>
        <v>Kavya Iyer</v>
      </c>
      <c r="E46" s="5">
        <f>_xlfn.XLOOKUP(A46,A45:A644,[1]Sheet3!G562:G1161)</f>
        <v>53</v>
      </c>
      <c r="F46" t="str">
        <f>_xlfn.XLOOKUP('Retail Sales'!A563,'Retail Sales'!A562:A1161,[1]Sheet3!H562:H1161)</f>
        <v>Senior</v>
      </c>
      <c r="G46" t="str">
        <f>_xlfn.XLOOKUP(A46,A45:A644,[1]Sheet3!J562:J1161)</f>
        <v>Other</v>
      </c>
      <c r="H46" t="str">
        <f>_xlfn.XLOOKUP(A46,A45:A644,[1]Sheet3!K562:K1161)</f>
        <v>South</v>
      </c>
      <c r="I46" t="str">
        <f>_xlfn.XLOOKUP(A46,A45:A644,[1]Sheet3!L562:L1161)</f>
        <v>Bangalore</v>
      </c>
      <c r="J46" t="str">
        <f>_xlfn.XLOOKUP(A46,A45:A644,[1]Sheet3!M562:M1161)</f>
        <v>Groceries</v>
      </c>
      <c r="K46" t="str">
        <f>_xlfn.XLOOKUP('Retail Sales'!A563,'Retail Sales'!A562:A1161,[1]Sheet3!N562:N1161)</f>
        <v>Rice (5kg)</v>
      </c>
      <c r="L46" s="5">
        <f>_xlfn.XLOOKUP(A46,A45:A644,[1]Sheet3!P562:P1161)</f>
        <v>4</v>
      </c>
      <c r="M46" s="7">
        <f>_xlfn.XLOOKUP(A46,A45:A644,[1]Sheet3!Q562:Q1161)</f>
        <v>429.54</v>
      </c>
      <c r="N46" s="9">
        <f>_xlfn.XLOOKUP(A46,A45:A644,[1]Sheet3!S562:S1161)</f>
        <v>0.06</v>
      </c>
      <c r="O46" s="7">
        <f>_xlfn.XLOOKUP(A46,A45:A644,[1]Sheet3!T562:T1161)</f>
        <v>2163.54</v>
      </c>
      <c r="P46" s="7">
        <f>_xlfn.XLOOKUP(A46,A45:A644,[1]Sheet3!U562:U1161)</f>
        <v>148.28</v>
      </c>
      <c r="Q46" s="11">
        <f>_xlfn.XLOOKUP(A46,A45:A644,[1]Sheet3!V562:V1161)</f>
        <v>6.8535825545171347E-2</v>
      </c>
      <c r="R46" s="7">
        <f>_xlfn.XLOOKUP(A46,A45:A644,[1]Sheet3!W562:W1161)</f>
        <v>61.97</v>
      </c>
      <c r="S46" t="str">
        <f>_xlfn.XLOOKUP(A46,A45:A644,[1]Sheet3!X562:X1161)</f>
        <v>Credit Card</v>
      </c>
      <c r="T46" s="5">
        <f>_xlfn.XLOOKUP(A46,A45:A644,[1]Sheet3!Z562:Z1161)</f>
        <v>2</v>
      </c>
      <c r="U46" t="b">
        <f>_xlfn.XLOOKUP(A46,A45:A644,[1]Sheet3!AA562:AA1161)</f>
        <v>1</v>
      </c>
      <c r="V46" t="str">
        <f>_xlfn.XLOOKUP(A46,A45:A644,[1]Sheet3!AC562:AC1161)</f>
        <v>Returned</v>
      </c>
      <c r="W46" s="5">
        <f>_xlfn.XLOOKUP(A46,A45:A644,[1]Sheet3!AE562:AE1161)</f>
        <v>7</v>
      </c>
    </row>
    <row r="47" spans="1:23" x14ac:dyDescent="0.35">
      <c r="A47" t="s">
        <v>34</v>
      </c>
      <c r="B47" s="1">
        <f>_xlfn.XLOOKUP(A47,A46:A645,[1]Sheet3!C565:C1164)</f>
        <v>43971</v>
      </c>
      <c r="C47" t="str">
        <f>_xlfn.XLOOKUP(A47,A46:A645,[1]Sheet3!D565:D1164)</f>
        <v>CUST80292</v>
      </c>
      <c r="D47" t="str">
        <f>_xlfn.XLOOKUP(A47,A46:A645,[1]Sheet3!E565:E1164)</f>
        <v>Ritu Shah</v>
      </c>
      <c r="E47" s="5">
        <f>_xlfn.XLOOKUP(A47,A46:A645,[1]Sheet3!G565:G1164)</f>
        <v>20</v>
      </c>
      <c r="F47" t="str">
        <f>_xlfn.XLOOKUP('Retail Sales'!A566,'Retail Sales'!A565:A1164,[1]Sheet3!H565:H1164)</f>
        <v>Young Adult</v>
      </c>
      <c r="G47" t="str">
        <f>_xlfn.XLOOKUP(A47,A46:A645,[1]Sheet3!J565:J1164)</f>
        <v>Other</v>
      </c>
      <c r="H47" t="str">
        <f>_xlfn.XLOOKUP(A47,A46:A645,[1]Sheet3!K565:K1164)</f>
        <v>Central</v>
      </c>
      <c r="I47" t="str">
        <f>_xlfn.XLOOKUP(A47,A46:A645,[1]Sheet3!L565:L1164)</f>
        <v>Raipur</v>
      </c>
      <c r="J47" t="str">
        <f>_xlfn.XLOOKUP(A47,A46:A645,[1]Sheet3!M565:M1164)</f>
        <v>Sports</v>
      </c>
      <c r="K47" t="str">
        <f>_xlfn.XLOOKUP('Retail Sales'!A566,'Retail Sales'!A565:A1164,[1]Sheet3!N565:N1164)</f>
        <v>Tennis Racket</v>
      </c>
      <c r="L47" s="5">
        <f>_xlfn.XLOOKUP(A47,A46:A645,[1]Sheet3!P565:P1164)</f>
        <v>7</v>
      </c>
      <c r="M47" s="7">
        <f>_xlfn.XLOOKUP(A47,A46:A645,[1]Sheet3!Q565:Q1164)</f>
        <v>4673.1899999999996</v>
      </c>
      <c r="N47" s="9">
        <f>_xlfn.XLOOKUP(A47,A46:A645,[1]Sheet3!S565:S1164)</f>
        <v>0.33</v>
      </c>
      <c r="O47" s="7">
        <f>_xlfn.XLOOKUP(A47,A46:A645,[1]Sheet3!T565:T1164)</f>
        <v>25140.26</v>
      </c>
      <c r="P47" s="7">
        <f>_xlfn.XLOOKUP(A47,A46:A645,[1]Sheet3!U565:U1164)</f>
        <v>7454.48</v>
      </c>
      <c r="Q47" s="11">
        <f>_xlfn.XLOOKUP(A47,A46:A645,[1]Sheet3!V565:V1164)</f>
        <v>0.29651562871664811</v>
      </c>
      <c r="R47" s="7">
        <f>_xlfn.XLOOKUP(A47,A46:A645,[1]Sheet3!W565:W1164)</f>
        <v>59.8</v>
      </c>
      <c r="S47" t="str">
        <f>_xlfn.XLOOKUP(A47,A46:A645,[1]Sheet3!X565:X1164)</f>
        <v>Cash on Delivery</v>
      </c>
      <c r="T47" s="5">
        <f>_xlfn.XLOOKUP(A47,A46:A645,[1]Sheet3!Z565:Z1164)</f>
        <v>1</v>
      </c>
      <c r="U47" t="b">
        <f>_xlfn.XLOOKUP(A47,A46:A645,[1]Sheet3!AA565:AA1164)</f>
        <v>0</v>
      </c>
      <c r="V47" t="str">
        <f>_xlfn.XLOOKUP(A47,A46:A645,[1]Sheet3!AC565:AC1164)</f>
        <v>Delivered</v>
      </c>
      <c r="W47" s="5">
        <f>_xlfn.XLOOKUP(A47,A46:A645,[1]Sheet3!AE565:AE1164)</f>
        <v>4</v>
      </c>
    </row>
    <row r="48" spans="1:23" x14ac:dyDescent="0.35">
      <c r="A48" t="s">
        <v>311</v>
      </c>
      <c r="B48" s="1">
        <f>_xlfn.XLOOKUP(A48,A47:A646,[1]Sheet3!C288:C887)</f>
        <v>43972</v>
      </c>
      <c r="C48" t="str">
        <f>_xlfn.XLOOKUP(A48,A47:A646,[1]Sheet3!D288:D887)</f>
        <v>CUST34894</v>
      </c>
      <c r="D48" t="str">
        <f>_xlfn.XLOOKUP(A48,A47:A646,[1]Sheet3!E288:E887)</f>
        <v>Ritu Mehta</v>
      </c>
      <c r="E48" s="5">
        <f>_xlfn.XLOOKUP(A48,A47:A646,[1]Sheet3!G288:G887)</f>
        <v>32</v>
      </c>
      <c r="F48" t="str">
        <f>_xlfn.XLOOKUP('Retail Sales'!A289,'Retail Sales'!A288:A887,[1]Sheet3!H288:H887)</f>
        <v>Young Adult</v>
      </c>
      <c r="G48" t="str">
        <f>_xlfn.XLOOKUP(A48,A47:A646,[1]Sheet3!J288:J887)</f>
        <v>Other</v>
      </c>
      <c r="H48" t="str">
        <f>_xlfn.XLOOKUP(A48,A47:A646,[1]Sheet3!K288:K887)</f>
        <v>East</v>
      </c>
      <c r="I48" t="str">
        <f>_xlfn.XLOOKUP(A48,A47:A646,[1]Sheet3!L288:L887)</f>
        <v>Guwahati</v>
      </c>
      <c r="J48" t="str">
        <f>_xlfn.XLOOKUP(A48,A47:A646,[1]Sheet3!M288:M887)</f>
        <v>Electronics</v>
      </c>
      <c r="K48" t="str">
        <f>_xlfn.XLOOKUP('Retail Sales'!A289,'Retail Sales'!A288:A887,[1]Sheet3!N288:N887)</f>
        <v>Smartwatch</v>
      </c>
      <c r="L48" s="5">
        <f>_xlfn.XLOOKUP(A48,A47:A646,[1]Sheet3!P288:P887)</f>
        <v>7.0954861111111107</v>
      </c>
      <c r="M48" s="7">
        <f>_xlfn.XLOOKUP(A48,A47:A646,[1]Sheet3!Q288:Q887)</f>
        <v>59036.18</v>
      </c>
      <c r="N48" s="9">
        <f>_xlfn.XLOOKUP(A48,A47:A646,[1]Sheet3!S288:S887)</f>
        <v>0.38</v>
      </c>
      <c r="O48" s="7">
        <f>_xlfn.XLOOKUP(A48,A47:A646,[1]Sheet3!T288:T887)</f>
        <v>48186.78</v>
      </c>
      <c r="P48" s="7">
        <f>_xlfn.XLOOKUP(A48,A47:A646,[1]Sheet3!U288:U887)</f>
        <v>5073.5</v>
      </c>
      <c r="Q48" s="11">
        <f>_xlfn.XLOOKUP(A48,A47:A646,[1]Sheet3!V288:V887)</f>
        <v>0.10528821390431152</v>
      </c>
      <c r="R48" s="7">
        <f>_xlfn.XLOOKUP(A48,A47:A646,[1]Sheet3!W288:W887)</f>
        <v>67</v>
      </c>
      <c r="S48" t="str">
        <f>_xlfn.XLOOKUP(A48,A47:A646,[1]Sheet3!X288:X887)</f>
        <v>Net Banking</v>
      </c>
      <c r="T48" s="5">
        <f>_xlfn.XLOOKUP(A48,A47:A646,[1]Sheet3!Z288:Z887)</f>
        <v>4</v>
      </c>
      <c r="U48" t="b">
        <f>_xlfn.XLOOKUP(A48,A47:A646,[1]Sheet3!AA288:AA887)</f>
        <v>0</v>
      </c>
      <c r="V48" t="str">
        <f>_xlfn.XLOOKUP(A48,A47:A646,[1]Sheet3!AC288:AC887)</f>
        <v>Delivered</v>
      </c>
      <c r="W48" s="5">
        <f>_xlfn.XLOOKUP(A48,A47:A646,[1]Sheet3!AE288:AE887)</f>
        <v>3</v>
      </c>
    </row>
    <row r="49" spans="1:23" x14ac:dyDescent="0.35">
      <c r="A49" t="s">
        <v>283</v>
      </c>
      <c r="B49" s="1">
        <f>_xlfn.XLOOKUP(A49,A48:A647,[1]Sheet3!C316:C915)</f>
        <v>43977</v>
      </c>
      <c r="C49" t="str">
        <f>_xlfn.XLOOKUP(A49,A48:A647,[1]Sheet3!D316:D915)</f>
        <v>CUST25152</v>
      </c>
      <c r="D49" t="str">
        <f>_xlfn.XLOOKUP(A49,A48:A647,[1]Sheet3!E316:E915)</f>
        <v>Shreya Mishra</v>
      </c>
      <c r="E49" s="5">
        <f>_xlfn.XLOOKUP(A49,A48:A647,[1]Sheet3!G316:G915)</f>
        <v>61</v>
      </c>
      <c r="F49" t="str">
        <f>_xlfn.XLOOKUP('Retail Sales'!A317,'Retail Sales'!A316:A915,[1]Sheet3!H316:H915)</f>
        <v>Senior</v>
      </c>
      <c r="G49" t="str">
        <f>_xlfn.XLOOKUP(A49,A48:A647,[1]Sheet3!J316:J915)</f>
        <v>Female</v>
      </c>
      <c r="H49" t="str">
        <f>_xlfn.XLOOKUP(A49,A48:A647,[1]Sheet3!K316:K915)</f>
        <v>West</v>
      </c>
      <c r="I49" t="str">
        <f>_xlfn.XLOOKUP(A49,A48:A647,[1]Sheet3!L316:L915)</f>
        <v>Ahmedabad</v>
      </c>
      <c r="J49" t="str">
        <f>_xlfn.XLOOKUP(A49,A48:A647,[1]Sheet3!M316:M915)</f>
        <v>Books</v>
      </c>
      <c r="K49" t="str">
        <f>_xlfn.XLOOKUP('Retail Sales'!A317,'Retail Sales'!A316:A915,[1]Sheet3!N316:N915)</f>
        <v>Cook Book</v>
      </c>
      <c r="L49" s="5">
        <f>_xlfn.XLOOKUP(A49,A48:A647,[1]Sheet3!P316:P915)</f>
        <v>2</v>
      </c>
      <c r="M49" s="7">
        <f>_xlfn.XLOOKUP(A49,A48:A647,[1]Sheet3!Q316:Q915)</f>
        <v>425.83</v>
      </c>
      <c r="N49" s="9">
        <f>_xlfn.XLOOKUP(A49,A48:A647,[1]Sheet3!S316:S915)</f>
        <v>0.04</v>
      </c>
      <c r="O49" s="7">
        <f>_xlfn.XLOOKUP(A49,A48:A647,[1]Sheet3!T316:T915)</f>
        <v>846.36</v>
      </c>
      <c r="P49" s="7">
        <f>_xlfn.XLOOKUP(A49,A48:A647,[1]Sheet3!U316:U915)</f>
        <v>364.43</v>
      </c>
      <c r="Q49" s="11">
        <f>_xlfn.XLOOKUP(A49,A48:A647,[1]Sheet3!V316:V915)</f>
        <v>0.43058509381350724</v>
      </c>
      <c r="R49" s="7">
        <f>_xlfn.XLOOKUP(A49,A48:A647,[1]Sheet3!W316:W915)</f>
        <v>42.68</v>
      </c>
      <c r="S49" t="str">
        <f>_xlfn.XLOOKUP(A49,A48:A647,[1]Sheet3!X316:X915)</f>
        <v>UPI</v>
      </c>
      <c r="T49" s="5">
        <f>_xlfn.XLOOKUP(A49,A48:A647,[1]Sheet3!Z316:Z915)</f>
        <v>4</v>
      </c>
      <c r="U49" t="b">
        <f>_xlfn.XLOOKUP(A49,A48:A647,[1]Sheet3!AA316:AA915)</f>
        <v>0</v>
      </c>
      <c r="V49" t="str">
        <f>_xlfn.XLOOKUP(A49,A48:A647,[1]Sheet3!AC316:AC915)</f>
        <v>Delivered</v>
      </c>
      <c r="W49" s="5">
        <f>_xlfn.XLOOKUP(A49,A48:A647,[1]Sheet3!AE316:AE915)</f>
        <v>10</v>
      </c>
    </row>
    <row r="50" spans="1:23" x14ac:dyDescent="0.35">
      <c r="A50" t="s">
        <v>383</v>
      </c>
      <c r="B50" s="1">
        <f>_xlfn.XLOOKUP(A50,A49:A648,[1]Sheet3!C216:C815)</f>
        <v>43978</v>
      </c>
      <c r="C50" t="str">
        <f>_xlfn.XLOOKUP(A50,A49:A648,[1]Sheet3!D216:D815)</f>
        <v>CUST65020</v>
      </c>
      <c r="D50" t="str">
        <f>_xlfn.XLOOKUP(A50,A49:A648,[1]Sheet3!E216:E815)</f>
        <v>Pooja Bhat</v>
      </c>
      <c r="E50" s="5">
        <f>_xlfn.XLOOKUP(A50,A49:A648,[1]Sheet3!G216:G815)</f>
        <v>28</v>
      </c>
      <c r="F50" t="str">
        <f>_xlfn.XLOOKUP('Retail Sales'!A217,'Retail Sales'!A216:A815,[1]Sheet3!H216:H815)</f>
        <v>Young Adult</v>
      </c>
      <c r="G50" t="str">
        <f>_xlfn.XLOOKUP(A50,A49:A648,[1]Sheet3!J216:J815)</f>
        <v>Other</v>
      </c>
      <c r="H50" t="str">
        <f>_xlfn.XLOOKUP(A50,A49:A648,[1]Sheet3!K216:K815)</f>
        <v>West</v>
      </c>
      <c r="I50" t="str">
        <f>_xlfn.XLOOKUP(A50,A49:A648,[1]Sheet3!L216:L815)</f>
        <v>Pune</v>
      </c>
      <c r="J50" t="str">
        <f>_xlfn.XLOOKUP(A50,A49:A648,[1]Sheet3!M216:M815)</f>
        <v>Furniture</v>
      </c>
      <c r="K50" t="str">
        <f>_xlfn.XLOOKUP('Retail Sales'!A217,'Retail Sales'!A216:A815,[1]Sheet3!N216:N815)</f>
        <v>Wardrobe</v>
      </c>
      <c r="L50" s="5">
        <f>_xlfn.XLOOKUP(A50,A49:A648,[1]Sheet3!P216:P815)</f>
        <v>10</v>
      </c>
      <c r="M50" s="7">
        <f>_xlfn.XLOOKUP(A50,A49:A648,[1]Sheet3!Q216:Q815)</f>
        <v>2690.93</v>
      </c>
      <c r="N50" s="9">
        <f>_xlfn.XLOOKUP(A50,A49:A648,[1]Sheet3!S216:S815)</f>
        <v>0.35</v>
      </c>
      <c r="O50" s="7">
        <f>_xlfn.XLOOKUP(A50,A49:A648,[1]Sheet3!T216:T815)</f>
        <v>23373.24</v>
      </c>
      <c r="P50" s="7">
        <f>_xlfn.XLOOKUP(A50,A49:A648,[1]Sheet3!U216:U815)</f>
        <v>7410.64</v>
      </c>
      <c r="Q50" s="11">
        <f>_xlfn.XLOOKUP(A50,A49:A648,[1]Sheet3!V216:V815)</f>
        <v>0.31705659976965112</v>
      </c>
      <c r="R50" s="7">
        <f>_xlfn.XLOOKUP(A50,A49:A648,[1]Sheet3!W216:W815)</f>
        <v>43.86</v>
      </c>
      <c r="S50" t="str">
        <f>_xlfn.XLOOKUP(A50,A49:A648,[1]Sheet3!X216:X815)</f>
        <v>UPI</v>
      </c>
      <c r="T50" s="5">
        <f>_xlfn.XLOOKUP(A50,A49:A648,[1]Sheet3!Z216:Z815)</f>
        <v>4</v>
      </c>
      <c r="U50" t="b">
        <f>_xlfn.XLOOKUP(A50,A49:A648,[1]Sheet3!AA216:AA815)</f>
        <v>1</v>
      </c>
      <c r="V50" t="str">
        <f>_xlfn.XLOOKUP(A50,A49:A648,[1]Sheet3!AC216:AC815)</f>
        <v>Returned</v>
      </c>
      <c r="W50" s="5">
        <f>_xlfn.XLOOKUP(A50,A49:A648,[1]Sheet3!AE216:AE815)</f>
        <v>4</v>
      </c>
    </row>
    <row r="51" spans="1:23" x14ac:dyDescent="0.35">
      <c r="A51" t="s">
        <v>251</v>
      </c>
      <c r="B51" s="1">
        <f>_xlfn.XLOOKUP(A51,A50:A649,[1]Sheet3!C348:C947)</f>
        <v>43979</v>
      </c>
      <c r="C51" t="str">
        <f>_xlfn.XLOOKUP(A51,A50:A649,[1]Sheet3!D348:D947)</f>
        <v>CUST91659</v>
      </c>
      <c r="D51" t="str">
        <f>_xlfn.XLOOKUP(A51,A50:A649,[1]Sheet3!E348:E947)</f>
        <v>Shreya Verma</v>
      </c>
      <c r="E51" s="5">
        <f>_xlfn.XLOOKUP(A51,A50:A649,[1]Sheet3!G348:G947)</f>
        <v>20</v>
      </c>
      <c r="F51" t="str">
        <f>_xlfn.XLOOKUP('Retail Sales'!A349,'Retail Sales'!A348:A947,[1]Sheet3!H348:H947)</f>
        <v>Young Adult</v>
      </c>
      <c r="G51" t="str">
        <f>_xlfn.XLOOKUP(A51,A50:A649,[1]Sheet3!J348:J947)</f>
        <v>Male</v>
      </c>
      <c r="H51" t="str">
        <f>_xlfn.XLOOKUP(A51,A50:A649,[1]Sheet3!K348:K947)</f>
        <v>Central</v>
      </c>
      <c r="I51" t="str">
        <f>_xlfn.XLOOKUP(A51,A50:A649,[1]Sheet3!L348:L947)</f>
        <v>Nagpur</v>
      </c>
      <c r="J51" t="str">
        <f>_xlfn.XLOOKUP(A51,A50:A649,[1]Sheet3!M348:M947)</f>
        <v>Clothing</v>
      </c>
      <c r="K51" t="str">
        <f>_xlfn.XLOOKUP('Retail Sales'!A349,'Retail Sales'!A348:A947,[1]Sheet3!N348:N947)</f>
        <v>Kurta</v>
      </c>
      <c r="L51" s="5">
        <f>_xlfn.XLOOKUP(A51,A50:A649,[1]Sheet3!P348:P947)</f>
        <v>1</v>
      </c>
      <c r="M51" s="7">
        <f>_xlfn.XLOOKUP(A51,A50:A649,[1]Sheet3!Q348:Q947)</f>
        <v>1604.88</v>
      </c>
      <c r="N51" s="9">
        <f>_xlfn.XLOOKUP(A51,A50:A649,[1]Sheet3!S348:S947)</f>
        <v>0.22</v>
      </c>
      <c r="O51" s="7">
        <f>_xlfn.XLOOKUP(A51,A50:A649,[1]Sheet3!T348:T947)</f>
        <v>1620.42</v>
      </c>
      <c r="P51" s="7">
        <f>_xlfn.XLOOKUP(A51,A50:A649,[1]Sheet3!U348:U947)</f>
        <v>414.75</v>
      </c>
      <c r="Q51" s="11">
        <f>_xlfn.XLOOKUP(A51,A50:A649,[1]Sheet3!V348:V947)</f>
        <v>0.25595216055096826</v>
      </c>
      <c r="R51" s="7">
        <f>_xlfn.XLOOKUP(A51,A50:A649,[1]Sheet3!W348:W947)</f>
        <v>71.08</v>
      </c>
      <c r="S51" t="str">
        <f>_xlfn.XLOOKUP(A51,A50:A649,[1]Sheet3!X348:X947)</f>
        <v>Debit Card</v>
      </c>
      <c r="T51" s="5">
        <f>_xlfn.XLOOKUP(A51,A50:A649,[1]Sheet3!Z348:Z947)</f>
        <v>3</v>
      </c>
      <c r="U51" t="b">
        <f>_xlfn.XLOOKUP(A51,A50:A649,[1]Sheet3!AA348:AA947)</f>
        <v>1</v>
      </c>
      <c r="V51" t="str">
        <f>_xlfn.XLOOKUP(A51,A50:A649,[1]Sheet3!AC348:AC947)</f>
        <v>Returned</v>
      </c>
      <c r="W51" s="5">
        <f>_xlfn.XLOOKUP(A51,A50:A649,[1]Sheet3!AE348:AE947)</f>
        <v>4</v>
      </c>
    </row>
    <row r="52" spans="1:23" x14ac:dyDescent="0.35">
      <c r="A52" t="s">
        <v>111</v>
      </c>
      <c r="B52" s="1">
        <f>_xlfn.XLOOKUP(A52,A51:A650,[1]Sheet3!C488:C1087)</f>
        <v>43979</v>
      </c>
      <c r="C52" t="str">
        <f>_xlfn.XLOOKUP(A52,A51:A650,[1]Sheet3!D488:D1087)</f>
        <v>CUST21580</v>
      </c>
      <c r="D52" t="str">
        <f>_xlfn.XLOOKUP(A52,A51:A650,[1]Sheet3!E488:E1087)</f>
        <v>Pooja Bhat</v>
      </c>
      <c r="E52" s="5">
        <f>_xlfn.XLOOKUP(A52,A51:A650,[1]Sheet3!G488:G1087)</f>
        <v>35</v>
      </c>
      <c r="F52" t="str">
        <f>_xlfn.XLOOKUP('Retail Sales'!A489,'Retail Sales'!A488:A1087,[1]Sheet3!H488:H1087)</f>
        <v>Young Adult</v>
      </c>
      <c r="G52" t="str">
        <f>_xlfn.XLOOKUP(A52,A51:A650,[1]Sheet3!J488:J1087)</f>
        <v>Other</v>
      </c>
      <c r="H52" t="str">
        <f>_xlfn.XLOOKUP(A52,A51:A650,[1]Sheet3!K488:K1087)</f>
        <v>East</v>
      </c>
      <c r="I52" t="str">
        <f>_xlfn.XLOOKUP(A52,A51:A650,[1]Sheet3!L488:L1087)</f>
        <v>Kolkata</v>
      </c>
      <c r="J52" t="str">
        <f>_xlfn.XLOOKUP(A52,A51:A650,[1]Sheet3!M488:M1087)</f>
        <v>Groceries</v>
      </c>
      <c r="K52" t="str">
        <f>_xlfn.XLOOKUP('Retail Sales'!A489,'Retail Sales'!A488:A1087,[1]Sheet3!N488:N1087)</f>
        <v>Sugar</v>
      </c>
      <c r="L52" s="5">
        <f>_xlfn.XLOOKUP(A52,A51:A650,[1]Sheet3!P488:P1087)</f>
        <v>9</v>
      </c>
      <c r="M52" s="7">
        <f>_xlfn.XLOOKUP(A52,A51:A650,[1]Sheet3!Q488:Q1087)</f>
        <v>213.6</v>
      </c>
      <c r="N52" s="9">
        <f>_xlfn.XLOOKUP(A52,A51:A650,[1]Sheet3!S488:S1087)</f>
        <v>0.32</v>
      </c>
      <c r="O52" s="7">
        <f>_xlfn.XLOOKUP(A52,A51:A650,[1]Sheet3!T488:T1087)</f>
        <v>1665.43</v>
      </c>
      <c r="P52" s="7">
        <f>_xlfn.XLOOKUP(A52,A51:A650,[1]Sheet3!U488:U1087)</f>
        <v>193.99</v>
      </c>
      <c r="Q52" s="11">
        <f>_xlfn.XLOOKUP(A52,A51:A650,[1]Sheet3!V488:V1087)</f>
        <v>0.11648042847793062</v>
      </c>
      <c r="R52" s="7">
        <f>_xlfn.XLOOKUP(A52,A51:A650,[1]Sheet3!W488:W1087)</f>
        <v>101.52</v>
      </c>
      <c r="S52" t="str">
        <f>_xlfn.XLOOKUP(A52,A51:A650,[1]Sheet3!X488:X1087)</f>
        <v>Net Banking</v>
      </c>
      <c r="T52" s="5">
        <f>_xlfn.XLOOKUP(A52,A51:A650,[1]Sheet3!Z488:Z1087)</f>
        <v>4</v>
      </c>
      <c r="U52" t="b">
        <f>_xlfn.XLOOKUP(A52,A51:A650,[1]Sheet3!AA488:AA1087)</f>
        <v>0</v>
      </c>
      <c r="V52" t="str">
        <f>_xlfn.XLOOKUP(A52,A51:A650,[1]Sheet3!AC488:AC1087)</f>
        <v>Cancelled</v>
      </c>
      <c r="W52" s="5">
        <f>_xlfn.XLOOKUP(A52,A51:A650,[1]Sheet3!AE488:AE1087)</f>
        <v>4</v>
      </c>
    </row>
    <row r="53" spans="1:23" x14ac:dyDescent="0.35">
      <c r="A53" t="s">
        <v>43</v>
      </c>
      <c r="B53" s="1">
        <f>_xlfn.XLOOKUP(A53,A52:A651,[1]Sheet3!C556:C1155)</f>
        <v>43981</v>
      </c>
      <c r="C53" t="str">
        <f>_xlfn.XLOOKUP(A53,A52:A651,[1]Sheet3!D556:D1155)</f>
        <v>CUST72810</v>
      </c>
      <c r="D53" t="str">
        <f>_xlfn.XLOOKUP(A53,A52:A651,[1]Sheet3!E556:E1155)</f>
        <v>Arjun Reddy</v>
      </c>
      <c r="E53" s="5">
        <f>_xlfn.XLOOKUP(A53,A52:A651,[1]Sheet3!G556:G1155)</f>
        <v>26</v>
      </c>
      <c r="F53" t="str">
        <f>_xlfn.XLOOKUP('Retail Sales'!A557,'Retail Sales'!A556:A1155,[1]Sheet3!H556:H1155)</f>
        <v>Young Adult</v>
      </c>
      <c r="G53" t="str">
        <f>_xlfn.XLOOKUP(A53,A52:A651,[1]Sheet3!J556:J1155)</f>
        <v>Male</v>
      </c>
      <c r="H53" t="str">
        <f>_xlfn.XLOOKUP(A53,A52:A651,[1]Sheet3!K556:K1155)</f>
        <v>East</v>
      </c>
      <c r="I53" t="str">
        <f>_xlfn.XLOOKUP(A53,A52:A651,[1]Sheet3!L556:L1155)</f>
        <v>Guwahati</v>
      </c>
      <c r="J53" t="str">
        <f>_xlfn.XLOOKUP(A53,A52:A651,[1]Sheet3!M556:M1155)</f>
        <v>Clothing</v>
      </c>
      <c r="K53" t="str">
        <f>_xlfn.XLOOKUP('Retail Sales'!A557,'Retail Sales'!A556:A1155,[1]Sheet3!N556:N1155)</f>
        <v>Kurta</v>
      </c>
      <c r="L53" s="5">
        <f>_xlfn.XLOOKUP(A53,A52:A651,[1]Sheet3!P556:P1155)</f>
        <v>10</v>
      </c>
      <c r="M53" s="7">
        <f>_xlfn.XLOOKUP(A53,A52:A651,[1]Sheet3!Q556:Q1155)</f>
        <v>2738.51</v>
      </c>
      <c r="N53" s="9">
        <f>_xlfn.XLOOKUP(A53,A52:A651,[1]Sheet3!S556:S1155)</f>
        <v>0.12</v>
      </c>
      <c r="O53" s="7">
        <f>_xlfn.XLOOKUP(A53,A52:A651,[1]Sheet3!T556:T1155)</f>
        <v>31229.97</v>
      </c>
      <c r="P53" s="7">
        <f>_xlfn.XLOOKUP(A53,A52:A651,[1]Sheet3!U556:U1155)</f>
        <v>10815.02</v>
      </c>
      <c r="Q53" s="11">
        <f>_xlfn.XLOOKUP(A53,A52:A651,[1]Sheet3!V556:V1155)</f>
        <v>0.34630260611841768</v>
      </c>
      <c r="R53" s="7">
        <f>_xlfn.XLOOKUP(A53,A52:A651,[1]Sheet3!W556:W1155)</f>
        <v>81.19</v>
      </c>
      <c r="S53" t="str">
        <f>_xlfn.XLOOKUP(A53,A52:A651,[1]Sheet3!X556:X1155)</f>
        <v>Credit Card</v>
      </c>
      <c r="T53" s="5">
        <f>_xlfn.XLOOKUP(A53,A52:A651,[1]Sheet3!Z556:Z1155)</f>
        <v>5</v>
      </c>
      <c r="U53" t="b">
        <f>_xlfn.XLOOKUP(A53,A52:A651,[1]Sheet3!AA556:AA1155)</f>
        <v>0</v>
      </c>
      <c r="V53" t="str">
        <f>_xlfn.XLOOKUP(A53,A52:A651,[1]Sheet3!AC556:AC1155)</f>
        <v>Delivered</v>
      </c>
      <c r="W53" s="5">
        <f>_xlfn.XLOOKUP(A53,A52:A651,[1]Sheet3!AE556:AE1155)</f>
        <v>4</v>
      </c>
    </row>
    <row r="54" spans="1:23" x14ac:dyDescent="0.35">
      <c r="A54" t="s">
        <v>281</v>
      </c>
      <c r="B54" s="1">
        <f>_xlfn.XLOOKUP(A54,A53:A652,[1]Sheet3!C318:C917)</f>
        <v>43983</v>
      </c>
      <c r="C54" t="str">
        <f>_xlfn.XLOOKUP(A54,A53:A652,[1]Sheet3!D318:D917)</f>
        <v>CUST12677</v>
      </c>
      <c r="D54" t="str">
        <f>_xlfn.XLOOKUP(A54,A53:A652,[1]Sheet3!E318:E917)</f>
        <v>Aditya Shah</v>
      </c>
      <c r="E54" s="5">
        <f>_xlfn.XLOOKUP(A54,A53:A652,[1]Sheet3!G318:G917)</f>
        <v>41</v>
      </c>
      <c r="F54" t="str">
        <f>_xlfn.XLOOKUP('Retail Sales'!A319,'Retail Sales'!A318:A917,[1]Sheet3!H318:H917)</f>
        <v>Adult</v>
      </c>
      <c r="G54" t="str">
        <f>_xlfn.XLOOKUP(A54,A53:A652,[1]Sheet3!J318:J917)</f>
        <v>Other</v>
      </c>
      <c r="H54" t="str">
        <f>_xlfn.XLOOKUP(A54,A53:A652,[1]Sheet3!K318:K917)</f>
        <v>North</v>
      </c>
      <c r="I54" t="str">
        <f>_xlfn.XLOOKUP(A54,A53:A652,[1]Sheet3!L318:L917)</f>
        <v>Chandigarh</v>
      </c>
      <c r="J54" t="str">
        <f>_xlfn.XLOOKUP(A54,A53:A652,[1]Sheet3!M318:M917)</f>
        <v>Groceries</v>
      </c>
      <c r="K54" t="str">
        <f>_xlfn.XLOOKUP('Retail Sales'!A319,'Retail Sales'!A318:A917,[1]Sheet3!N318:N917)</f>
        <v>Rice (5kg)</v>
      </c>
      <c r="L54" s="5">
        <f>_xlfn.XLOOKUP(A54,A53:A652,[1]Sheet3!P318:P917)</f>
        <v>8</v>
      </c>
      <c r="M54" s="7">
        <f>_xlfn.XLOOKUP(A54,A53:A652,[1]Sheet3!Q318:Q917)</f>
        <v>294.27</v>
      </c>
      <c r="N54" s="9">
        <f>_xlfn.XLOOKUP(A54,A53:A652,[1]Sheet3!S318:S917)</f>
        <v>0.35</v>
      </c>
      <c r="O54" s="7">
        <f>_xlfn.XLOOKUP(A54,A53:A652,[1]Sheet3!T318:T917)</f>
        <v>1927.79</v>
      </c>
      <c r="P54" s="7">
        <f>_xlfn.XLOOKUP(A54,A53:A652,[1]Sheet3!U318:U917)</f>
        <v>96.62</v>
      </c>
      <c r="Q54" s="11">
        <f>_xlfn.XLOOKUP(A54,A53:A652,[1]Sheet3!V318:V917)</f>
        <v>5.0119566965281491E-2</v>
      </c>
      <c r="R54" s="7">
        <f>_xlfn.XLOOKUP(A54,A53:A652,[1]Sheet3!W318:W917)</f>
        <v>53.97</v>
      </c>
      <c r="S54" t="str">
        <f>_xlfn.XLOOKUP(A54,A53:A652,[1]Sheet3!X318:X917)</f>
        <v>Cash on Delivery</v>
      </c>
      <c r="T54" s="5">
        <f>_xlfn.XLOOKUP(A54,A53:A652,[1]Sheet3!Z318:Z917)</f>
        <v>1</v>
      </c>
      <c r="U54" t="b">
        <f>_xlfn.XLOOKUP(A54,A53:A652,[1]Sheet3!AA318:AA917)</f>
        <v>0</v>
      </c>
      <c r="V54" t="str">
        <f>_xlfn.XLOOKUP(A54,A53:A652,[1]Sheet3!AC318:AC917)</f>
        <v>Delivered</v>
      </c>
      <c r="W54" s="5">
        <f>_xlfn.XLOOKUP(A54,A53:A652,[1]Sheet3!AE318:AE917)</f>
        <v>5</v>
      </c>
    </row>
    <row r="55" spans="1:23" x14ac:dyDescent="0.35">
      <c r="A55" t="s">
        <v>541</v>
      </c>
      <c r="B55" s="1">
        <f>_xlfn.XLOOKUP(A55,A54:A653,[1]Sheet3!C58:C657)</f>
        <v>43984</v>
      </c>
      <c r="C55" t="str">
        <f>_xlfn.XLOOKUP(A55,A54:A653,[1]Sheet3!D58:D657)</f>
        <v>CUST75375</v>
      </c>
      <c r="D55" t="str">
        <f>_xlfn.XLOOKUP(A55,A54:A653,[1]Sheet3!E58:E657)</f>
        <v>Priya Joshi</v>
      </c>
      <c r="E55" s="5">
        <f>_xlfn.XLOOKUP(A55,A54:A653,[1]Sheet3!G58:G657)</f>
        <v>41</v>
      </c>
      <c r="F55" t="str">
        <f>_xlfn.XLOOKUP('Retail Sales'!A59,'Retail Sales'!A58:A657,[1]Sheet3!H58:H657)</f>
        <v>Adult</v>
      </c>
      <c r="G55" t="str">
        <f>_xlfn.XLOOKUP(A55,A54:A653,[1]Sheet3!J58:J657)</f>
        <v>Female</v>
      </c>
      <c r="H55" t="str">
        <f>_xlfn.XLOOKUP(A55,A54:A653,[1]Sheet3!K58:K657)</f>
        <v>Central</v>
      </c>
      <c r="I55" t="str">
        <f>_xlfn.XLOOKUP(A55,A54:A653,[1]Sheet3!L58:L657)</f>
        <v>Nagpur</v>
      </c>
      <c r="J55" t="str">
        <f>_xlfn.XLOOKUP(A55,A54:A653,[1]Sheet3!M58:M657)</f>
        <v>Clothing</v>
      </c>
      <c r="K55" t="str">
        <f>_xlfn.XLOOKUP('Retail Sales'!A59,'Retail Sales'!A58:A657,[1]Sheet3!N58:N657)</f>
        <v>Jeans</v>
      </c>
      <c r="L55" s="5">
        <f>_xlfn.XLOOKUP(A55,A54:A653,[1]Sheet3!P58:P657)</f>
        <v>2</v>
      </c>
      <c r="M55" s="7">
        <f>_xlfn.XLOOKUP(A55,A54:A653,[1]Sheet3!Q58:Q657)</f>
        <v>1548.43</v>
      </c>
      <c r="N55" s="9">
        <f>_xlfn.XLOOKUP(A55,A54:A653,[1]Sheet3!S58:S657)</f>
        <v>0.38</v>
      </c>
      <c r="O55" s="7">
        <f>_xlfn.XLOOKUP(A55,A54:A653,[1]Sheet3!T58:T657)</f>
        <v>2480.54</v>
      </c>
      <c r="P55" s="7">
        <f>_xlfn.XLOOKUP(A55,A54:A653,[1]Sheet3!U58:U657)</f>
        <v>866.5</v>
      </c>
      <c r="Q55" s="11">
        <f>_xlfn.XLOOKUP(A55,A54:A653,[1]Sheet3!V58:V657)</f>
        <v>0.34931909987341464</v>
      </c>
      <c r="R55" s="7">
        <f>_xlfn.XLOOKUP(A55,A54:A653,[1]Sheet3!W58:W657)</f>
        <v>49.01</v>
      </c>
      <c r="S55" t="str">
        <f>_xlfn.XLOOKUP(A55,A54:A653,[1]Sheet3!X58:X657)</f>
        <v>EMI</v>
      </c>
      <c r="T55" s="5">
        <f>_xlfn.XLOOKUP(A55,A54:A653,[1]Sheet3!Z58:Z657)</f>
        <v>1</v>
      </c>
      <c r="U55" t="b">
        <f>_xlfn.XLOOKUP(A55,A54:A653,[1]Sheet3!AA58:AA657)</f>
        <v>0</v>
      </c>
      <c r="V55" t="str">
        <f>_xlfn.XLOOKUP(A55,A54:A653,[1]Sheet3!AC58:AC657)</f>
        <v>Delivered</v>
      </c>
      <c r="W55" s="5">
        <f>_xlfn.XLOOKUP(A55,A54:A653,[1]Sheet3!AE58:AE657)</f>
        <v>5</v>
      </c>
    </row>
    <row r="56" spans="1:23" x14ac:dyDescent="0.35">
      <c r="A56" t="s">
        <v>588</v>
      </c>
      <c r="B56" s="1">
        <f>_xlfn.XLOOKUP(A56,A55:A654,[1]Sheet3!C11:C610)</f>
        <v>43986</v>
      </c>
      <c r="C56" t="str">
        <f>_xlfn.XLOOKUP(A56,A55:A654,[1]Sheet3!D11:D610)</f>
        <v>CUST80340</v>
      </c>
      <c r="D56" t="str">
        <f>_xlfn.XLOOKUP(A56,A55:A654,[1]Sheet3!E11:E610)</f>
        <v>Meera Mishra</v>
      </c>
      <c r="E56" s="5">
        <f>_xlfn.XLOOKUP(A56,A55:A654,[1]Sheet3!G11:G610)</f>
        <v>51</v>
      </c>
      <c r="F56" t="str">
        <f>_xlfn.XLOOKUP('Retail Sales'!A12,'Retail Sales'!A11:A610,[1]Sheet3!H11:H610)</f>
        <v>Senior</v>
      </c>
      <c r="G56" t="str">
        <f>_xlfn.XLOOKUP(A56,A55:A654,[1]Sheet3!J11:J610)</f>
        <v>Other</v>
      </c>
      <c r="H56" t="str">
        <f>_xlfn.XLOOKUP(A56,A55:A654,[1]Sheet3!K11:K610)</f>
        <v>Central</v>
      </c>
      <c r="I56" t="str">
        <f>_xlfn.XLOOKUP(A56,A55:A654,[1]Sheet3!L11:L610)</f>
        <v>Raipur</v>
      </c>
      <c r="J56" t="str">
        <f>_xlfn.XLOOKUP(A56,A55:A654,[1]Sheet3!M11:M610)</f>
        <v>Furniture</v>
      </c>
      <c r="K56" t="str">
        <f>_xlfn.XLOOKUP('Retail Sales'!A12,'Retail Sales'!A11:A610,[1]Sheet3!N11:N610)</f>
        <v>Wardrobe</v>
      </c>
      <c r="L56" s="5">
        <f>_xlfn.XLOOKUP(A56,A55:A654,[1]Sheet3!P11:P610)</f>
        <v>3</v>
      </c>
      <c r="M56" s="7">
        <f>_xlfn.XLOOKUP(A56,A55:A654,[1]Sheet3!Q11:Q610)</f>
        <v>24460.799999999999</v>
      </c>
      <c r="N56" s="9">
        <f>_xlfn.XLOOKUP(A56,A55:A654,[1]Sheet3!S11:S610)</f>
        <v>0.15</v>
      </c>
      <c r="O56" s="7">
        <f>_xlfn.XLOOKUP(A56,A55:A654,[1]Sheet3!T11:T610)</f>
        <v>86997.39</v>
      </c>
      <c r="P56" s="7">
        <f>_xlfn.XLOOKUP(A56,A55:A654,[1]Sheet3!U11:U610)</f>
        <v>14762.22</v>
      </c>
      <c r="Q56" s="11">
        <f>_xlfn.XLOOKUP(A56,A55:A654,[1]Sheet3!V11:V610)</f>
        <v>0.16968578022857927</v>
      </c>
      <c r="R56" s="7">
        <f>_xlfn.XLOOKUP(A56,A55:A654,[1]Sheet3!W11:W610)</f>
        <v>60.11</v>
      </c>
      <c r="S56" t="str">
        <f>_xlfn.XLOOKUP(A56,A55:A654,[1]Sheet3!X11:X610)</f>
        <v>UPI</v>
      </c>
      <c r="T56" s="5">
        <f>_xlfn.XLOOKUP(A56,A55:A654,[1]Sheet3!Z11:Z610)</f>
        <v>1</v>
      </c>
      <c r="U56" t="b">
        <f>_xlfn.XLOOKUP(A56,A55:A654,[1]Sheet3!AA11:AA610)</f>
        <v>0</v>
      </c>
      <c r="V56" t="str">
        <f>_xlfn.XLOOKUP(A56,A55:A654,[1]Sheet3!AC11:AC610)</f>
        <v>Delivered</v>
      </c>
      <c r="W56" s="5">
        <f>_xlfn.XLOOKUP(A56,A55:A654,[1]Sheet3!AE11:AE610)</f>
        <v>8</v>
      </c>
    </row>
    <row r="57" spans="1:23" x14ac:dyDescent="0.35">
      <c r="A57" t="s">
        <v>543</v>
      </c>
      <c r="B57" s="1">
        <f>_xlfn.XLOOKUP(A57,A56:A655,[1]Sheet3!C56:C655)</f>
        <v>43986</v>
      </c>
      <c r="C57" t="str">
        <f>_xlfn.XLOOKUP(A57,A56:A655,[1]Sheet3!D56:D655)</f>
        <v>CUST12024</v>
      </c>
      <c r="D57" t="str">
        <f>_xlfn.XLOOKUP(A57,A56:A655,[1]Sheet3!E56:E655)</f>
        <v>Shreya Kumar</v>
      </c>
      <c r="E57" s="5">
        <f>_xlfn.XLOOKUP(A57,A56:A655,[1]Sheet3!G56:G655)</f>
        <v>37</v>
      </c>
      <c r="F57" t="str">
        <f>_xlfn.XLOOKUP('Retail Sales'!A57,'Retail Sales'!A56:A655,[1]Sheet3!H56:H655)</f>
        <v>Adult</v>
      </c>
      <c r="G57" t="str">
        <f>_xlfn.XLOOKUP(A57,A56:A655,[1]Sheet3!J56:J655)</f>
        <v>Male</v>
      </c>
      <c r="H57" t="str">
        <f>_xlfn.XLOOKUP(A57,A56:A655,[1]Sheet3!K56:K655)</f>
        <v>West</v>
      </c>
      <c r="I57" t="str">
        <f>_xlfn.XLOOKUP(A57,A56:A655,[1]Sheet3!L56:L655)</f>
        <v>Surat</v>
      </c>
      <c r="J57" t="str">
        <f>_xlfn.XLOOKUP(A57,A56:A655,[1]Sheet3!M56:M655)</f>
        <v>Sports</v>
      </c>
      <c r="K57" t="str">
        <f>_xlfn.XLOOKUP('Retail Sales'!A57,'Retail Sales'!A56:A655,[1]Sheet3!N56:N655)</f>
        <v>Football</v>
      </c>
      <c r="L57" s="5">
        <f>_xlfn.XLOOKUP(A57,A56:A655,[1]Sheet3!P56:P655)</f>
        <v>3</v>
      </c>
      <c r="M57" s="7">
        <f>_xlfn.XLOOKUP(A57,A56:A655,[1]Sheet3!Q56:Q655)</f>
        <v>2684.91</v>
      </c>
      <c r="N57" s="9">
        <f>_xlfn.XLOOKUP(A57,A56:A655,[1]Sheet3!S56:S655)</f>
        <v>0.15</v>
      </c>
      <c r="O57" s="7">
        <f>_xlfn.XLOOKUP(A57,A56:A655,[1]Sheet3!T56:T655)</f>
        <v>9541.81</v>
      </c>
      <c r="P57" s="7">
        <f>_xlfn.XLOOKUP(A57,A56:A655,[1]Sheet3!U56:U655)</f>
        <v>2543.29</v>
      </c>
      <c r="Q57" s="11">
        <f>_xlfn.XLOOKUP(A57,A56:A655,[1]Sheet3!V56:V655)</f>
        <v>0.26654167291111436</v>
      </c>
      <c r="R57" s="7">
        <f>_xlfn.XLOOKUP(A57,A56:A655,[1]Sheet3!W56:W655)</f>
        <v>67.28</v>
      </c>
      <c r="S57" t="str">
        <f>_xlfn.XLOOKUP(A57,A56:A655,[1]Sheet3!X56:X655)</f>
        <v>Net Banking</v>
      </c>
      <c r="T57" s="5">
        <f>_xlfn.XLOOKUP(A57,A56:A655,[1]Sheet3!Z56:Z655)</f>
        <v>2</v>
      </c>
      <c r="U57" t="b">
        <f>_xlfn.XLOOKUP(A57,A56:A655,[1]Sheet3!AA56:AA655)</f>
        <v>0</v>
      </c>
      <c r="V57" t="str">
        <f>_xlfn.XLOOKUP(A57,A56:A655,[1]Sheet3!AC56:AC655)</f>
        <v>Delivered</v>
      </c>
      <c r="W57" s="5">
        <f>_xlfn.XLOOKUP(A57,A56:A655,[1]Sheet3!AE56:AE655)</f>
        <v>9</v>
      </c>
    </row>
    <row r="58" spans="1:23" x14ac:dyDescent="0.35">
      <c r="A58" t="s">
        <v>116</v>
      </c>
      <c r="B58" s="1">
        <f>_xlfn.XLOOKUP(A58,A57:A656,[1]Sheet3!C483:C1082)</f>
        <v>43992</v>
      </c>
      <c r="C58" t="str">
        <f>_xlfn.XLOOKUP(A58,A57:A656,[1]Sheet3!D483:D1082)</f>
        <v>CUST57932</v>
      </c>
      <c r="D58" t="str">
        <f>_xlfn.XLOOKUP(A58,A57:A656,[1]Sheet3!E483:E1082)</f>
        <v>Rohan Bhat</v>
      </c>
      <c r="E58" s="5">
        <f>_xlfn.XLOOKUP(A58,A57:A656,[1]Sheet3!G483:G1082)</f>
        <v>24</v>
      </c>
      <c r="F58" t="str">
        <f>_xlfn.XLOOKUP('Retail Sales'!A484,'Retail Sales'!A483:A1082,[1]Sheet3!H483:H1082)</f>
        <v>Young Adult</v>
      </c>
      <c r="G58" t="str">
        <f>_xlfn.XLOOKUP(A58,A57:A656,[1]Sheet3!J483:J1082)</f>
        <v>Male</v>
      </c>
      <c r="H58" t="str">
        <f>_xlfn.XLOOKUP(A58,A57:A656,[1]Sheet3!K483:K1082)</f>
        <v>Central</v>
      </c>
      <c r="I58" t="str">
        <f>_xlfn.XLOOKUP(A58,A57:A656,[1]Sheet3!L483:L1082)</f>
        <v>Bhopal</v>
      </c>
      <c r="J58" t="str">
        <f>_xlfn.XLOOKUP(A58,A57:A656,[1]Sheet3!M483:M1082)</f>
        <v>Clothing</v>
      </c>
      <c r="K58" t="str">
        <f>_xlfn.XLOOKUP('Retail Sales'!A484,'Retail Sales'!A483:A1082,[1]Sheet3!N483:N1082)</f>
        <v>Jeans</v>
      </c>
      <c r="L58" s="5">
        <f>_xlfn.XLOOKUP(A58,A57:A656,[1]Sheet3!P483:P1082)</f>
        <v>2</v>
      </c>
      <c r="M58" s="7">
        <f>_xlfn.XLOOKUP(A58,A57:A656,[1]Sheet3!Q483:Q1082)</f>
        <v>1835.19</v>
      </c>
      <c r="N58" s="9">
        <f>_xlfn.XLOOKUP(A58,A57:A656,[1]Sheet3!S483:S1082)</f>
        <v>0.03</v>
      </c>
      <c r="O58" s="7">
        <f>_xlfn.XLOOKUP(A58,A57:A656,[1]Sheet3!T483:T1082)</f>
        <v>4360.6899999999996</v>
      </c>
      <c r="P58" s="7">
        <f>_xlfn.XLOOKUP(A58,A57:A656,[1]Sheet3!U483:U1082)</f>
        <v>1812.7</v>
      </c>
      <c r="Q58" s="11">
        <f>_xlfn.XLOOKUP(A58,A57:A656,[1]Sheet3!V483:V1082)</f>
        <v>0.41569109475793975</v>
      </c>
      <c r="R58" s="7">
        <f>_xlfn.XLOOKUP(A58,A57:A656,[1]Sheet3!W483:W1082)</f>
        <v>37.119999999999997</v>
      </c>
      <c r="S58" t="str">
        <f>_xlfn.XLOOKUP(A58,A57:A656,[1]Sheet3!X483:X1082)</f>
        <v>EMI</v>
      </c>
      <c r="T58" s="5">
        <f>_xlfn.XLOOKUP(A58,A57:A656,[1]Sheet3!Z483:Z1082)</f>
        <v>5</v>
      </c>
      <c r="U58" t="b">
        <f>_xlfn.XLOOKUP(A58,A57:A656,[1]Sheet3!AA483:AA1082)</f>
        <v>0</v>
      </c>
      <c r="V58" t="str">
        <f>_xlfn.XLOOKUP(A58,A57:A656,[1]Sheet3!AC483:AC1082)</f>
        <v>Delivered</v>
      </c>
      <c r="W58" s="5">
        <f>_xlfn.XLOOKUP(A58,A57:A656,[1]Sheet3!AE483:AE1082)</f>
        <v>2</v>
      </c>
    </row>
    <row r="59" spans="1:23" x14ac:dyDescent="0.35">
      <c r="A59" t="s">
        <v>186</v>
      </c>
      <c r="B59" s="1">
        <f>_xlfn.XLOOKUP(A59,A58:A657,[1]Sheet3!C413:C1012)</f>
        <v>43994</v>
      </c>
      <c r="C59" t="str">
        <f>_xlfn.XLOOKUP(A59,A58:A657,[1]Sheet3!D413:D1012)</f>
        <v>CUST60562</v>
      </c>
      <c r="D59" t="str">
        <f>_xlfn.XLOOKUP(A59,A58:A657,[1]Sheet3!E413:E1012)</f>
        <v>Kavya Rao</v>
      </c>
      <c r="E59" s="5">
        <f>_xlfn.XLOOKUP(A59,A58:A657,[1]Sheet3!G413:G1012)</f>
        <v>25</v>
      </c>
      <c r="F59" t="str">
        <f>_xlfn.XLOOKUP('Retail Sales'!A414,'Retail Sales'!A413:A1012,[1]Sheet3!H413:H1012)</f>
        <v>Young Adult</v>
      </c>
      <c r="G59" t="str">
        <f>_xlfn.XLOOKUP(A59,A58:A657,[1]Sheet3!J413:J1012)</f>
        <v>Male</v>
      </c>
      <c r="H59" t="str">
        <f>_xlfn.XLOOKUP(A59,A58:A657,[1]Sheet3!K413:K1012)</f>
        <v>North</v>
      </c>
      <c r="I59" t="str">
        <f>_xlfn.XLOOKUP(A59,A58:A657,[1]Sheet3!L413:L1012)</f>
        <v>Ludhiana</v>
      </c>
      <c r="J59" t="str">
        <f>_xlfn.XLOOKUP(A59,A58:A657,[1]Sheet3!M413:M1012)</f>
        <v>Clothing</v>
      </c>
      <c r="K59" t="str">
        <f>_xlfn.XLOOKUP('Retail Sales'!A414,'Retail Sales'!A413:A1012,[1]Sheet3!N413:N1012)</f>
        <v>Dress</v>
      </c>
      <c r="L59" s="5">
        <f>_xlfn.XLOOKUP(A59,A58:A657,[1]Sheet3!P413:P1012)</f>
        <v>10</v>
      </c>
      <c r="M59" s="7">
        <f>_xlfn.XLOOKUP(A59,A58:A657,[1]Sheet3!Q413:Q1012)</f>
        <v>658.16</v>
      </c>
      <c r="N59" s="9">
        <f>_xlfn.XLOOKUP(A59,A58:A657,[1]Sheet3!S413:S1012)</f>
        <v>0.25</v>
      </c>
      <c r="O59" s="7">
        <f>_xlfn.XLOOKUP(A59,A58:A657,[1]Sheet3!T413:T1012)</f>
        <v>6367.6</v>
      </c>
      <c r="P59" s="7">
        <f>_xlfn.XLOOKUP(A59,A58:A657,[1]Sheet3!U413:U1012)</f>
        <v>1841.64</v>
      </c>
      <c r="Q59" s="11">
        <f>_xlfn.XLOOKUP(A59,A58:A657,[1]Sheet3!V413:V1012)</f>
        <v>0.28922042841887052</v>
      </c>
      <c r="R59" s="7">
        <f>_xlfn.XLOOKUP(A59,A58:A657,[1]Sheet3!W413:W1012)</f>
        <v>63.58</v>
      </c>
      <c r="S59" t="str">
        <f>_xlfn.XLOOKUP(A59,A58:A657,[1]Sheet3!X413:X1012)</f>
        <v>Cash on Delivery</v>
      </c>
      <c r="T59" s="5">
        <f>_xlfn.XLOOKUP(A59,A58:A657,[1]Sheet3!Z413:Z1012)</f>
        <v>1</v>
      </c>
      <c r="U59" t="b">
        <f>_xlfn.XLOOKUP(A59,A58:A657,[1]Sheet3!AA413:AA1012)</f>
        <v>0</v>
      </c>
      <c r="V59" t="str">
        <f>_xlfn.XLOOKUP(A59,A58:A657,[1]Sheet3!AC413:AC1012)</f>
        <v>Delivered</v>
      </c>
      <c r="W59" s="5">
        <f>_xlfn.XLOOKUP(A59,A58:A657,[1]Sheet3!AE413:AE1012)</f>
        <v>7</v>
      </c>
    </row>
    <row r="60" spans="1:23" x14ac:dyDescent="0.35">
      <c r="A60" t="s">
        <v>514</v>
      </c>
      <c r="B60" s="1">
        <f>_xlfn.XLOOKUP(A60,A59:A658,[1]Sheet3!C85:C684)</f>
        <v>44003</v>
      </c>
      <c r="C60" t="str">
        <f>_xlfn.XLOOKUP(A60,A59:A658,[1]Sheet3!D85:D684)</f>
        <v>CUST55018</v>
      </c>
      <c r="D60" t="str">
        <f>_xlfn.XLOOKUP(A60,A59:A658,[1]Sheet3!E85:E684)</f>
        <v>Vikram Nair</v>
      </c>
      <c r="E60" s="5">
        <f>_xlfn.XLOOKUP(A60,A59:A658,[1]Sheet3!G85:G684)</f>
        <v>37</v>
      </c>
      <c r="F60" t="str">
        <f>_xlfn.XLOOKUP('Retail Sales'!A86,'Retail Sales'!A85:A684,[1]Sheet3!H85:H684)</f>
        <v>Adult</v>
      </c>
      <c r="G60" t="str">
        <f>_xlfn.XLOOKUP(A60,A59:A658,[1]Sheet3!J85:J684)</f>
        <v>Other</v>
      </c>
      <c r="H60" t="str">
        <f>_xlfn.XLOOKUP(A60,A59:A658,[1]Sheet3!K85:K684)</f>
        <v>South</v>
      </c>
      <c r="I60" t="str">
        <f>_xlfn.XLOOKUP(A60,A59:A658,[1]Sheet3!L85:L684)</f>
        <v>Chennai</v>
      </c>
      <c r="J60" t="str">
        <f>_xlfn.XLOOKUP(A60,A59:A658,[1]Sheet3!M85:M684)</f>
        <v>Electronics</v>
      </c>
      <c r="K60" t="str">
        <f>_xlfn.XLOOKUP('Retail Sales'!A86,'Retail Sales'!A85:A684,[1]Sheet3!N85:N684)</f>
        <v>Headphones</v>
      </c>
      <c r="L60" s="5">
        <f>_xlfn.XLOOKUP(A60,A59:A658,[1]Sheet3!P85:P684)</f>
        <v>5</v>
      </c>
      <c r="M60" s="7">
        <f>_xlfn.XLOOKUP(A60,A59:A658,[1]Sheet3!Q85:Q684)</f>
        <v>28892.57</v>
      </c>
      <c r="N60" s="9">
        <f>_xlfn.XLOOKUP(A60,A59:A658,[1]Sheet3!S85:S684)</f>
        <v>7.0000000000000007E-2</v>
      </c>
      <c r="O60" s="7">
        <f>_xlfn.XLOOKUP(A60,A59:A658,[1]Sheet3!T85:T684)</f>
        <v>205453.46</v>
      </c>
      <c r="P60" s="7">
        <f>_xlfn.XLOOKUP(A60,A59:A658,[1]Sheet3!U85:U684)</f>
        <v>25286.68</v>
      </c>
      <c r="Q60" s="11">
        <f>_xlfn.XLOOKUP(A60,A59:A658,[1]Sheet3!V85:V684)</f>
        <v>0.12307741130278362</v>
      </c>
      <c r="R60" s="7">
        <f>_xlfn.XLOOKUP(A60,A59:A658,[1]Sheet3!W85:W684)</f>
        <v>84.72</v>
      </c>
      <c r="S60" t="str">
        <f>_xlfn.XLOOKUP(A60,A59:A658,[1]Sheet3!X85:X684)</f>
        <v>Debit Card</v>
      </c>
      <c r="T60" s="5">
        <f>_xlfn.XLOOKUP(A60,A59:A658,[1]Sheet3!Z85:Z684)</f>
        <v>5</v>
      </c>
      <c r="U60" t="b">
        <f>_xlfn.XLOOKUP(A60,A59:A658,[1]Sheet3!AA85:AA684)</f>
        <v>0</v>
      </c>
      <c r="V60" t="str">
        <f>_xlfn.XLOOKUP(A60,A59:A658,[1]Sheet3!AC85:AC684)</f>
        <v>Delivered</v>
      </c>
      <c r="W60" s="5">
        <f>_xlfn.XLOOKUP(A60,A59:A658,[1]Sheet3!AE85:AE684)</f>
        <v>6</v>
      </c>
    </row>
    <row r="61" spans="1:23" x14ac:dyDescent="0.35">
      <c r="A61" t="s">
        <v>392</v>
      </c>
      <c r="B61" s="1">
        <f>_xlfn.XLOOKUP(A61,A60:A659,[1]Sheet3!C207:C806)</f>
        <v>44004</v>
      </c>
      <c r="C61" t="str">
        <f>_xlfn.XLOOKUP(A61,A60:A659,[1]Sheet3!D207:D806)</f>
        <v>CUST52549</v>
      </c>
      <c r="D61" t="str">
        <f>_xlfn.XLOOKUP(A61,A60:A659,[1]Sheet3!E207:E806)</f>
        <v>Pooja Rao</v>
      </c>
      <c r="E61" s="5">
        <f>_xlfn.XLOOKUP(A61,A60:A659,[1]Sheet3!G207:G806)</f>
        <v>32</v>
      </c>
      <c r="F61" t="str">
        <f>_xlfn.XLOOKUP('Retail Sales'!A208,'Retail Sales'!A207:A806,[1]Sheet3!H207:H806)</f>
        <v>Young Adult</v>
      </c>
      <c r="G61" t="str">
        <f>_xlfn.XLOOKUP(A61,A60:A659,[1]Sheet3!J207:J806)</f>
        <v>Other</v>
      </c>
      <c r="H61" t="str">
        <f>_xlfn.XLOOKUP(A61,A60:A659,[1]Sheet3!K207:K806)</f>
        <v>North</v>
      </c>
      <c r="I61" t="str">
        <f>_xlfn.XLOOKUP(A61,A60:A659,[1]Sheet3!L207:L806)</f>
        <v>Delhi</v>
      </c>
      <c r="J61" t="str">
        <f>_xlfn.XLOOKUP(A61,A60:A659,[1]Sheet3!M207:M806)</f>
        <v>Clothing</v>
      </c>
      <c r="K61" t="str">
        <f>_xlfn.XLOOKUP('Retail Sales'!A208,'Retail Sales'!A207:A806,[1]Sheet3!N207:N806)</f>
        <v>T-Shirt</v>
      </c>
      <c r="L61" s="5">
        <f>_xlfn.XLOOKUP(A61,A60:A659,[1]Sheet3!P207:P806)</f>
        <v>7</v>
      </c>
      <c r="M61" s="7">
        <f>_xlfn.XLOOKUP(A61,A60:A659,[1]Sheet3!Q207:Q806)</f>
        <v>2701.8</v>
      </c>
      <c r="N61" s="9">
        <f>_xlfn.XLOOKUP(A61,A60:A659,[1]Sheet3!S207:S806)</f>
        <v>0.09</v>
      </c>
      <c r="O61" s="7">
        <f>_xlfn.XLOOKUP(A61,A60:A659,[1]Sheet3!T207:T806)</f>
        <v>22364.16</v>
      </c>
      <c r="P61" s="7">
        <f>_xlfn.XLOOKUP(A61,A60:A659,[1]Sheet3!U207:U806)</f>
        <v>8609.23</v>
      </c>
      <c r="Q61" s="11">
        <f>_xlfn.XLOOKUP(A61,A60:A659,[1]Sheet3!V207:V806)</f>
        <v>0.38495655548878205</v>
      </c>
      <c r="R61" s="7">
        <f>_xlfn.XLOOKUP(A61,A60:A659,[1]Sheet3!W207:W806)</f>
        <v>56.32</v>
      </c>
      <c r="S61" t="str">
        <f>_xlfn.XLOOKUP(A61,A60:A659,[1]Sheet3!X207:X806)</f>
        <v>Cash on Delivery</v>
      </c>
      <c r="T61" s="5">
        <f>_xlfn.XLOOKUP(A61,A60:A659,[1]Sheet3!Z207:Z806)</f>
        <v>5</v>
      </c>
      <c r="U61" t="b">
        <f>_xlfn.XLOOKUP(A61,A60:A659,[1]Sheet3!AA207:AA806)</f>
        <v>1</v>
      </c>
      <c r="V61" t="str">
        <f>_xlfn.XLOOKUP(A61,A60:A659,[1]Sheet3!AC207:AC806)</f>
        <v>Returned</v>
      </c>
      <c r="W61" s="5">
        <f>_xlfn.XLOOKUP(A61,A60:A659,[1]Sheet3!AE207:AE806)</f>
        <v>2</v>
      </c>
    </row>
    <row r="62" spans="1:23" x14ac:dyDescent="0.35">
      <c r="A62" t="s">
        <v>39</v>
      </c>
      <c r="B62" s="1">
        <f>_xlfn.XLOOKUP(A62,A61:A660,[1]Sheet3!C560:C1159)</f>
        <v>44004</v>
      </c>
      <c r="C62" t="str">
        <f>_xlfn.XLOOKUP(A62,A61:A660,[1]Sheet3!D560:D1159)</f>
        <v>CUST02130</v>
      </c>
      <c r="D62" t="str">
        <f>_xlfn.XLOOKUP(A62,A61:A660,[1]Sheet3!E560:E1159)</f>
        <v>Vikram Shah</v>
      </c>
      <c r="E62" s="5">
        <f>_xlfn.XLOOKUP(A62,A61:A660,[1]Sheet3!G560:G1159)</f>
        <v>16</v>
      </c>
      <c r="F62" t="str">
        <f>_xlfn.XLOOKUP('Retail Sales'!A561,'Retail Sales'!A560:A1159,[1]Sheet3!H560:H1159)</f>
        <v>Teen</v>
      </c>
      <c r="G62" t="str">
        <f>_xlfn.XLOOKUP(A62,A61:A660,[1]Sheet3!J560:J1159)</f>
        <v>Female</v>
      </c>
      <c r="H62" t="str">
        <f>_xlfn.XLOOKUP(A62,A61:A660,[1]Sheet3!K560:K1159)</f>
        <v>West</v>
      </c>
      <c r="I62" t="str">
        <f>_xlfn.XLOOKUP(A62,A61:A660,[1]Sheet3!L560:L1159)</f>
        <v>Ahmedabad</v>
      </c>
      <c r="J62" t="str">
        <f>_xlfn.XLOOKUP(A62,A61:A660,[1]Sheet3!M560:M1159)</f>
        <v>Books</v>
      </c>
      <c r="K62" t="str">
        <f>_xlfn.XLOOKUP('Retail Sales'!A561,'Retail Sales'!A560:A1159,[1]Sheet3!N560:N1159)</f>
        <v>Textbook</v>
      </c>
      <c r="L62" s="5">
        <f>_xlfn.XLOOKUP(A62,A61:A660,[1]Sheet3!P560:P1159)</f>
        <v>3</v>
      </c>
      <c r="M62" s="7">
        <f>_xlfn.XLOOKUP(A62,A61:A660,[1]Sheet3!Q560:Q1159)</f>
        <v>541.30999999999995</v>
      </c>
      <c r="N62" s="9">
        <f>_xlfn.XLOOKUP(A62,A61:A660,[1]Sheet3!S560:S1159)</f>
        <v>0.06</v>
      </c>
      <c r="O62" s="7">
        <f>_xlfn.XLOOKUP(A62,A61:A660,[1]Sheet3!T560:T1159)</f>
        <v>2139.34</v>
      </c>
      <c r="P62" s="7">
        <f>_xlfn.XLOOKUP(A62,A61:A660,[1]Sheet3!U560:U1159)</f>
        <v>731.39</v>
      </c>
      <c r="Q62" s="11">
        <f>_xlfn.XLOOKUP(A62,A61:A660,[1]Sheet3!V560:V1159)</f>
        <v>0.34187646657380311</v>
      </c>
      <c r="R62" s="7">
        <f>_xlfn.XLOOKUP(A62,A61:A660,[1]Sheet3!W560:W1159)</f>
        <v>56.62</v>
      </c>
      <c r="S62" t="str">
        <f>_xlfn.XLOOKUP(A62,A61:A660,[1]Sheet3!X560:X1159)</f>
        <v>Cash on Delivery</v>
      </c>
      <c r="T62" s="5">
        <f>_xlfn.XLOOKUP(A62,A61:A660,[1]Sheet3!Z560:Z1159)</f>
        <v>5</v>
      </c>
      <c r="U62" t="b">
        <f>_xlfn.XLOOKUP(A62,A61:A660,[1]Sheet3!AA560:AA1159)</f>
        <v>0</v>
      </c>
      <c r="V62" t="str">
        <f>_xlfn.XLOOKUP(A62,A61:A660,[1]Sheet3!AC560:AC1159)</f>
        <v>Delivered</v>
      </c>
      <c r="W62" s="5">
        <f>_xlfn.XLOOKUP(A62,A61:A660,[1]Sheet3!AE560:AE1159)</f>
        <v>8</v>
      </c>
    </row>
    <row r="63" spans="1:23" x14ac:dyDescent="0.35">
      <c r="A63" t="s">
        <v>473</v>
      </c>
      <c r="B63" s="1">
        <f>_xlfn.XLOOKUP(A63,A62:A661,[1]Sheet3!C126:C725)</f>
        <v>44009</v>
      </c>
      <c r="C63" t="str">
        <f>_xlfn.XLOOKUP(A63,A62:A661,[1]Sheet3!D126:D725)</f>
        <v>CUST97162</v>
      </c>
      <c r="D63" t="str">
        <f>_xlfn.XLOOKUP(A63,A62:A661,[1]Sheet3!E126:E725)</f>
        <v>Sanjay Mehta</v>
      </c>
      <c r="E63" s="5">
        <f>_xlfn.XLOOKUP(A63,A62:A661,[1]Sheet3!G126:G725)</f>
        <v>46</v>
      </c>
      <c r="F63" t="str">
        <f>_xlfn.XLOOKUP('Retail Sales'!A127,'Retail Sales'!A126:A725,[1]Sheet3!H126:H725)</f>
        <v>Adult</v>
      </c>
      <c r="G63" t="str">
        <f>_xlfn.XLOOKUP(A63,A62:A661,[1]Sheet3!J126:J725)</f>
        <v>Female</v>
      </c>
      <c r="H63" t="str">
        <f>_xlfn.XLOOKUP(A63,A62:A661,[1]Sheet3!K126:K725)</f>
        <v>East</v>
      </c>
      <c r="I63" t="str">
        <f>_xlfn.XLOOKUP(A63,A62:A661,[1]Sheet3!L126:L725)</f>
        <v>Bhubaneswar</v>
      </c>
      <c r="J63" t="str">
        <f>_xlfn.XLOOKUP(A63,A62:A661,[1]Sheet3!M126:M725)</f>
        <v>Sports</v>
      </c>
      <c r="K63" t="str">
        <f>_xlfn.XLOOKUP('Retail Sales'!A127,'Retail Sales'!A126:A725,[1]Sheet3!N126:N725)</f>
        <v>Cricket Bat</v>
      </c>
      <c r="L63" s="5">
        <f>_xlfn.XLOOKUP(A63,A62:A661,[1]Sheet3!P126:P725)</f>
        <v>1</v>
      </c>
      <c r="M63" s="7">
        <f>_xlfn.XLOOKUP(A63,A62:A661,[1]Sheet3!Q126:Q725)</f>
        <v>4889.3</v>
      </c>
      <c r="N63" s="9">
        <f>_xlfn.XLOOKUP(A63,A62:A661,[1]Sheet3!S126:S725)</f>
        <v>0.16</v>
      </c>
      <c r="O63" s="7">
        <f>_xlfn.XLOOKUP(A63,A62:A661,[1]Sheet3!T126:T725)</f>
        <v>5849.95</v>
      </c>
      <c r="P63" s="7">
        <f>_xlfn.XLOOKUP(A63,A62:A661,[1]Sheet3!U126:U725)</f>
        <v>1406.77</v>
      </c>
      <c r="Q63" s="11">
        <f>_xlfn.XLOOKUP(A63,A62:A661,[1]Sheet3!V126:V725)</f>
        <v>0.2404755596201677</v>
      </c>
      <c r="R63" s="7">
        <f>_xlfn.XLOOKUP(A63,A62:A661,[1]Sheet3!W126:W725)</f>
        <v>63.96</v>
      </c>
      <c r="S63" t="str">
        <f>_xlfn.XLOOKUP(A63,A62:A661,[1]Sheet3!X126:X725)</f>
        <v>Net Banking</v>
      </c>
      <c r="T63" s="5">
        <f>_xlfn.XLOOKUP(A63,A62:A661,[1]Sheet3!Z126:Z725)</f>
        <v>1</v>
      </c>
      <c r="U63" t="b">
        <f>_xlfn.XLOOKUP(A63,A62:A661,[1]Sheet3!AA126:AA725)</f>
        <v>0</v>
      </c>
      <c r="V63" t="str">
        <f>_xlfn.XLOOKUP(A63,A62:A661,[1]Sheet3!AC126:AC725)</f>
        <v>Delivered</v>
      </c>
      <c r="W63" s="5">
        <f>_xlfn.XLOOKUP(A63,A62:A661,[1]Sheet3!AE126:AE725)</f>
        <v>6</v>
      </c>
    </row>
    <row r="64" spans="1:23" x14ac:dyDescent="0.35">
      <c r="A64" t="s">
        <v>569</v>
      </c>
      <c r="B64" s="1">
        <f>_xlfn.XLOOKUP(A64,A63:A662,[1]Sheet3!C30:C629)</f>
        <v>44013</v>
      </c>
      <c r="C64" t="str">
        <f>_xlfn.XLOOKUP(A64,A63:A662,[1]Sheet3!D30:D629)</f>
        <v>CUST88814</v>
      </c>
      <c r="D64" t="str">
        <f>_xlfn.XLOOKUP(A64,A63:A662,[1]Sheet3!E30:E629)</f>
        <v>Rahul Kapoor</v>
      </c>
      <c r="E64" s="5">
        <f>_xlfn.XLOOKUP(A64,A63:A662,[1]Sheet3!G30:G629)</f>
        <v>51</v>
      </c>
      <c r="F64" t="str">
        <f>_xlfn.XLOOKUP('Retail Sales'!A31,'Retail Sales'!A30:A629,[1]Sheet3!H30:H629)</f>
        <v>Senior</v>
      </c>
      <c r="G64" t="str">
        <f>_xlfn.XLOOKUP(A64,A63:A662,[1]Sheet3!J30:J629)</f>
        <v>Other</v>
      </c>
      <c r="H64" t="str">
        <f>_xlfn.XLOOKUP(A64,A63:A662,[1]Sheet3!K30:K629)</f>
        <v>West</v>
      </c>
      <c r="I64" t="str">
        <f>_xlfn.XLOOKUP(A64,A63:A662,[1]Sheet3!L30:L629)</f>
        <v>Ahmedabad</v>
      </c>
      <c r="J64" t="str">
        <f>_xlfn.XLOOKUP(A64,A63:A662,[1]Sheet3!M30:M629)</f>
        <v>Books</v>
      </c>
      <c r="K64" t="str">
        <f>_xlfn.XLOOKUP('Retail Sales'!A31,'Retail Sales'!A30:A629,[1]Sheet3!N30:N629)</f>
        <v>Comic Book</v>
      </c>
      <c r="L64" s="5">
        <f>_xlfn.XLOOKUP(A64,A63:A662,[1]Sheet3!P30:P629)</f>
        <v>8</v>
      </c>
      <c r="M64" s="7">
        <f>_xlfn.XLOOKUP(A64,A63:A662,[1]Sheet3!Q30:Q629)</f>
        <v>635.66</v>
      </c>
      <c r="N64" s="9">
        <f>_xlfn.XLOOKUP(A64,A63:A662,[1]Sheet3!S30:S629)</f>
        <v>0.34</v>
      </c>
      <c r="O64" s="7">
        <f>_xlfn.XLOOKUP(A64,A63:A662,[1]Sheet3!T30:T629)</f>
        <v>3704.84</v>
      </c>
      <c r="P64" s="7">
        <f>_xlfn.XLOOKUP(A64,A63:A662,[1]Sheet3!U30:U629)</f>
        <v>1269.07</v>
      </c>
      <c r="Q64" s="11">
        <f>_xlfn.XLOOKUP(A64,A63:A662,[1]Sheet3!V30:V629)</f>
        <v>0.3425438075598406</v>
      </c>
      <c r="R64" s="7">
        <f>_xlfn.XLOOKUP(A64,A63:A662,[1]Sheet3!W30:W629)</f>
        <v>67.010000000000005</v>
      </c>
      <c r="S64" t="str">
        <f>_xlfn.XLOOKUP(A64,A63:A662,[1]Sheet3!X30:X629)</f>
        <v>Cash on Delivery</v>
      </c>
      <c r="T64" s="5">
        <f>_xlfn.XLOOKUP(A64,A63:A662,[1]Sheet3!Z30:Z629)</f>
        <v>1</v>
      </c>
      <c r="U64" t="b">
        <f>_xlfn.XLOOKUP(A64,A63:A662,[1]Sheet3!AA30:AA629)</f>
        <v>0</v>
      </c>
      <c r="V64" t="str">
        <f>_xlfn.XLOOKUP(A64,A63:A662,[1]Sheet3!AC30:AC629)</f>
        <v>Delivered</v>
      </c>
      <c r="W64" s="5">
        <f>_xlfn.XLOOKUP(A64,A63:A662,[1]Sheet3!AE30:AE629)</f>
        <v>3</v>
      </c>
    </row>
    <row r="65" spans="1:23" x14ac:dyDescent="0.35">
      <c r="A65" t="s">
        <v>556</v>
      </c>
      <c r="B65" s="1">
        <f>_xlfn.XLOOKUP(A65,A64:A663,[1]Sheet3!C43:C642)</f>
        <v>44013</v>
      </c>
      <c r="C65" t="str">
        <f>_xlfn.XLOOKUP(A65,A64:A663,[1]Sheet3!D43:D642)</f>
        <v>CUST39948</v>
      </c>
      <c r="D65" t="str">
        <f>_xlfn.XLOOKUP(A65,A64:A663,[1]Sheet3!E43:E642)</f>
        <v>Nikhil Kapoor</v>
      </c>
      <c r="E65" s="5">
        <f>_xlfn.XLOOKUP(A65,A64:A663,[1]Sheet3!G43:G642)</f>
        <v>34.294220665499125</v>
      </c>
      <c r="F65" t="str">
        <f>_xlfn.XLOOKUP('Retail Sales'!A44,'Retail Sales'!A43:A642,[1]Sheet3!H43:H642)</f>
        <v>Young Adult</v>
      </c>
      <c r="G65" t="str">
        <f>_xlfn.XLOOKUP(A65,A64:A663,[1]Sheet3!J43:J642)</f>
        <v>Female</v>
      </c>
      <c r="H65" t="str">
        <f>_xlfn.XLOOKUP(A65,A64:A663,[1]Sheet3!K43:K642)</f>
        <v>North</v>
      </c>
      <c r="I65" t="str">
        <f>_xlfn.XLOOKUP(A65,A64:A663,[1]Sheet3!L43:L642)</f>
        <v>Chandigarh</v>
      </c>
      <c r="J65" t="str">
        <f>_xlfn.XLOOKUP(A65,A64:A663,[1]Sheet3!M43:M642)</f>
        <v>Furniture</v>
      </c>
      <c r="K65" t="str">
        <f>_xlfn.XLOOKUP('Retail Sales'!A44,'Retail Sales'!A43:A642,[1]Sheet3!N43:N642)</f>
        <v>Desk</v>
      </c>
      <c r="L65" s="5">
        <f>_xlfn.XLOOKUP(A65,A64:A663,[1]Sheet3!P43:P642)</f>
        <v>2</v>
      </c>
      <c r="M65" s="7">
        <f>_xlfn.XLOOKUP(A65,A64:A663,[1]Sheet3!Q43:Q642)</f>
        <v>33115.910000000003</v>
      </c>
      <c r="N65" s="9">
        <f>_xlfn.XLOOKUP(A65,A64:A663,[1]Sheet3!S43:S642)</f>
        <v>0.28000000000000003</v>
      </c>
      <c r="O65" s="7">
        <f>_xlfn.XLOOKUP(A65,A64:A663,[1]Sheet3!T43:T642)</f>
        <v>53911.88</v>
      </c>
      <c r="P65" s="7">
        <f>_xlfn.XLOOKUP(A65,A64:A663,[1]Sheet3!U43:U642)</f>
        <v>13232.77</v>
      </c>
      <c r="Q65" s="11">
        <f>_xlfn.XLOOKUP(A65,A64:A663,[1]Sheet3!V43:V642)</f>
        <v>0.24545183733158629</v>
      </c>
      <c r="R65" s="7">
        <f>_xlfn.XLOOKUP(A65,A64:A663,[1]Sheet3!W43:W642)</f>
        <v>39.83</v>
      </c>
      <c r="S65" t="str">
        <f>_xlfn.XLOOKUP(A65,A64:A663,[1]Sheet3!X43:X642)</f>
        <v>EMI</v>
      </c>
      <c r="T65" s="5">
        <f>_xlfn.XLOOKUP(A65,A64:A663,[1]Sheet3!Z43:Z642)</f>
        <v>5</v>
      </c>
      <c r="U65" t="b">
        <f>_xlfn.XLOOKUP(A65,A64:A663,[1]Sheet3!AA43:AA642)</f>
        <v>0</v>
      </c>
      <c r="V65" t="str">
        <f>_xlfn.XLOOKUP(A65,A64:A663,[1]Sheet3!AC43:AC642)</f>
        <v>Delivered</v>
      </c>
      <c r="W65" s="5">
        <f>_xlfn.XLOOKUP(A65,A64:A663,[1]Sheet3!AE43:AE642)</f>
        <v>1</v>
      </c>
    </row>
    <row r="66" spans="1:23" x14ac:dyDescent="0.35">
      <c r="A66" t="s">
        <v>456</v>
      </c>
      <c r="B66" s="1">
        <f>_xlfn.XLOOKUP(A66,A65:A664,[1]Sheet3!C143:C742)</f>
        <v>44018</v>
      </c>
      <c r="C66" t="str">
        <f>_xlfn.XLOOKUP(A66,A65:A664,[1]Sheet3!D143:D742)</f>
        <v>CUST44523</v>
      </c>
      <c r="D66" t="str">
        <f>_xlfn.XLOOKUP(A66,A65:A664,[1]Sheet3!E143:E742)</f>
        <v>Priya Sharma</v>
      </c>
      <c r="E66" s="5">
        <f>_xlfn.XLOOKUP(A66,A65:A664,[1]Sheet3!G143:G742)</f>
        <v>35</v>
      </c>
      <c r="F66" t="str">
        <f>_xlfn.XLOOKUP('Retail Sales'!A144,'Retail Sales'!A143:A742,[1]Sheet3!H143:H742)</f>
        <v>Young Adult</v>
      </c>
      <c r="G66" t="str">
        <f>_xlfn.XLOOKUP(A66,A65:A664,[1]Sheet3!J143:J742)</f>
        <v>Other</v>
      </c>
      <c r="H66" t="str">
        <f>_xlfn.XLOOKUP(A66,A65:A664,[1]Sheet3!K143:K742)</f>
        <v>South</v>
      </c>
      <c r="I66" t="str">
        <f>_xlfn.XLOOKUP(A66,A65:A664,[1]Sheet3!L143:L742)</f>
        <v>Bangalore</v>
      </c>
      <c r="J66" t="str">
        <f>_xlfn.XLOOKUP(A66,A65:A664,[1]Sheet3!M143:M742)</f>
        <v>Clothing</v>
      </c>
      <c r="K66" t="str">
        <f>_xlfn.XLOOKUP('Retail Sales'!A144,'Retail Sales'!A143:A742,[1]Sheet3!N143:N742)</f>
        <v>Jacket</v>
      </c>
      <c r="L66" s="5">
        <f>_xlfn.XLOOKUP(A66,A65:A664,[1]Sheet3!P143:P742)</f>
        <v>2</v>
      </c>
      <c r="M66" s="7">
        <f>_xlfn.XLOOKUP(A66,A65:A664,[1]Sheet3!Q143:Q742)</f>
        <v>539.35</v>
      </c>
      <c r="N66" s="9">
        <f>_xlfn.XLOOKUP(A66,A65:A664,[1]Sheet3!S143:S742)</f>
        <v>0.23</v>
      </c>
      <c r="O66" s="7">
        <f>_xlfn.XLOOKUP(A66,A65:A664,[1]Sheet3!T143:T742)</f>
        <v>1124.22</v>
      </c>
      <c r="P66" s="7">
        <f>_xlfn.XLOOKUP(A66,A65:A664,[1]Sheet3!U143:U742)</f>
        <v>289.25</v>
      </c>
      <c r="Q66" s="11">
        <f>_xlfn.XLOOKUP(A66,A65:A664,[1]Sheet3!V143:V742)</f>
        <v>0.25728949849673549</v>
      </c>
      <c r="R66" s="7">
        <f>_xlfn.XLOOKUP(A66,A65:A664,[1]Sheet3!W143:W742)</f>
        <v>64.959999999999994</v>
      </c>
      <c r="S66" t="str">
        <f>_xlfn.XLOOKUP(A66,A65:A664,[1]Sheet3!X143:X742)</f>
        <v>Cash on Delivery</v>
      </c>
      <c r="T66" s="5">
        <f>_xlfn.XLOOKUP(A66,A65:A664,[1]Sheet3!Z143:Z742)</f>
        <v>5</v>
      </c>
      <c r="U66" t="b">
        <f>_xlfn.XLOOKUP(A66,A65:A664,[1]Sheet3!AA143:AA742)</f>
        <v>0</v>
      </c>
      <c r="V66" t="str">
        <f>_xlfn.XLOOKUP(A66,A65:A664,[1]Sheet3!AC143:AC742)</f>
        <v>Delivered</v>
      </c>
      <c r="W66" s="5">
        <f>_xlfn.XLOOKUP(A66,A65:A664,[1]Sheet3!AE143:AE742)</f>
        <v>8</v>
      </c>
    </row>
    <row r="67" spans="1:23" x14ac:dyDescent="0.35">
      <c r="A67" t="s">
        <v>20</v>
      </c>
      <c r="B67" s="1">
        <f>_xlfn.XLOOKUP(A67,A66:A665,[1]Sheet3!C579:C1178)</f>
        <v>44020</v>
      </c>
      <c r="C67" t="str">
        <f>_xlfn.XLOOKUP(A67,A66:A665,[1]Sheet3!D579:D1178)</f>
        <v>CUST48382</v>
      </c>
      <c r="D67" t="str">
        <f>_xlfn.XLOOKUP(A67,A66:A665,[1]Sheet3!E579:E1178)</f>
        <v>Priya Kumar</v>
      </c>
      <c r="E67" s="5">
        <f>_xlfn.XLOOKUP(A67,A66:A665,[1]Sheet3!G579:G1178)</f>
        <v>47</v>
      </c>
      <c r="F67" t="str">
        <f>_xlfn.XLOOKUP('Retail Sales'!A580,'Retail Sales'!A579:A1178,[1]Sheet3!H579:H1178)</f>
        <v>Adult</v>
      </c>
      <c r="G67" t="str">
        <f>_xlfn.XLOOKUP(A67,A66:A665,[1]Sheet3!J579:J1178)</f>
        <v>Female</v>
      </c>
      <c r="H67" t="str">
        <f>_xlfn.XLOOKUP(A67,A66:A665,[1]Sheet3!K579:K1178)</f>
        <v>Central</v>
      </c>
      <c r="I67" t="str">
        <f>_xlfn.XLOOKUP(A67,A66:A665,[1]Sheet3!L579:L1178)</f>
        <v>Nagpur</v>
      </c>
      <c r="J67" t="str">
        <f>_xlfn.XLOOKUP(A67,A66:A665,[1]Sheet3!M579:M1178)</f>
        <v>Groceries</v>
      </c>
      <c r="K67" t="str">
        <f>_xlfn.XLOOKUP('Retail Sales'!A580,'Retail Sales'!A579:A1178,[1]Sheet3!N579:N1178)</f>
        <v>Flour</v>
      </c>
      <c r="L67" s="5">
        <f>_xlfn.XLOOKUP(A67,A66:A665,[1]Sheet3!P579:P1178)</f>
        <v>4</v>
      </c>
      <c r="M67" s="7">
        <f>_xlfn.XLOOKUP(A67,A66:A665,[1]Sheet3!Q579:Q1178)</f>
        <v>443.03</v>
      </c>
      <c r="N67" s="9">
        <f>_xlfn.XLOOKUP(A67,A66:A665,[1]Sheet3!S579:S1178)</f>
        <v>0.32</v>
      </c>
      <c r="O67" s="7">
        <f>_xlfn.XLOOKUP(A67,A66:A665,[1]Sheet3!T579:T1178)</f>
        <v>1593.89</v>
      </c>
      <c r="P67" s="7">
        <f>_xlfn.XLOOKUP(A67,A66:A665,[1]Sheet3!U579:U1178)</f>
        <v>115.6</v>
      </c>
      <c r="Q67" s="11">
        <f>_xlfn.XLOOKUP(A67,A66:A665,[1]Sheet3!V579:V1178)</f>
        <v>7.2526962337426032E-2</v>
      </c>
      <c r="R67" s="7">
        <f>_xlfn.XLOOKUP(A67,A66:A665,[1]Sheet3!W579:W1178)</f>
        <v>71.819999999999993</v>
      </c>
      <c r="S67" t="str">
        <f>_xlfn.XLOOKUP(A67,A66:A665,[1]Sheet3!X579:X1178)</f>
        <v>Debit Card</v>
      </c>
      <c r="T67" s="5">
        <f>_xlfn.XLOOKUP(A67,A66:A665,[1]Sheet3!Z579:Z1178)</f>
        <v>4</v>
      </c>
      <c r="U67" t="b">
        <f>_xlfn.XLOOKUP(A67,A66:A665,[1]Sheet3!AA579:AA1178)</f>
        <v>0</v>
      </c>
      <c r="V67" t="str">
        <f>_xlfn.XLOOKUP(A67,A66:A665,[1]Sheet3!AC579:AC1178)</f>
        <v>Shipped</v>
      </c>
      <c r="W67" s="5">
        <f>_xlfn.XLOOKUP(A67,A66:A665,[1]Sheet3!AE579:AE1178)</f>
        <v>2</v>
      </c>
    </row>
    <row r="68" spans="1:23" x14ac:dyDescent="0.35">
      <c r="A68" t="s">
        <v>344</v>
      </c>
      <c r="B68" s="1">
        <f>_xlfn.XLOOKUP(A68,A67:A666,[1]Sheet3!C255:C854)</f>
        <v>44022</v>
      </c>
      <c r="C68" t="str">
        <f>_xlfn.XLOOKUP(A68,A67:A666,[1]Sheet3!D255:D854)</f>
        <v>CUST18887</v>
      </c>
      <c r="D68" t="str">
        <f>_xlfn.XLOOKUP(A68,A67:A666,[1]Sheet3!E255:E854)</f>
        <v>Pooja Kapoor</v>
      </c>
      <c r="E68" s="5">
        <f>_xlfn.XLOOKUP(A68,A67:A666,[1]Sheet3!G255:G854)</f>
        <v>43</v>
      </c>
      <c r="F68" t="str">
        <f>_xlfn.XLOOKUP('Retail Sales'!A256,'Retail Sales'!A255:A854,[1]Sheet3!H255:H854)</f>
        <v>Adult</v>
      </c>
      <c r="G68" t="str">
        <f>_xlfn.XLOOKUP(A68,A67:A666,[1]Sheet3!J255:J854)</f>
        <v>Female</v>
      </c>
      <c r="H68" t="str">
        <f>_xlfn.XLOOKUP(A68,A67:A666,[1]Sheet3!K255:K854)</f>
        <v>West</v>
      </c>
      <c r="I68" t="str">
        <f>_xlfn.XLOOKUP(A68,A67:A666,[1]Sheet3!L255:L854)</f>
        <v>Pune</v>
      </c>
      <c r="J68" t="str">
        <f>_xlfn.XLOOKUP(A68,A67:A666,[1]Sheet3!M255:M854)</f>
        <v>Books</v>
      </c>
      <c r="K68" t="str">
        <f>_xlfn.XLOOKUP('Retail Sales'!A256,'Retail Sales'!A255:A854,[1]Sheet3!N255:N854)</f>
        <v>Biography</v>
      </c>
      <c r="L68" s="5">
        <f>_xlfn.XLOOKUP(A68,A67:A666,[1]Sheet3!P255:P854)</f>
        <v>2</v>
      </c>
      <c r="M68" s="7">
        <f>_xlfn.XLOOKUP(A68,A67:A666,[1]Sheet3!Q255:Q854)</f>
        <v>449.62</v>
      </c>
      <c r="N68" s="9">
        <f>_xlfn.XLOOKUP(A68,A67:A666,[1]Sheet3!S255:S854)</f>
        <v>0.4</v>
      </c>
      <c r="O68" s="7">
        <f>_xlfn.XLOOKUP(A68,A67:A666,[1]Sheet3!T255:T854)</f>
        <v>661.09</v>
      </c>
      <c r="P68" s="7">
        <f>_xlfn.XLOOKUP(A68,A67:A666,[1]Sheet3!U255:U854)</f>
        <v>247.72</v>
      </c>
      <c r="Q68" s="11">
        <f>_xlfn.XLOOKUP(A68,A67:A666,[1]Sheet3!V255:V854)</f>
        <v>0.37471448668108726</v>
      </c>
      <c r="R68" s="7">
        <f>_xlfn.XLOOKUP(A68,A67:A666,[1]Sheet3!W255:W854)</f>
        <v>68.849999999999994</v>
      </c>
      <c r="S68" t="str">
        <f>_xlfn.XLOOKUP(A68,A67:A666,[1]Sheet3!X255:X854)</f>
        <v>Debit Card</v>
      </c>
      <c r="T68" s="5">
        <f>_xlfn.XLOOKUP(A68,A67:A666,[1]Sheet3!Z255:Z854)</f>
        <v>1</v>
      </c>
      <c r="U68" t="b">
        <f>_xlfn.XLOOKUP(A68,A67:A666,[1]Sheet3!AA255:AA854)</f>
        <v>0</v>
      </c>
      <c r="V68" t="str">
        <f>_xlfn.XLOOKUP(A68,A67:A666,[1]Sheet3!AC255:AC854)</f>
        <v>Delivered</v>
      </c>
      <c r="W68" s="5">
        <f>_xlfn.XLOOKUP(A68,A67:A666,[1]Sheet3!AE255:AE854)</f>
        <v>6</v>
      </c>
    </row>
    <row r="69" spans="1:23" x14ac:dyDescent="0.35">
      <c r="A69" t="s">
        <v>253</v>
      </c>
      <c r="B69" s="1">
        <f>_xlfn.XLOOKUP(A69,A68:A667,[1]Sheet3!C346:C945)</f>
        <v>44024</v>
      </c>
      <c r="C69" t="str">
        <f>_xlfn.XLOOKUP(A69,A68:A667,[1]Sheet3!D346:D945)</f>
        <v>CUST45071</v>
      </c>
      <c r="D69" t="str">
        <f>_xlfn.XLOOKUP(A69,A68:A667,[1]Sheet3!E346:E945)</f>
        <v>Aditya Nair</v>
      </c>
      <c r="E69" s="5">
        <f>_xlfn.XLOOKUP(A69,A68:A667,[1]Sheet3!G346:G945)</f>
        <v>22</v>
      </c>
      <c r="F69" t="str">
        <f>_xlfn.XLOOKUP('Retail Sales'!A347,'Retail Sales'!A346:A945,[1]Sheet3!H346:H945)</f>
        <v>Young Adult</v>
      </c>
      <c r="G69" t="str">
        <f>_xlfn.XLOOKUP(A69,A68:A667,[1]Sheet3!J346:J945)</f>
        <v>Male</v>
      </c>
      <c r="H69" t="str">
        <f>_xlfn.XLOOKUP(A69,A68:A667,[1]Sheet3!K346:K945)</f>
        <v>West</v>
      </c>
      <c r="I69" t="str">
        <f>_xlfn.XLOOKUP(A69,A68:A667,[1]Sheet3!L346:L945)</f>
        <v>Ahmedabad</v>
      </c>
      <c r="J69" t="str">
        <f>_xlfn.XLOOKUP(A69,A68:A667,[1]Sheet3!M346:M945)</f>
        <v>Groceries</v>
      </c>
      <c r="K69" t="str">
        <f>_xlfn.XLOOKUP('Retail Sales'!A347,'Retail Sales'!A346:A945,[1]Sheet3!N346:N945)</f>
        <v>Cooking Oil</v>
      </c>
      <c r="L69" s="5">
        <f>_xlfn.XLOOKUP(A69,A68:A667,[1]Sheet3!P346:P945)</f>
        <v>2</v>
      </c>
      <c r="M69" s="7">
        <f>_xlfn.XLOOKUP(A69,A68:A667,[1]Sheet3!Q346:Q945)</f>
        <v>379.2</v>
      </c>
      <c r="N69" s="9">
        <f>_xlfn.XLOOKUP(A69,A68:A667,[1]Sheet3!S346:S945)</f>
        <v>0.2</v>
      </c>
      <c r="O69" s="7">
        <f>_xlfn.XLOOKUP(A69,A68:A667,[1]Sheet3!T346:T945)</f>
        <v>658.39</v>
      </c>
      <c r="P69" s="7">
        <f>_xlfn.XLOOKUP(A69,A68:A667,[1]Sheet3!U346:U945)</f>
        <v>27.25</v>
      </c>
      <c r="Q69" s="11">
        <f>_xlfn.XLOOKUP(A69,A68:A667,[1]Sheet3!V346:V945)</f>
        <v>4.1388842479381523E-2</v>
      </c>
      <c r="R69" s="7">
        <f>_xlfn.XLOOKUP(A69,A68:A667,[1]Sheet3!W346:W945)</f>
        <v>67.650000000000006</v>
      </c>
      <c r="S69" t="str">
        <f>_xlfn.XLOOKUP(A69,A68:A667,[1]Sheet3!X346:X945)</f>
        <v>UPI</v>
      </c>
      <c r="T69" s="5">
        <f>_xlfn.XLOOKUP(A69,A68:A667,[1]Sheet3!Z346:Z945)</f>
        <v>1</v>
      </c>
      <c r="U69" t="b">
        <f>_xlfn.XLOOKUP(A69,A68:A667,[1]Sheet3!AA346:AA945)</f>
        <v>0</v>
      </c>
      <c r="V69" t="str">
        <f>_xlfn.XLOOKUP(A69,A68:A667,[1]Sheet3!AC346:AC945)</f>
        <v>Delivered</v>
      </c>
      <c r="W69" s="5">
        <f>_xlfn.XLOOKUP(A69,A68:A667,[1]Sheet3!AE346:AE945)</f>
        <v>7</v>
      </c>
    </row>
    <row r="70" spans="1:23" x14ac:dyDescent="0.35">
      <c r="A70" t="s">
        <v>46</v>
      </c>
      <c r="B70" s="1">
        <f>_xlfn.XLOOKUP(A70,A69:A668,[1]Sheet3!C553:C1152)</f>
        <v>44030</v>
      </c>
      <c r="C70" t="str">
        <f>_xlfn.XLOOKUP(A70,A69:A668,[1]Sheet3!D553:D1152)</f>
        <v>CUST52335</v>
      </c>
      <c r="D70" t="str">
        <f>_xlfn.XLOOKUP(A70,A69:A668,[1]Sheet3!E553:E1152)</f>
        <v>Nisha Patel</v>
      </c>
      <c r="E70" s="5">
        <f>_xlfn.XLOOKUP(A70,A69:A668,[1]Sheet3!G553:G1152)</f>
        <v>52</v>
      </c>
      <c r="F70" t="str">
        <f>_xlfn.XLOOKUP('Retail Sales'!A554,'Retail Sales'!A553:A1152,[1]Sheet3!H553:H1152)</f>
        <v>Senior</v>
      </c>
      <c r="G70" t="str">
        <f>_xlfn.XLOOKUP(A70,A69:A668,[1]Sheet3!J553:J1152)</f>
        <v>Male</v>
      </c>
      <c r="H70" t="str">
        <f>_xlfn.XLOOKUP(A70,A69:A668,[1]Sheet3!K553:K1152)</f>
        <v>West</v>
      </c>
      <c r="I70" t="str">
        <f>_xlfn.XLOOKUP(A70,A69:A668,[1]Sheet3!L553:L1152)</f>
        <v>Ahmedabad</v>
      </c>
      <c r="J70" t="str">
        <f>_xlfn.XLOOKUP(A70,A69:A668,[1]Sheet3!M553:M1152)</f>
        <v>Books</v>
      </c>
      <c r="K70" t="str">
        <f>_xlfn.XLOOKUP('Retail Sales'!A554,'Retail Sales'!A553:A1152,[1]Sheet3!N553:N1152)</f>
        <v>Textbook</v>
      </c>
      <c r="L70" s="5">
        <f>_xlfn.XLOOKUP(A70,A69:A668,[1]Sheet3!P553:P1152)</f>
        <v>4</v>
      </c>
      <c r="M70" s="7">
        <f>_xlfn.XLOOKUP(A70,A69:A668,[1]Sheet3!Q553:Q1152)</f>
        <v>565.16999999999996</v>
      </c>
      <c r="N70" s="9">
        <f>_xlfn.XLOOKUP(A70,A69:A668,[1]Sheet3!S553:S1152)</f>
        <v>0.05</v>
      </c>
      <c r="O70" s="7">
        <f>_xlfn.XLOOKUP(A70,A69:A668,[1]Sheet3!T553:T1152)</f>
        <v>2606.02</v>
      </c>
      <c r="P70" s="7">
        <f>_xlfn.XLOOKUP(A70,A69:A668,[1]Sheet3!U553:U1152)</f>
        <v>1227.07</v>
      </c>
      <c r="Q70" s="11">
        <f>_xlfn.XLOOKUP(A70,A69:A668,[1]Sheet3!V553:V1152)</f>
        <v>0.47085977851282795</v>
      </c>
      <c r="R70" s="7">
        <f>_xlfn.XLOOKUP(A70,A69:A668,[1]Sheet3!W553:W1152)</f>
        <v>78.290000000000006</v>
      </c>
      <c r="S70" t="str">
        <f>_xlfn.XLOOKUP(A70,A69:A668,[1]Sheet3!X553:X1152)</f>
        <v>Credit Card</v>
      </c>
      <c r="T70" s="5">
        <f>_xlfn.XLOOKUP(A70,A69:A668,[1]Sheet3!Z553:Z1152)</f>
        <v>4</v>
      </c>
      <c r="U70" t="b">
        <f>_xlfn.XLOOKUP(A70,A69:A668,[1]Sheet3!AA553:AA1152)</f>
        <v>0</v>
      </c>
      <c r="V70" t="str">
        <f>_xlfn.XLOOKUP(A70,A69:A668,[1]Sheet3!AC553:AC1152)</f>
        <v>Delivered</v>
      </c>
      <c r="W70" s="5">
        <f>_xlfn.XLOOKUP(A70,A69:A668,[1]Sheet3!AE553:AE1152)</f>
        <v>5</v>
      </c>
    </row>
    <row r="71" spans="1:23" x14ac:dyDescent="0.35">
      <c r="A71" t="s">
        <v>372</v>
      </c>
      <c r="B71" s="1">
        <f>_xlfn.XLOOKUP(A71,A70:A669,[1]Sheet3!C227:C826)</f>
        <v>44032</v>
      </c>
      <c r="C71" t="str">
        <f>_xlfn.XLOOKUP(A71,A70:A669,[1]Sheet3!D227:D826)</f>
        <v>CUST53954</v>
      </c>
      <c r="D71" t="str">
        <f>_xlfn.XLOOKUP(A71,A70:A669,[1]Sheet3!E227:E826)</f>
        <v>Amit Kapoor</v>
      </c>
      <c r="E71" s="5">
        <f>_xlfn.XLOOKUP(A71,A70:A669,[1]Sheet3!G227:G826)</f>
        <v>40</v>
      </c>
      <c r="F71" t="str">
        <f>_xlfn.XLOOKUP('Retail Sales'!A228,'Retail Sales'!A227:A826,[1]Sheet3!H227:H826)</f>
        <v>Adult</v>
      </c>
      <c r="G71" t="str">
        <f>_xlfn.XLOOKUP(A71,A70:A669,[1]Sheet3!J227:J826)</f>
        <v>Other</v>
      </c>
      <c r="H71" t="str">
        <f>_xlfn.XLOOKUP(A71,A70:A669,[1]Sheet3!K227:K826)</f>
        <v>Central</v>
      </c>
      <c r="I71" t="str">
        <f>_xlfn.XLOOKUP(A71,A70:A669,[1]Sheet3!L227:L826)</f>
        <v>Nagpur</v>
      </c>
      <c r="J71" t="str">
        <f>_xlfn.XLOOKUP(A71,A70:A669,[1]Sheet3!M227:M826)</f>
        <v>Books</v>
      </c>
      <c r="K71" t="str">
        <f>_xlfn.XLOOKUP('Retail Sales'!A228,'Retail Sales'!A227:A826,[1]Sheet3!N227:N826)</f>
        <v>Cook Book</v>
      </c>
      <c r="L71" s="5">
        <f>_xlfn.XLOOKUP(A71,A70:A669,[1]Sheet3!P227:P826)</f>
        <v>4</v>
      </c>
      <c r="M71" s="7">
        <f>_xlfn.XLOOKUP(A71,A70:A669,[1]Sheet3!Q227:Q826)</f>
        <v>313.79000000000002</v>
      </c>
      <c r="N71" s="9">
        <f>_xlfn.XLOOKUP(A71,A70:A669,[1]Sheet3!S227:S826)</f>
        <v>0.37</v>
      </c>
      <c r="O71" s="7">
        <f>_xlfn.XLOOKUP(A71,A70:A669,[1]Sheet3!T227:T826)</f>
        <v>885.78</v>
      </c>
      <c r="P71" s="7">
        <f>_xlfn.XLOOKUP(A71,A70:A669,[1]Sheet3!U227:U826)</f>
        <v>369.77</v>
      </c>
      <c r="Q71" s="11">
        <f>_xlfn.XLOOKUP(A71,A70:A669,[1]Sheet3!V227:V826)</f>
        <v>0.41745128587233848</v>
      </c>
      <c r="R71" s="7">
        <f>_xlfn.XLOOKUP(A71,A70:A669,[1]Sheet3!W227:W826)</f>
        <v>43.26</v>
      </c>
      <c r="S71" t="str">
        <f>_xlfn.XLOOKUP(A71,A70:A669,[1]Sheet3!X227:X826)</f>
        <v>Net Banking</v>
      </c>
      <c r="T71" s="5">
        <f>_xlfn.XLOOKUP(A71,A70:A669,[1]Sheet3!Z227:Z826)</f>
        <v>2</v>
      </c>
      <c r="U71" t="b">
        <f>_xlfn.XLOOKUP(A71,A70:A669,[1]Sheet3!AA227:AA826)</f>
        <v>0</v>
      </c>
      <c r="V71" t="str">
        <f>_xlfn.XLOOKUP(A71,A70:A669,[1]Sheet3!AC227:AC826)</f>
        <v>Delivered</v>
      </c>
      <c r="W71" s="5">
        <f>_xlfn.XLOOKUP(A71,A70:A669,[1]Sheet3!AE227:AE826)</f>
        <v>5</v>
      </c>
    </row>
    <row r="72" spans="1:23" x14ac:dyDescent="0.35">
      <c r="A72" t="s">
        <v>590</v>
      </c>
      <c r="B72" s="1">
        <f>_xlfn.XLOOKUP(A72,A71:A670,[1]Sheet3!C9:C608)</f>
        <v>44036</v>
      </c>
      <c r="C72" t="str">
        <f>_xlfn.XLOOKUP(A72,A71:A670,[1]Sheet3!D9:D608)</f>
        <v>CUST23609</v>
      </c>
      <c r="D72" t="str">
        <f>_xlfn.XLOOKUP(A72,A71:A670,[1]Sheet3!E9:E608)</f>
        <v>Aditya Patel</v>
      </c>
      <c r="E72" s="5">
        <f>_xlfn.XLOOKUP(A72,A71:A670,[1]Sheet3!G9:G608)</f>
        <v>44</v>
      </c>
      <c r="F72" t="str">
        <f>_xlfn.XLOOKUP('Retail Sales'!A10,'Retail Sales'!A9:A608,[1]Sheet3!H9:H608)</f>
        <v>Adult</v>
      </c>
      <c r="G72" t="str">
        <f>_xlfn.XLOOKUP(A72,A71:A670,[1]Sheet3!J9:J608)</f>
        <v>Female</v>
      </c>
      <c r="H72" t="str">
        <f>_xlfn.XLOOKUP(A72,A71:A670,[1]Sheet3!K9:K608)</f>
        <v>East</v>
      </c>
      <c r="I72" t="str">
        <f>_xlfn.XLOOKUP(A72,A71:A670,[1]Sheet3!L9:L608)</f>
        <v>Patna</v>
      </c>
      <c r="J72" t="str">
        <f>_xlfn.XLOOKUP(A72,A71:A670,[1]Sheet3!M9:M608)</f>
        <v>Books</v>
      </c>
      <c r="K72" t="str">
        <f>_xlfn.XLOOKUP('Retail Sales'!A10,'Retail Sales'!A9:A608,[1]Sheet3!N9:N608)</f>
        <v>Self-Help Book</v>
      </c>
      <c r="L72" s="5">
        <f>_xlfn.XLOOKUP(A72,A71:A670,[1]Sheet3!P9:P608)</f>
        <v>8</v>
      </c>
      <c r="M72" s="7">
        <f>_xlfn.XLOOKUP(A72,A71:A670,[1]Sheet3!Q9:Q608)</f>
        <v>495.77</v>
      </c>
      <c r="N72" s="9">
        <f>_xlfn.XLOOKUP(A72,A71:A670,[1]Sheet3!S9:S608)</f>
        <v>0.37</v>
      </c>
      <c r="O72" s="7">
        <f>_xlfn.XLOOKUP(A72,A71:A670,[1]Sheet3!T9:T608)</f>
        <v>2828.82</v>
      </c>
      <c r="P72" s="7">
        <f>_xlfn.XLOOKUP(A72,A71:A670,[1]Sheet3!U9:U608)</f>
        <v>1338.88</v>
      </c>
      <c r="Q72" s="11">
        <f>_xlfn.XLOOKUP(A72,A71:A670,[1]Sheet3!V9:V608)</f>
        <v>0.47329982112683028</v>
      </c>
      <c r="R72" s="7">
        <f>_xlfn.XLOOKUP(A72,A71:A670,[1]Sheet3!W9:W608)</f>
        <v>84.5</v>
      </c>
      <c r="S72" t="str">
        <f>_xlfn.XLOOKUP(A72,A71:A670,[1]Sheet3!X9:X608)</f>
        <v>Debit Card</v>
      </c>
      <c r="T72" s="5">
        <f>_xlfn.XLOOKUP(A72,A71:A670,[1]Sheet3!Z9:Z608)</f>
        <v>1</v>
      </c>
      <c r="U72" t="b">
        <f>_xlfn.XLOOKUP(A72,A71:A670,[1]Sheet3!AA9:AA608)</f>
        <v>0</v>
      </c>
      <c r="V72" t="str">
        <f>_xlfn.XLOOKUP(A72,A71:A670,[1]Sheet3!AC9:AC608)</f>
        <v>Cancelled</v>
      </c>
      <c r="W72" s="5">
        <f>_xlfn.XLOOKUP(A72,A71:A670,[1]Sheet3!AE9:AE608)</f>
        <v>10</v>
      </c>
    </row>
    <row r="73" spans="1:23" x14ac:dyDescent="0.35">
      <c r="A73" t="s">
        <v>261</v>
      </c>
      <c r="B73" s="1">
        <f>_xlfn.XLOOKUP(A73,A72:A671,[1]Sheet3!C338:C937)</f>
        <v>44045</v>
      </c>
      <c r="C73" t="str">
        <f>_xlfn.XLOOKUP(A73,A72:A671,[1]Sheet3!D338:D937)</f>
        <v>CUST67381</v>
      </c>
      <c r="D73" t="str">
        <f>_xlfn.XLOOKUP(A73,A72:A671,[1]Sheet3!E338:E937)</f>
        <v>Amit Mehta</v>
      </c>
      <c r="E73" s="5">
        <f>_xlfn.XLOOKUP(A73,A72:A671,[1]Sheet3!G338:G937)</f>
        <v>46</v>
      </c>
      <c r="F73" t="str">
        <f>_xlfn.XLOOKUP('Retail Sales'!A339,'Retail Sales'!A338:A937,[1]Sheet3!H338:H937)</f>
        <v>Adult</v>
      </c>
      <c r="G73" t="str">
        <f>_xlfn.XLOOKUP(A73,A72:A671,[1]Sheet3!J338:J937)</f>
        <v>Other</v>
      </c>
      <c r="H73" t="str">
        <f>_xlfn.XLOOKUP(A73,A72:A671,[1]Sheet3!K338:K937)</f>
        <v>East</v>
      </c>
      <c r="I73" t="str">
        <f>_xlfn.XLOOKUP(A73,A72:A671,[1]Sheet3!L338:L937)</f>
        <v>Kolkata</v>
      </c>
      <c r="J73" t="str">
        <f>_xlfn.XLOOKUP(A73,A72:A671,[1]Sheet3!M338:M937)</f>
        <v>Electronics</v>
      </c>
      <c r="K73" t="str">
        <f>_xlfn.XLOOKUP('Retail Sales'!A339,'Retail Sales'!A338:A937,[1]Sheet3!N338:N937)</f>
        <v>Laptop</v>
      </c>
      <c r="L73" s="5">
        <f>_xlfn.XLOOKUP(A73,A72:A671,[1]Sheet3!P338:P937)</f>
        <v>6</v>
      </c>
      <c r="M73" s="7">
        <f>_xlfn.XLOOKUP(A73,A72:A671,[1]Sheet3!Q338:Q937)</f>
        <v>76471.27</v>
      </c>
      <c r="N73" s="9">
        <f>_xlfn.XLOOKUP(A73,A72:A671,[1]Sheet3!S338:S937)</f>
        <v>0.19793402777777783</v>
      </c>
      <c r="O73" s="7">
        <f>_xlfn.XLOOKUP(A73,A72:A671,[1]Sheet3!T338:T937)</f>
        <v>542833.31999999995</v>
      </c>
      <c r="P73" s="7">
        <f>_xlfn.XLOOKUP(A73,A72:A671,[1]Sheet3!U338:U937)</f>
        <v>79755.17</v>
      </c>
      <c r="Q73" s="11">
        <f>_xlfn.XLOOKUP(A73,A72:A671,[1]Sheet3!V338:V937)</f>
        <v>0.1469238660589221</v>
      </c>
      <c r="R73" s="7">
        <f>_xlfn.XLOOKUP(A73,A72:A671,[1]Sheet3!W338:W937)</f>
        <v>71.89</v>
      </c>
      <c r="S73" t="str">
        <f>_xlfn.XLOOKUP(A73,A72:A671,[1]Sheet3!X338:X937)</f>
        <v>Cash on Delivery</v>
      </c>
      <c r="T73" s="5">
        <f>_xlfn.XLOOKUP(A73,A72:A671,[1]Sheet3!Z338:Z937)</f>
        <v>5</v>
      </c>
      <c r="U73" t="b">
        <f>_xlfn.XLOOKUP(A73,A72:A671,[1]Sheet3!AA338:AA937)</f>
        <v>0</v>
      </c>
      <c r="V73" t="str">
        <f>_xlfn.XLOOKUP(A73,A72:A671,[1]Sheet3!AC338:AC937)</f>
        <v>Delivered</v>
      </c>
      <c r="W73" s="5">
        <f>_xlfn.XLOOKUP(A73,A72:A671,[1]Sheet3!AE338:AE937)</f>
        <v>5</v>
      </c>
    </row>
    <row r="74" spans="1:23" x14ac:dyDescent="0.35">
      <c r="A74" t="s">
        <v>544</v>
      </c>
      <c r="B74" s="1">
        <f>_xlfn.XLOOKUP(A74,A73:A672,[1]Sheet3!C55:C654)</f>
        <v>44046</v>
      </c>
      <c r="C74" t="str">
        <f>_xlfn.XLOOKUP(A74,A73:A672,[1]Sheet3!D55:D654)</f>
        <v>CUST85726</v>
      </c>
      <c r="D74" t="str">
        <f>_xlfn.XLOOKUP(A74,A73:A672,[1]Sheet3!E55:E654)</f>
        <v>Ritu Verma</v>
      </c>
      <c r="E74" s="5">
        <f>_xlfn.XLOOKUP(A74,A73:A672,[1]Sheet3!G55:G654)</f>
        <v>34</v>
      </c>
      <c r="F74" t="str">
        <f>_xlfn.XLOOKUP('Retail Sales'!A56,'Retail Sales'!A55:A654,[1]Sheet3!H55:H654)</f>
        <v>Young Adult</v>
      </c>
      <c r="G74" t="str">
        <f>_xlfn.XLOOKUP(A74,A73:A672,[1]Sheet3!J55:J654)</f>
        <v>Male</v>
      </c>
      <c r="H74" t="str">
        <f>_xlfn.XLOOKUP(A74,A73:A672,[1]Sheet3!K55:K654)</f>
        <v>Central</v>
      </c>
      <c r="I74" t="str">
        <f>_xlfn.XLOOKUP(A74,A73:A672,[1]Sheet3!L55:L654)</f>
        <v>Raipur</v>
      </c>
      <c r="J74" t="str">
        <f>_xlfn.XLOOKUP(A74,A73:A672,[1]Sheet3!M55:M654)</f>
        <v>Electronics</v>
      </c>
      <c r="K74" t="str">
        <f>_xlfn.XLOOKUP('Retail Sales'!A56,'Retail Sales'!A55:A654,[1]Sheet3!N55:N654)</f>
        <v>Tablet</v>
      </c>
      <c r="L74" s="5">
        <f>_xlfn.XLOOKUP(A74,A73:A672,[1]Sheet3!P55:P654)</f>
        <v>2</v>
      </c>
      <c r="M74" s="7">
        <f>_xlfn.XLOOKUP(A74,A73:A672,[1]Sheet3!Q55:Q654)</f>
        <v>52363.15</v>
      </c>
      <c r="N74" s="9">
        <f>_xlfn.XLOOKUP(A74,A73:A672,[1]Sheet3!S55:S654)</f>
        <v>0.25</v>
      </c>
      <c r="O74" s="7">
        <f>_xlfn.XLOOKUP(A74,A73:A672,[1]Sheet3!T55:T654)</f>
        <v>89225.91</v>
      </c>
      <c r="P74" s="7">
        <f>_xlfn.XLOOKUP(A74,A73:A672,[1]Sheet3!U55:U654)</f>
        <v>14474.33</v>
      </c>
      <c r="Q74" s="11">
        <f>_xlfn.XLOOKUP(A74,A73:A672,[1]Sheet3!V55:V654)</f>
        <v>0.16222115302606607</v>
      </c>
      <c r="R74" s="7">
        <f>_xlfn.XLOOKUP(A74,A73:A672,[1]Sheet3!W55:W654)</f>
        <v>45.26</v>
      </c>
      <c r="S74" t="str">
        <f>_xlfn.XLOOKUP(A74,A73:A672,[1]Sheet3!X55:X654)</f>
        <v>Net Banking</v>
      </c>
      <c r="T74" s="5">
        <f>_xlfn.XLOOKUP(A74,A73:A672,[1]Sheet3!Z55:Z654)</f>
        <v>2</v>
      </c>
      <c r="U74" t="b">
        <f>_xlfn.XLOOKUP(A74,A73:A672,[1]Sheet3!AA55:AA654)</f>
        <v>0</v>
      </c>
      <c r="V74" t="str">
        <f>_xlfn.XLOOKUP(A74,A73:A672,[1]Sheet3!AC55:AC654)</f>
        <v>Pending</v>
      </c>
      <c r="W74" s="5">
        <f>_xlfn.XLOOKUP(A74,A73:A672,[1]Sheet3!AE55:AE654)</f>
        <v>9</v>
      </c>
    </row>
    <row r="75" spans="1:23" x14ac:dyDescent="0.35">
      <c r="A75" t="s">
        <v>431</v>
      </c>
      <c r="B75" s="1">
        <f>_xlfn.XLOOKUP(A75,A74:A673,[1]Sheet3!C168:C767)</f>
        <v>44047</v>
      </c>
      <c r="C75" t="str">
        <f>_xlfn.XLOOKUP(A75,A74:A673,[1]Sheet3!D168:D767)</f>
        <v>CUST00642</v>
      </c>
      <c r="D75" t="str">
        <f>_xlfn.XLOOKUP(A75,A74:A673,[1]Sheet3!E168:E767)</f>
        <v>Kavya Das</v>
      </c>
      <c r="E75" s="5">
        <f>_xlfn.XLOOKUP(A75,A74:A673,[1]Sheet3!G168:G767)</f>
        <v>40</v>
      </c>
      <c r="F75" t="str">
        <f>_xlfn.XLOOKUP('Retail Sales'!A169,'Retail Sales'!A168:A767,[1]Sheet3!H168:H767)</f>
        <v>Adult</v>
      </c>
      <c r="G75" t="str">
        <f>_xlfn.XLOOKUP(A75,A74:A673,[1]Sheet3!J168:J767)</f>
        <v>Male</v>
      </c>
      <c r="H75" t="str">
        <f>_xlfn.XLOOKUP(A75,A74:A673,[1]Sheet3!K168:K767)</f>
        <v>South</v>
      </c>
      <c r="I75" t="str">
        <f>_xlfn.XLOOKUP(A75,A74:A673,[1]Sheet3!L168:L767)</f>
        <v>Chennai</v>
      </c>
      <c r="J75" t="str">
        <f>_xlfn.XLOOKUP(A75,A74:A673,[1]Sheet3!M168:M767)</f>
        <v>Furniture</v>
      </c>
      <c r="K75" t="str">
        <f>_xlfn.XLOOKUP('Retail Sales'!A169,'Retail Sales'!A168:A767,[1]Sheet3!N168:N767)</f>
        <v>Wardrobe</v>
      </c>
      <c r="L75" s="5">
        <f>_xlfn.XLOOKUP(A75,A74:A673,[1]Sheet3!P168:P767)</f>
        <v>5</v>
      </c>
      <c r="M75" s="7">
        <f>_xlfn.XLOOKUP(A75,A74:A673,[1]Sheet3!Q168:Q767)</f>
        <v>12250.19</v>
      </c>
      <c r="N75" s="9">
        <f>_xlfn.XLOOKUP(A75,A74:A673,[1]Sheet3!S168:S767)</f>
        <v>0.32</v>
      </c>
      <c r="O75" s="7">
        <f>_xlfn.XLOOKUP(A75,A74:A673,[1]Sheet3!T168:T767)</f>
        <v>45443.23</v>
      </c>
      <c r="P75" s="7">
        <f>_xlfn.XLOOKUP(A75,A74:A673,[1]Sheet3!U168:U767)</f>
        <v>11573.16</v>
      </c>
      <c r="Q75" s="11">
        <f>_xlfn.XLOOKUP(A75,A74:A673,[1]Sheet3!V168:V767)</f>
        <v>0.25467291827627569</v>
      </c>
      <c r="R75" s="7">
        <f>_xlfn.XLOOKUP(A75,A74:A673,[1]Sheet3!W168:W767)</f>
        <v>71.75</v>
      </c>
      <c r="S75" t="str">
        <f>_xlfn.XLOOKUP(A75,A74:A673,[1]Sheet3!X168:X767)</f>
        <v>EMI</v>
      </c>
      <c r="T75" s="5">
        <f>_xlfn.XLOOKUP(A75,A74:A673,[1]Sheet3!Z168:Z767)</f>
        <v>3</v>
      </c>
      <c r="U75" t="b">
        <f>_xlfn.XLOOKUP(A75,A74:A673,[1]Sheet3!AA168:AA767)</f>
        <v>0</v>
      </c>
      <c r="V75" t="str">
        <f>_xlfn.XLOOKUP(A75,A74:A673,[1]Sheet3!AC168:AC767)</f>
        <v>Delivered</v>
      </c>
      <c r="W75" s="5">
        <f>_xlfn.XLOOKUP(A75,A74:A673,[1]Sheet3!AE168:AE767)</f>
        <v>6</v>
      </c>
    </row>
    <row r="76" spans="1:23" x14ac:dyDescent="0.35">
      <c r="A76" t="s">
        <v>108</v>
      </c>
      <c r="B76" s="1">
        <f>_xlfn.XLOOKUP(A76,A75:A674,[1]Sheet3!C491:C1090)</f>
        <v>44048</v>
      </c>
      <c r="C76" t="str">
        <f>_xlfn.XLOOKUP(A76,A75:A674,[1]Sheet3!D491:D1090)</f>
        <v>CUST95892</v>
      </c>
      <c r="D76" t="str">
        <f>_xlfn.XLOOKUP(A76,A75:A674,[1]Sheet3!E491:E1090)</f>
        <v>Vikram Gupta</v>
      </c>
      <c r="E76" s="5">
        <f>_xlfn.XLOOKUP(A76,A75:A674,[1]Sheet3!G491:G1090)</f>
        <v>40</v>
      </c>
      <c r="F76" t="str">
        <f>_xlfn.XLOOKUP('Retail Sales'!A492,'Retail Sales'!A491:A1090,[1]Sheet3!H491:H1090)</f>
        <v>Adult</v>
      </c>
      <c r="G76" t="str">
        <f>_xlfn.XLOOKUP(A76,A75:A674,[1]Sheet3!J491:J1090)</f>
        <v>Other</v>
      </c>
      <c r="H76" t="str">
        <f>_xlfn.XLOOKUP(A76,A75:A674,[1]Sheet3!K491:K1090)</f>
        <v>East</v>
      </c>
      <c r="I76" t="str">
        <f>_xlfn.XLOOKUP(A76,A75:A674,[1]Sheet3!L491:L1090)</f>
        <v>Guwahati</v>
      </c>
      <c r="J76" t="str">
        <f>_xlfn.XLOOKUP(A76,A75:A674,[1]Sheet3!M491:M1090)</f>
        <v>Groceries</v>
      </c>
      <c r="K76" t="str">
        <f>_xlfn.XLOOKUP('Retail Sales'!A492,'Retail Sales'!A491:A1090,[1]Sheet3!N491:N1090)</f>
        <v>Rice (5kg)</v>
      </c>
      <c r="L76" s="5">
        <f>_xlfn.XLOOKUP(A76,A75:A674,[1]Sheet3!P491:P1090)</f>
        <v>4</v>
      </c>
      <c r="M76" s="7">
        <f>_xlfn.XLOOKUP(A76,A75:A674,[1]Sheet3!Q491:Q1090)</f>
        <v>57.97</v>
      </c>
      <c r="N76" s="9">
        <f>_xlfn.XLOOKUP(A76,A75:A674,[1]Sheet3!S491:S1090)</f>
        <v>0.1</v>
      </c>
      <c r="O76" s="7">
        <f>_xlfn.XLOOKUP(A76,A75:A674,[1]Sheet3!T491:T1090)</f>
        <v>258.54000000000002</v>
      </c>
      <c r="P76" s="7">
        <f>_xlfn.XLOOKUP(A76,A75:A674,[1]Sheet3!U491:U1090)</f>
        <v>16.670000000000002</v>
      </c>
      <c r="Q76" s="11">
        <f>_xlfn.XLOOKUP(A76,A75:A674,[1]Sheet3!V491:V1090)</f>
        <v>6.4477450297826255E-2</v>
      </c>
      <c r="R76" s="7">
        <f>_xlfn.XLOOKUP(A76,A75:A674,[1]Sheet3!W491:W1090)</f>
        <v>74.150000000000006</v>
      </c>
      <c r="S76" t="str">
        <f>_xlfn.XLOOKUP(A76,A75:A674,[1]Sheet3!X491:X1090)</f>
        <v>Net Banking</v>
      </c>
      <c r="T76" s="5">
        <f>_xlfn.XLOOKUP(A76,A75:A674,[1]Sheet3!Z491:Z1090)</f>
        <v>3</v>
      </c>
      <c r="U76" t="b">
        <f>_xlfn.XLOOKUP(A76,A75:A674,[1]Sheet3!AA491:AA1090)</f>
        <v>0</v>
      </c>
      <c r="V76" t="str">
        <f>_xlfn.XLOOKUP(A76,A75:A674,[1]Sheet3!AC491:AC1090)</f>
        <v>Delivered</v>
      </c>
      <c r="W76" s="5">
        <f>_xlfn.XLOOKUP(A76,A75:A674,[1]Sheet3!AE491:AE1090)</f>
        <v>9</v>
      </c>
    </row>
    <row r="77" spans="1:23" x14ac:dyDescent="0.35">
      <c r="A77" t="s">
        <v>159</v>
      </c>
      <c r="B77" s="1">
        <f>_xlfn.XLOOKUP(A77,A76:A675,[1]Sheet3!C440:C1039)</f>
        <v>44062</v>
      </c>
      <c r="C77" t="str">
        <f>_xlfn.XLOOKUP(A77,A76:A675,[1]Sheet3!D440:D1039)</f>
        <v>CUST28496</v>
      </c>
      <c r="D77" t="str">
        <f>_xlfn.XLOOKUP(A77,A76:A675,[1]Sheet3!E440:E1039)</f>
        <v>Ritu Gupta</v>
      </c>
      <c r="E77" s="5">
        <f>_xlfn.XLOOKUP(A77,A76:A675,[1]Sheet3!G440:G1039)</f>
        <v>49</v>
      </c>
      <c r="F77" t="str">
        <f>_xlfn.XLOOKUP('Retail Sales'!A441,'Retail Sales'!A440:A1039,[1]Sheet3!H440:H1039)</f>
        <v>Adult</v>
      </c>
      <c r="G77" t="str">
        <f>_xlfn.XLOOKUP(A77,A76:A675,[1]Sheet3!J440:J1039)</f>
        <v>Female</v>
      </c>
      <c r="H77" t="str">
        <f>_xlfn.XLOOKUP(A77,A76:A675,[1]Sheet3!K440:K1039)</f>
        <v>South</v>
      </c>
      <c r="I77" t="str">
        <f>_xlfn.XLOOKUP(A77,A76:A675,[1]Sheet3!L440:L1039)</f>
        <v>Hyderabad</v>
      </c>
      <c r="J77" t="str">
        <f>_xlfn.XLOOKUP(A77,A76:A675,[1]Sheet3!M440:M1039)</f>
        <v>Furniture</v>
      </c>
      <c r="K77" t="str">
        <f>_xlfn.XLOOKUP('Retail Sales'!A441,'Retail Sales'!A440:A1039,[1]Sheet3!N440:N1039)</f>
        <v>Desk</v>
      </c>
      <c r="L77" s="5">
        <f>_xlfn.XLOOKUP(A77,A76:A675,[1]Sheet3!P440:P1039)</f>
        <v>3</v>
      </c>
      <c r="M77" s="7">
        <f>_xlfn.XLOOKUP(A77,A76:A675,[1]Sheet3!Q440:Q1039)</f>
        <v>28093.41</v>
      </c>
      <c r="N77" s="9">
        <f>_xlfn.XLOOKUP(A77,A76:A675,[1]Sheet3!S440:S1039)</f>
        <v>0.11</v>
      </c>
      <c r="O77" s="7">
        <f>_xlfn.XLOOKUP(A77,A76:A675,[1]Sheet3!T440:T1039)</f>
        <v>80865.399999999994</v>
      </c>
      <c r="P77" s="7">
        <f>_xlfn.XLOOKUP(A77,A76:A675,[1]Sheet3!U440:U1039)</f>
        <v>14166.32</v>
      </c>
      <c r="Q77" s="11">
        <f>_xlfn.XLOOKUP(A77,A76:A675,[1]Sheet3!V440:V1039)</f>
        <v>0.17518394764633577</v>
      </c>
      <c r="R77" s="7">
        <f>_xlfn.XLOOKUP(A77,A76:A675,[1]Sheet3!W440:W1039)</f>
        <v>69.8</v>
      </c>
      <c r="S77" t="str">
        <f>_xlfn.XLOOKUP(A77,A76:A675,[1]Sheet3!X440:X1039)</f>
        <v>Net Banking</v>
      </c>
      <c r="T77" s="5">
        <f>_xlfn.XLOOKUP(A77,A76:A675,[1]Sheet3!Z440:Z1039)</f>
        <v>3</v>
      </c>
      <c r="U77" t="b">
        <f>_xlfn.XLOOKUP(A77,A76:A675,[1]Sheet3!AA440:AA1039)</f>
        <v>1</v>
      </c>
      <c r="V77" t="str">
        <f>_xlfn.XLOOKUP(A77,A76:A675,[1]Sheet3!AC440:AC1039)</f>
        <v>Returned</v>
      </c>
      <c r="W77" s="5">
        <f>_xlfn.XLOOKUP(A77,A76:A675,[1]Sheet3!AE440:AE1039)</f>
        <v>3</v>
      </c>
    </row>
    <row r="78" spans="1:23" x14ac:dyDescent="0.35">
      <c r="A78" t="s">
        <v>472</v>
      </c>
      <c r="B78" s="1">
        <f>_xlfn.XLOOKUP(A78,A77:A676,[1]Sheet3!C127:C726)</f>
        <v>44064</v>
      </c>
      <c r="C78" t="str">
        <f>_xlfn.XLOOKUP(A78,A77:A676,[1]Sheet3!D127:D726)</f>
        <v>CUST94563</v>
      </c>
      <c r="D78" t="str">
        <f>_xlfn.XLOOKUP(A78,A77:A676,[1]Sheet3!E127:E726)</f>
        <v>Amit Das</v>
      </c>
      <c r="E78" s="5">
        <f>_xlfn.XLOOKUP(A78,A77:A676,[1]Sheet3!G127:G726)</f>
        <v>56</v>
      </c>
      <c r="F78" t="str">
        <f>_xlfn.XLOOKUP('Retail Sales'!A128,'Retail Sales'!A127:A726,[1]Sheet3!H127:H726)</f>
        <v>Senior</v>
      </c>
      <c r="G78" t="str">
        <f>_xlfn.XLOOKUP(A78,A77:A676,[1]Sheet3!J127:J726)</f>
        <v>Male</v>
      </c>
      <c r="H78" t="str">
        <f>_xlfn.XLOOKUP(A78,A77:A676,[1]Sheet3!K127:K726)</f>
        <v>East</v>
      </c>
      <c r="I78" t="str">
        <f>_xlfn.XLOOKUP(A78,A77:A676,[1]Sheet3!L127:L726)</f>
        <v>Bhubaneswar</v>
      </c>
      <c r="J78" t="str">
        <f>_xlfn.XLOOKUP(A78,A77:A676,[1]Sheet3!M127:M726)</f>
        <v>Clothing</v>
      </c>
      <c r="K78" t="str">
        <f>_xlfn.XLOOKUP('Retail Sales'!A128,'Retail Sales'!A127:A726,[1]Sheet3!N127:N726)</f>
        <v>Dress</v>
      </c>
      <c r="L78" s="5">
        <f>_xlfn.XLOOKUP(A78,A77:A676,[1]Sheet3!P127:P726)</f>
        <v>5</v>
      </c>
      <c r="M78" s="7">
        <f>_xlfn.XLOOKUP(A78,A77:A676,[1]Sheet3!Q127:Q726)</f>
        <v>2614.79</v>
      </c>
      <c r="N78" s="9">
        <f>_xlfn.XLOOKUP(A78,A77:A676,[1]Sheet3!S127:S726)</f>
        <v>0.12</v>
      </c>
      <c r="O78" s="7">
        <f>_xlfn.XLOOKUP(A78,A77:A676,[1]Sheet3!T127:T726)</f>
        <v>12884.93</v>
      </c>
      <c r="P78" s="7">
        <f>_xlfn.XLOOKUP(A78,A77:A676,[1]Sheet3!U127:U726)</f>
        <v>2796.07</v>
      </c>
      <c r="Q78" s="11">
        <f>_xlfn.XLOOKUP(A78,A77:A676,[1]Sheet3!V127:V726)</f>
        <v>0.21700311914771753</v>
      </c>
      <c r="R78" s="7">
        <f>_xlfn.XLOOKUP(A78,A77:A676,[1]Sheet3!W127:W726)</f>
        <v>55.45</v>
      </c>
      <c r="S78" t="str">
        <f>_xlfn.XLOOKUP(A78,A77:A676,[1]Sheet3!X127:X726)</f>
        <v>Credit Card</v>
      </c>
      <c r="T78" s="5">
        <f>_xlfn.XLOOKUP(A78,A77:A676,[1]Sheet3!Z127:Z726)</f>
        <v>4</v>
      </c>
      <c r="U78" t="b">
        <f>_xlfn.XLOOKUP(A78,A77:A676,[1]Sheet3!AA127:AA726)</f>
        <v>1</v>
      </c>
      <c r="V78" t="str">
        <f>_xlfn.XLOOKUP(A78,A77:A676,[1]Sheet3!AC127:AC726)</f>
        <v>Returned</v>
      </c>
      <c r="W78" s="5">
        <f>_xlfn.XLOOKUP(A78,A77:A676,[1]Sheet3!AE127:AE726)</f>
        <v>9</v>
      </c>
    </row>
    <row r="79" spans="1:23" x14ac:dyDescent="0.35">
      <c r="A79" t="s">
        <v>396</v>
      </c>
      <c r="B79" s="1">
        <f>_xlfn.XLOOKUP(A79,A78:A677,[1]Sheet3!C203:C802)</f>
        <v>44065</v>
      </c>
      <c r="C79" t="str">
        <f>_xlfn.XLOOKUP(A79,A78:A677,[1]Sheet3!D203:D802)</f>
        <v>CUST91144</v>
      </c>
      <c r="D79" t="str">
        <f>_xlfn.XLOOKUP(A79,A78:A677,[1]Sheet3!E203:E802)</f>
        <v>Sanjay Iyer</v>
      </c>
      <c r="E79" s="5">
        <f>_xlfn.XLOOKUP(A79,A78:A677,[1]Sheet3!G203:G802)</f>
        <v>29</v>
      </c>
      <c r="F79" t="str">
        <f>_xlfn.XLOOKUP('Retail Sales'!A204,'Retail Sales'!A203:A802,[1]Sheet3!H203:H802)</f>
        <v>Young Adult</v>
      </c>
      <c r="G79" t="str">
        <f>_xlfn.XLOOKUP(A79,A78:A677,[1]Sheet3!J203:J802)</f>
        <v>Male</v>
      </c>
      <c r="H79" t="str">
        <f>_xlfn.XLOOKUP(A79,A78:A677,[1]Sheet3!K203:K802)</f>
        <v>East</v>
      </c>
      <c r="I79" t="str">
        <f>_xlfn.XLOOKUP(A79,A78:A677,[1]Sheet3!L203:L802)</f>
        <v>Patna</v>
      </c>
      <c r="J79" t="str">
        <f>_xlfn.XLOOKUP(A79,A78:A677,[1]Sheet3!M203:M802)</f>
        <v>Beauty</v>
      </c>
      <c r="K79" t="str">
        <f>_xlfn.XLOOKUP('Retail Sales'!A204,'Retail Sales'!A203:A802,[1]Sheet3!N203:N802)</f>
        <v>Lipstick</v>
      </c>
      <c r="L79" s="5">
        <f>_xlfn.XLOOKUP(A79,A78:A677,[1]Sheet3!P203:P802)</f>
        <v>1</v>
      </c>
      <c r="M79" s="7">
        <f>_xlfn.XLOOKUP(A79,A78:A677,[1]Sheet3!Q203:Q802)</f>
        <v>357.7</v>
      </c>
      <c r="N79" s="9">
        <f>_xlfn.XLOOKUP(A79,A78:A677,[1]Sheet3!S203:S802)</f>
        <v>0.24</v>
      </c>
      <c r="O79" s="7">
        <f>_xlfn.XLOOKUP(A79,A78:A677,[1]Sheet3!T203:T802)</f>
        <v>286.61</v>
      </c>
      <c r="P79" s="7">
        <f>_xlfn.XLOOKUP(A79,A78:A677,[1]Sheet3!U203:U802)</f>
        <v>137.44999999999999</v>
      </c>
      <c r="Q79" s="11">
        <f>_xlfn.XLOOKUP(A79,A78:A677,[1]Sheet3!V203:V802)</f>
        <v>0.47957154321203022</v>
      </c>
      <c r="R79" s="7">
        <f>_xlfn.XLOOKUP(A79,A78:A677,[1]Sheet3!W203:W802)</f>
        <v>95.23</v>
      </c>
      <c r="S79" t="str">
        <f>_xlfn.XLOOKUP(A79,A78:A677,[1]Sheet3!X203:X802)</f>
        <v>Credit Card</v>
      </c>
      <c r="T79" s="5">
        <f>_xlfn.XLOOKUP(A79,A78:A677,[1]Sheet3!Z203:Z802)</f>
        <v>3</v>
      </c>
      <c r="U79" t="b">
        <f>_xlfn.XLOOKUP(A79,A78:A677,[1]Sheet3!AA203:AA802)</f>
        <v>0</v>
      </c>
      <c r="V79" t="str">
        <f>_xlfn.XLOOKUP(A79,A78:A677,[1]Sheet3!AC203:AC802)</f>
        <v>Delivered</v>
      </c>
      <c r="W79" s="5">
        <f>_xlfn.XLOOKUP(A79,A78:A677,[1]Sheet3!AE203:AE802)</f>
        <v>1</v>
      </c>
    </row>
    <row r="80" spans="1:23" x14ac:dyDescent="0.35">
      <c r="A80" t="s">
        <v>458</v>
      </c>
      <c r="B80" s="1">
        <f>_xlfn.XLOOKUP(A80,A79:A678,[1]Sheet3!C141:C740)</f>
        <v>44069</v>
      </c>
      <c r="C80" t="str">
        <f>_xlfn.XLOOKUP(A80,A79:A678,[1]Sheet3!D141:D740)</f>
        <v>CUST59198</v>
      </c>
      <c r="D80" t="str">
        <f>_xlfn.XLOOKUP(A80,A79:A678,[1]Sheet3!E141:E740)</f>
        <v>Priya Das</v>
      </c>
      <c r="E80" s="5">
        <f>_xlfn.XLOOKUP(A80,A79:A678,[1]Sheet3!G141:G740)</f>
        <v>29</v>
      </c>
      <c r="F80" t="str">
        <f>_xlfn.XLOOKUP('Retail Sales'!A142,'Retail Sales'!A141:A740,[1]Sheet3!H141:H740)</f>
        <v>Young Adult</v>
      </c>
      <c r="G80" t="str">
        <f>_xlfn.XLOOKUP(A80,A79:A678,[1]Sheet3!J141:J740)</f>
        <v>Other</v>
      </c>
      <c r="H80" t="str">
        <f>_xlfn.XLOOKUP(A80,A79:A678,[1]Sheet3!K141:K740)</f>
        <v>East</v>
      </c>
      <c r="I80" t="str">
        <f>_xlfn.XLOOKUP(A80,A79:A678,[1]Sheet3!L141:L740)</f>
        <v>Patna</v>
      </c>
      <c r="J80" t="str">
        <f>_xlfn.XLOOKUP(A80,A79:A678,[1]Sheet3!M141:M740)</f>
        <v>Beauty</v>
      </c>
      <c r="K80" t="str">
        <f>_xlfn.XLOOKUP('Retail Sales'!A142,'Retail Sales'!A141:A740,[1]Sheet3!N141:N740)</f>
        <v>Face Cream</v>
      </c>
      <c r="L80" s="5">
        <f>_xlfn.XLOOKUP(A80,A79:A678,[1]Sheet3!P141:P740)</f>
        <v>7.0954861111111107</v>
      </c>
      <c r="M80" s="7">
        <f>_xlfn.XLOOKUP(A80,A79:A678,[1]Sheet3!Q141:Q740)</f>
        <v>1644.33</v>
      </c>
      <c r="N80" s="9">
        <f>_xlfn.XLOOKUP(A80,A79:A678,[1]Sheet3!S141:S740)</f>
        <v>0.31</v>
      </c>
      <c r="O80" s="7">
        <f>_xlfn.XLOOKUP(A80,A79:A678,[1]Sheet3!T141:T740)</f>
        <v>1186.6600000000001</v>
      </c>
      <c r="P80" s="7">
        <f>_xlfn.XLOOKUP(A80,A79:A678,[1]Sheet3!U141:U740)</f>
        <v>470.96</v>
      </c>
      <c r="Q80" s="11">
        <f>_xlfn.XLOOKUP(A80,A79:A678,[1]Sheet3!V141:V740)</f>
        <v>0.39687863414962998</v>
      </c>
      <c r="R80" s="7">
        <f>_xlfn.XLOOKUP(A80,A79:A678,[1]Sheet3!W141:W740)</f>
        <v>68.12</v>
      </c>
      <c r="S80" t="str">
        <f>_xlfn.XLOOKUP(A80,A79:A678,[1]Sheet3!X141:X740)</f>
        <v>Cash on Delivery</v>
      </c>
      <c r="T80" s="5">
        <f>_xlfn.XLOOKUP(A80,A79:A678,[1]Sheet3!Z141:Z740)</f>
        <v>5</v>
      </c>
      <c r="U80" t="b">
        <f>_xlfn.XLOOKUP(A80,A79:A678,[1]Sheet3!AA141:AA740)</f>
        <v>1</v>
      </c>
      <c r="V80" t="str">
        <f>_xlfn.XLOOKUP(A80,A79:A678,[1]Sheet3!AC141:AC740)</f>
        <v>Returned</v>
      </c>
      <c r="W80" s="5">
        <f>_xlfn.XLOOKUP(A80,A79:A678,[1]Sheet3!AE141:AE740)</f>
        <v>2</v>
      </c>
    </row>
    <row r="81" spans="1:23" x14ac:dyDescent="0.35">
      <c r="A81" t="s">
        <v>421</v>
      </c>
      <c r="B81" s="1">
        <f>_xlfn.XLOOKUP(A81,A80:A679,[1]Sheet3!C178:C777)</f>
        <v>44072</v>
      </c>
      <c r="C81" t="str">
        <f>_xlfn.XLOOKUP(A81,A80:A679,[1]Sheet3!D178:D777)</f>
        <v>CUST19508</v>
      </c>
      <c r="D81" t="str">
        <f>_xlfn.XLOOKUP(A81,A80:A679,[1]Sheet3!E178:E777)</f>
        <v>Arjun Rao</v>
      </c>
      <c r="E81" s="5">
        <f>_xlfn.XLOOKUP(A81,A80:A679,[1]Sheet3!G178:G777)</f>
        <v>28</v>
      </c>
      <c r="F81" t="str">
        <f>_xlfn.XLOOKUP('Retail Sales'!A179,'Retail Sales'!A178:A777,[1]Sheet3!H178:H777)</f>
        <v>Young Adult</v>
      </c>
      <c r="G81" t="str">
        <f>_xlfn.XLOOKUP(A81,A80:A679,[1]Sheet3!J178:J777)</f>
        <v>Male</v>
      </c>
      <c r="H81" t="str">
        <f>_xlfn.XLOOKUP(A81,A80:A679,[1]Sheet3!K178:K777)</f>
        <v>West</v>
      </c>
      <c r="I81" t="str">
        <f>_xlfn.XLOOKUP(A81,A80:A679,[1]Sheet3!L178:L777)</f>
        <v>Pune</v>
      </c>
      <c r="J81" t="str">
        <f>_xlfn.XLOOKUP(A81,A80:A679,[1]Sheet3!M178:M777)</f>
        <v>Electronics</v>
      </c>
      <c r="K81" t="str">
        <f>_xlfn.XLOOKUP('Retail Sales'!A179,'Retail Sales'!A178:A777,[1]Sheet3!N178:N777)</f>
        <v>Smartwatch</v>
      </c>
      <c r="L81" s="5">
        <f>_xlfn.XLOOKUP(A81,A80:A679,[1]Sheet3!P178:P777)</f>
        <v>7.0954861111111107</v>
      </c>
      <c r="M81" s="7">
        <f>_xlfn.XLOOKUP(A81,A80:A679,[1]Sheet3!Q178:Q777)</f>
        <v>9189.44</v>
      </c>
      <c r="N81" s="9">
        <f>_xlfn.XLOOKUP(A81,A80:A679,[1]Sheet3!S178:S777)</f>
        <v>0.19</v>
      </c>
      <c r="O81" s="7">
        <f>_xlfn.XLOOKUP(A81,A80:A679,[1]Sheet3!T178:T777)</f>
        <v>8306.2900000000009</v>
      </c>
      <c r="P81" s="7">
        <f>_xlfn.XLOOKUP(A81,A80:A679,[1]Sheet3!U178:U777)</f>
        <v>916.95</v>
      </c>
      <c r="Q81" s="11">
        <f>_xlfn.XLOOKUP(A81,A80:A679,[1]Sheet3!V178:V777)</f>
        <v>0.11039224491319229</v>
      </c>
      <c r="R81" s="7">
        <f>_xlfn.XLOOKUP(A81,A80:A679,[1]Sheet3!W178:W777)</f>
        <v>59.91</v>
      </c>
      <c r="S81" t="str">
        <f>_xlfn.XLOOKUP(A81,A80:A679,[1]Sheet3!X178:X777)</f>
        <v>Debit Card</v>
      </c>
      <c r="T81" s="5">
        <f>_xlfn.XLOOKUP(A81,A80:A679,[1]Sheet3!Z178:Z777)</f>
        <v>4</v>
      </c>
      <c r="U81" t="b">
        <f>_xlfn.XLOOKUP(A81,A80:A679,[1]Sheet3!AA178:AA777)</f>
        <v>0</v>
      </c>
      <c r="V81" t="str">
        <f>_xlfn.XLOOKUP(A81,A80:A679,[1]Sheet3!AC178:AC777)</f>
        <v>Delivered</v>
      </c>
      <c r="W81" s="5">
        <f>_xlfn.XLOOKUP(A81,A80:A679,[1]Sheet3!AE178:AE777)</f>
        <v>5</v>
      </c>
    </row>
    <row r="82" spans="1:23" x14ac:dyDescent="0.35">
      <c r="A82" t="s">
        <v>271</v>
      </c>
      <c r="B82" s="1">
        <f>_xlfn.XLOOKUP(A82,A81:A680,[1]Sheet3!C328:C927)</f>
        <v>44079</v>
      </c>
      <c r="C82" t="str">
        <f>_xlfn.XLOOKUP(A82,A81:A680,[1]Sheet3!D328:D927)</f>
        <v>CUST34558</v>
      </c>
      <c r="D82" t="str">
        <f>_xlfn.XLOOKUP(A82,A81:A680,[1]Sheet3!E328:E927)</f>
        <v>Amit Bhat</v>
      </c>
      <c r="E82" s="5">
        <f>_xlfn.XLOOKUP(A82,A81:A680,[1]Sheet3!G328:G927)</f>
        <v>46</v>
      </c>
      <c r="F82" t="str">
        <f>_xlfn.XLOOKUP('Retail Sales'!A329,'Retail Sales'!A328:A927,[1]Sheet3!H328:H927)</f>
        <v>Adult</v>
      </c>
      <c r="G82" t="str">
        <f>_xlfn.XLOOKUP(A82,A81:A680,[1]Sheet3!J328:J927)</f>
        <v>Other</v>
      </c>
      <c r="H82" t="str">
        <f>_xlfn.XLOOKUP(A82,A81:A680,[1]Sheet3!K328:K927)</f>
        <v>West</v>
      </c>
      <c r="I82" t="str">
        <f>_xlfn.XLOOKUP(A82,A81:A680,[1]Sheet3!L328:L927)</f>
        <v>Mumbai</v>
      </c>
      <c r="J82" t="str">
        <f>_xlfn.XLOOKUP(A82,A81:A680,[1]Sheet3!M328:M927)</f>
        <v>Clothing</v>
      </c>
      <c r="K82" t="str">
        <f>_xlfn.XLOOKUP('Retail Sales'!A329,'Retail Sales'!A328:A927,[1]Sheet3!N328:N927)</f>
        <v>Jeans</v>
      </c>
      <c r="L82" s="5">
        <f>_xlfn.XLOOKUP(A82,A81:A680,[1]Sheet3!P328:P927)</f>
        <v>8</v>
      </c>
      <c r="M82" s="7">
        <f>_xlfn.XLOOKUP(A82,A81:A680,[1]Sheet3!Q328:Q927)</f>
        <v>2151.16</v>
      </c>
      <c r="N82" s="9">
        <f>_xlfn.XLOOKUP(A82,A81:A680,[1]Sheet3!S328:S927)</f>
        <v>0.12</v>
      </c>
      <c r="O82" s="7">
        <f>_xlfn.XLOOKUP(A82,A81:A680,[1]Sheet3!T328:T927)</f>
        <v>15432.22</v>
      </c>
      <c r="P82" s="7">
        <f>_xlfn.XLOOKUP(A82,A81:A680,[1]Sheet3!U328:U927)</f>
        <v>4651.88</v>
      </c>
      <c r="Q82" s="11">
        <f>_xlfn.XLOOKUP(A82,A81:A680,[1]Sheet3!V328:V927)</f>
        <v>0.30143945589163451</v>
      </c>
      <c r="R82" s="7">
        <f>_xlfn.XLOOKUP(A82,A81:A680,[1]Sheet3!W328:W927)</f>
        <v>67.349999999999994</v>
      </c>
      <c r="S82" t="str">
        <f>_xlfn.XLOOKUP(A82,A81:A680,[1]Sheet3!X328:X927)</f>
        <v>Cash on Delivery</v>
      </c>
      <c r="T82" s="5">
        <f>_xlfn.XLOOKUP(A82,A81:A680,[1]Sheet3!Z328:Z927)</f>
        <v>4</v>
      </c>
      <c r="U82" t="b">
        <f>_xlfn.XLOOKUP(A82,A81:A680,[1]Sheet3!AA328:AA927)</f>
        <v>1</v>
      </c>
      <c r="V82" t="str">
        <f>_xlfn.XLOOKUP(A82,A81:A680,[1]Sheet3!AC328:AC927)</f>
        <v>Returned</v>
      </c>
      <c r="W82" s="5">
        <f>_xlfn.XLOOKUP(A82,A81:A680,[1]Sheet3!AE328:AE927)</f>
        <v>4</v>
      </c>
    </row>
    <row r="83" spans="1:23" x14ac:dyDescent="0.35">
      <c r="A83" t="s">
        <v>206</v>
      </c>
      <c r="B83" s="1">
        <f>_xlfn.XLOOKUP(A83,A82:A681,[1]Sheet3!C393:C992)</f>
        <v>44081</v>
      </c>
      <c r="C83" t="str">
        <f>_xlfn.XLOOKUP(A83,A82:A681,[1]Sheet3!D393:D992)</f>
        <v>CUST44323</v>
      </c>
      <c r="D83" t="str">
        <f>_xlfn.XLOOKUP(A83,A82:A681,[1]Sheet3!E393:E992)</f>
        <v>Ritu Bose</v>
      </c>
      <c r="E83" s="5">
        <f>_xlfn.XLOOKUP(A83,A82:A681,[1]Sheet3!G393:G992)</f>
        <v>33</v>
      </c>
      <c r="F83" t="str">
        <f>_xlfn.XLOOKUP('Retail Sales'!A394,'Retail Sales'!A393:A992,[1]Sheet3!H393:H992)</f>
        <v>Young Adult</v>
      </c>
      <c r="G83" t="str">
        <f>_xlfn.XLOOKUP(A83,A82:A681,[1]Sheet3!J393:J992)</f>
        <v>Female</v>
      </c>
      <c r="H83" t="str">
        <f>_xlfn.XLOOKUP(A83,A82:A681,[1]Sheet3!K393:K992)</f>
        <v>South</v>
      </c>
      <c r="I83" t="str">
        <f>_xlfn.XLOOKUP(A83,A82:A681,[1]Sheet3!L393:L992)</f>
        <v>Bangalore</v>
      </c>
      <c r="J83" t="str">
        <f>_xlfn.XLOOKUP(A83,A82:A681,[1]Sheet3!M393:M992)</f>
        <v>Books</v>
      </c>
      <c r="K83" t="str">
        <f>_xlfn.XLOOKUP('Retail Sales'!A394,'Retail Sales'!A393:A992,[1]Sheet3!N393:N992)</f>
        <v>Cook Book</v>
      </c>
      <c r="L83" s="5">
        <f>_xlfn.XLOOKUP(A83,A82:A681,[1]Sheet3!P393:P992)</f>
        <v>6</v>
      </c>
      <c r="M83" s="7">
        <f>_xlfn.XLOOKUP(A83,A82:A681,[1]Sheet3!Q393:Q992)</f>
        <v>1105.96</v>
      </c>
      <c r="N83" s="9">
        <f>_xlfn.XLOOKUP(A83,A82:A681,[1]Sheet3!S393:S992)</f>
        <v>0.28999999999999998</v>
      </c>
      <c r="O83" s="7">
        <f>_xlfn.XLOOKUP(A83,A82:A681,[1]Sheet3!T393:T992)</f>
        <v>5241.79</v>
      </c>
      <c r="P83" s="7">
        <f>_xlfn.XLOOKUP(A83,A82:A681,[1]Sheet3!U393:U992)</f>
        <v>1716.01</v>
      </c>
      <c r="Q83" s="11">
        <f>_xlfn.XLOOKUP(A83,A82:A681,[1]Sheet3!V393:V992)</f>
        <v>0.32737099349649645</v>
      </c>
      <c r="R83" s="7">
        <f>_xlfn.XLOOKUP(A83,A82:A681,[1]Sheet3!W393:W992)</f>
        <v>67.650000000000006</v>
      </c>
      <c r="S83" t="str">
        <f>_xlfn.XLOOKUP(A83,A82:A681,[1]Sheet3!X393:X992)</f>
        <v>Debit Card</v>
      </c>
      <c r="T83" s="5">
        <f>_xlfn.XLOOKUP(A83,A82:A681,[1]Sheet3!Z393:Z992)</f>
        <v>3</v>
      </c>
      <c r="U83" t="b">
        <f>_xlfn.XLOOKUP(A83,A82:A681,[1]Sheet3!AA393:AA992)</f>
        <v>1</v>
      </c>
      <c r="V83" t="str">
        <f>_xlfn.XLOOKUP(A83,A82:A681,[1]Sheet3!AC393:AC992)</f>
        <v>Returned</v>
      </c>
      <c r="W83" s="5">
        <f>_xlfn.XLOOKUP(A83,A82:A681,[1]Sheet3!AE393:AE992)</f>
        <v>5</v>
      </c>
    </row>
    <row r="84" spans="1:23" x14ac:dyDescent="0.35">
      <c r="A84" t="s">
        <v>161</v>
      </c>
      <c r="B84" s="1">
        <f>_xlfn.XLOOKUP(A84,A83:A682,[1]Sheet3!C438:C1037)</f>
        <v>44083</v>
      </c>
      <c r="C84" t="str">
        <f>_xlfn.XLOOKUP(A84,A83:A682,[1]Sheet3!D438:D1037)</f>
        <v>CUST67628</v>
      </c>
      <c r="D84" t="str">
        <f>_xlfn.XLOOKUP(A84,A83:A682,[1]Sheet3!E438:E1037)</f>
        <v>Meera Chatterjee</v>
      </c>
      <c r="E84" s="5">
        <f>_xlfn.XLOOKUP(A84,A83:A682,[1]Sheet3!G438:G1037)</f>
        <v>25</v>
      </c>
      <c r="F84" t="str">
        <f>_xlfn.XLOOKUP('Retail Sales'!A439,'Retail Sales'!A438:A1037,[1]Sheet3!H438:H1037)</f>
        <v>Young Adult</v>
      </c>
      <c r="G84" t="str">
        <f>_xlfn.XLOOKUP(A84,A83:A682,[1]Sheet3!J438:J1037)</f>
        <v>Other</v>
      </c>
      <c r="H84" t="str">
        <f>_xlfn.XLOOKUP(A84,A83:A682,[1]Sheet3!K438:K1037)</f>
        <v>North</v>
      </c>
      <c r="I84" t="str">
        <f>_xlfn.XLOOKUP(A84,A83:A682,[1]Sheet3!L438:L1037)</f>
        <v>Amritsar</v>
      </c>
      <c r="J84" t="str">
        <f>_xlfn.XLOOKUP(A84,A83:A682,[1]Sheet3!M438:M1037)</f>
        <v>Sports</v>
      </c>
      <c r="K84" t="str">
        <f>_xlfn.XLOOKUP('Retail Sales'!A439,'Retail Sales'!A438:A1037,[1]Sheet3!N438:N1037)</f>
        <v>Dumbbells</v>
      </c>
      <c r="L84" s="5">
        <f>_xlfn.XLOOKUP(A84,A83:A682,[1]Sheet3!P438:P1037)</f>
        <v>7.0954861111111107</v>
      </c>
      <c r="M84" s="7">
        <f>_xlfn.XLOOKUP(A84,A83:A682,[1]Sheet3!Q438:Q1037)</f>
        <v>603.71</v>
      </c>
      <c r="N84" s="9">
        <f>_xlfn.XLOOKUP(A84,A83:A682,[1]Sheet3!S438:S1037)</f>
        <v>0.39</v>
      </c>
      <c r="O84" s="7">
        <f>_xlfn.XLOOKUP(A84,A83:A682,[1]Sheet3!T438:T1037)</f>
        <v>373.9</v>
      </c>
      <c r="P84" s="7">
        <f>_xlfn.XLOOKUP(A84,A83:A682,[1]Sheet3!U438:U1037)</f>
        <v>76.010000000000005</v>
      </c>
      <c r="Q84" s="11">
        <f>_xlfn.XLOOKUP(A84,A83:A682,[1]Sheet3!V438:V1037)</f>
        <v>0.20328964963894092</v>
      </c>
      <c r="R84" s="7">
        <f>_xlfn.XLOOKUP(A84,A83:A682,[1]Sheet3!W438:W1037)</f>
        <v>68.010000000000005</v>
      </c>
      <c r="S84" t="str">
        <f>_xlfn.XLOOKUP(A84,A83:A682,[1]Sheet3!X438:X1037)</f>
        <v>Net Banking</v>
      </c>
      <c r="T84" s="5">
        <f>_xlfn.XLOOKUP(A84,A83:A682,[1]Sheet3!Z438:Z1037)</f>
        <v>3</v>
      </c>
      <c r="U84" t="b">
        <f>_xlfn.XLOOKUP(A84,A83:A682,[1]Sheet3!AA438:AA1037)</f>
        <v>0</v>
      </c>
      <c r="V84" t="str">
        <f>_xlfn.XLOOKUP(A84,A83:A682,[1]Sheet3!AC438:AC1037)</f>
        <v>Shipped</v>
      </c>
      <c r="W84" s="5">
        <f>_xlfn.XLOOKUP(A84,A83:A682,[1]Sheet3!AE438:AE1037)</f>
        <v>9</v>
      </c>
    </row>
    <row r="85" spans="1:23" x14ac:dyDescent="0.35">
      <c r="A85" t="s">
        <v>60</v>
      </c>
      <c r="B85" s="1">
        <f>_xlfn.XLOOKUP(A85,A84:A683,[1]Sheet3!C539:C1138)</f>
        <v>44084</v>
      </c>
      <c r="C85" t="str">
        <f>_xlfn.XLOOKUP(A85,A84:A683,[1]Sheet3!D539:D1138)</f>
        <v>CUST29775</v>
      </c>
      <c r="D85" t="str">
        <f>_xlfn.XLOOKUP(A85,A84:A683,[1]Sheet3!E539:E1138)</f>
        <v>Deepa Sharma</v>
      </c>
      <c r="E85" s="5">
        <f>_xlfn.XLOOKUP(A85,A84:A683,[1]Sheet3!G539:G1138)</f>
        <v>16</v>
      </c>
      <c r="F85" t="str">
        <f>_xlfn.XLOOKUP('Retail Sales'!A540,'Retail Sales'!A539:A1138,[1]Sheet3!H539:H1138)</f>
        <v>Teen</v>
      </c>
      <c r="G85" t="str">
        <f>_xlfn.XLOOKUP(A85,A84:A683,[1]Sheet3!J539:J1138)</f>
        <v>Other</v>
      </c>
      <c r="H85" t="str">
        <f>_xlfn.XLOOKUP(A85,A84:A683,[1]Sheet3!K539:K1138)</f>
        <v>Central</v>
      </c>
      <c r="I85" t="str">
        <f>_xlfn.XLOOKUP(A85,A84:A683,[1]Sheet3!L539:L1138)</f>
        <v>Raipur</v>
      </c>
      <c r="J85" t="str">
        <f>_xlfn.XLOOKUP(A85,A84:A683,[1]Sheet3!M539:M1138)</f>
        <v>Books</v>
      </c>
      <c r="K85" t="str">
        <f>_xlfn.XLOOKUP('Retail Sales'!A540,'Retail Sales'!A539:A1138,[1]Sheet3!N539:N1138)</f>
        <v>Biography</v>
      </c>
      <c r="L85" s="5">
        <f>_xlfn.XLOOKUP(A85,A84:A683,[1]Sheet3!P539:P1138)</f>
        <v>1</v>
      </c>
      <c r="M85" s="7">
        <f>_xlfn.XLOOKUP(A85,A84:A683,[1]Sheet3!Q539:Q1138)</f>
        <v>565.12</v>
      </c>
      <c r="N85" s="9">
        <f>_xlfn.XLOOKUP(A85,A84:A683,[1]Sheet3!S539:S1138)</f>
        <v>0.08</v>
      </c>
      <c r="O85" s="7">
        <f>_xlfn.XLOOKUP(A85,A84:A683,[1]Sheet3!T539:T1138)</f>
        <v>539.57000000000005</v>
      </c>
      <c r="P85" s="7">
        <f>_xlfn.XLOOKUP(A85,A84:A683,[1]Sheet3!U539:U1138)</f>
        <v>249.41</v>
      </c>
      <c r="Q85" s="11">
        <f>_xlfn.XLOOKUP(A85,A84:A683,[1]Sheet3!V539:V1138)</f>
        <v>0.46223844913542261</v>
      </c>
      <c r="R85" s="7">
        <f>_xlfn.XLOOKUP(A85,A84:A683,[1]Sheet3!W539:W1138)</f>
        <v>49.52</v>
      </c>
      <c r="S85" t="str">
        <f>_xlfn.XLOOKUP(A85,A84:A683,[1]Sheet3!X539:X1138)</f>
        <v>UPI</v>
      </c>
      <c r="T85" s="5">
        <f>_xlfn.XLOOKUP(A85,A84:A683,[1]Sheet3!Z539:Z1138)</f>
        <v>4</v>
      </c>
      <c r="U85" t="b">
        <f>_xlfn.XLOOKUP(A85,A84:A683,[1]Sheet3!AA539:AA1138)</f>
        <v>0</v>
      </c>
      <c r="V85" t="str">
        <f>_xlfn.XLOOKUP(A85,A84:A683,[1]Sheet3!AC539:AC1138)</f>
        <v>Delivered</v>
      </c>
      <c r="W85" s="5">
        <f>_xlfn.XLOOKUP(A85,A84:A683,[1]Sheet3!AE539:AE1138)</f>
        <v>4</v>
      </c>
    </row>
    <row r="86" spans="1:23" x14ac:dyDescent="0.35">
      <c r="A86" t="s">
        <v>229</v>
      </c>
      <c r="B86" s="1">
        <f>_xlfn.XLOOKUP(A86,A85:A684,[1]Sheet3!C370:C969)</f>
        <v>44088</v>
      </c>
      <c r="C86" t="str">
        <f>_xlfn.XLOOKUP(A86,A85:A684,[1]Sheet3!D370:D969)</f>
        <v>CUST39101</v>
      </c>
      <c r="D86" t="str">
        <f>_xlfn.XLOOKUP(A86,A85:A684,[1]Sheet3!E370:E969)</f>
        <v>Sunita Mehta</v>
      </c>
      <c r="E86" s="5">
        <f>_xlfn.XLOOKUP(A86,A85:A684,[1]Sheet3!G370:G969)</f>
        <v>32</v>
      </c>
      <c r="F86" t="str">
        <f>_xlfn.XLOOKUP('Retail Sales'!A371,'Retail Sales'!A370:A969,[1]Sheet3!H370:H969)</f>
        <v>Young Adult</v>
      </c>
      <c r="G86" t="str">
        <f>_xlfn.XLOOKUP(A86,A85:A684,[1]Sheet3!J370:J969)</f>
        <v>Other</v>
      </c>
      <c r="H86" t="str">
        <f>_xlfn.XLOOKUP(A86,A85:A684,[1]Sheet3!K370:K969)</f>
        <v>East</v>
      </c>
      <c r="I86" t="str">
        <f>_xlfn.XLOOKUP(A86,A85:A684,[1]Sheet3!L370:L969)</f>
        <v>Guwahati</v>
      </c>
      <c r="J86" t="str">
        <f>_xlfn.XLOOKUP(A86,A85:A684,[1]Sheet3!M370:M969)</f>
        <v>Furniture</v>
      </c>
      <c r="K86" t="str">
        <f>_xlfn.XLOOKUP('Retail Sales'!A371,'Retail Sales'!A370:A969,[1]Sheet3!N370:N969)</f>
        <v>Bookshelf</v>
      </c>
      <c r="L86" s="5">
        <f>_xlfn.XLOOKUP(A86,A85:A684,[1]Sheet3!P370:P969)</f>
        <v>7</v>
      </c>
      <c r="M86" s="7">
        <f>_xlfn.XLOOKUP(A86,A85:A684,[1]Sheet3!Q370:Q969)</f>
        <v>5932.53</v>
      </c>
      <c r="N86" s="9">
        <f>_xlfn.XLOOKUP(A86,A85:A684,[1]Sheet3!S370:S969)</f>
        <v>0.39</v>
      </c>
      <c r="O86" s="7">
        <f>_xlfn.XLOOKUP(A86,A85:A684,[1]Sheet3!T370:T969)</f>
        <v>23093.119999999999</v>
      </c>
      <c r="P86" s="7">
        <f>_xlfn.XLOOKUP(A86,A85:A684,[1]Sheet3!U370:U969)</f>
        <v>8164.97</v>
      </c>
      <c r="Q86" s="11">
        <f>_xlfn.XLOOKUP(A86,A85:A684,[1]Sheet3!V370:V969)</f>
        <v>0.35356720962780258</v>
      </c>
      <c r="R86" s="7">
        <f>_xlfn.XLOOKUP(A86,A85:A684,[1]Sheet3!W370:W969)</f>
        <v>84.41</v>
      </c>
      <c r="S86" t="str">
        <f>_xlfn.XLOOKUP(A86,A85:A684,[1]Sheet3!X370:X969)</f>
        <v>UPI</v>
      </c>
      <c r="T86" s="5">
        <f>_xlfn.XLOOKUP(A86,A85:A684,[1]Sheet3!Z370:Z969)</f>
        <v>3</v>
      </c>
      <c r="U86" t="b">
        <f>_xlfn.XLOOKUP(A86,A85:A684,[1]Sheet3!AA370:AA969)</f>
        <v>0</v>
      </c>
      <c r="V86" t="str">
        <f>_xlfn.XLOOKUP(A86,A85:A684,[1]Sheet3!AC370:AC969)</f>
        <v>Delivered</v>
      </c>
      <c r="W86" s="5">
        <f>_xlfn.XLOOKUP(A86,A85:A684,[1]Sheet3!AE370:AE969)</f>
        <v>1</v>
      </c>
    </row>
    <row r="87" spans="1:23" x14ac:dyDescent="0.35">
      <c r="A87" t="s">
        <v>61</v>
      </c>
      <c r="B87" s="1">
        <f>_xlfn.XLOOKUP(A87,A86:A685,[1]Sheet3!C538:C1137)</f>
        <v>44091</v>
      </c>
      <c r="C87" t="str">
        <f>_xlfn.XLOOKUP(A87,A86:A685,[1]Sheet3!D538:D1137)</f>
        <v>CUST42583</v>
      </c>
      <c r="D87" t="str">
        <f>_xlfn.XLOOKUP(A87,A86:A685,[1]Sheet3!E538:E1137)</f>
        <v>Nisha Rao</v>
      </c>
      <c r="E87" s="5">
        <f>_xlfn.XLOOKUP(A87,A86:A685,[1]Sheet3!G538:G1137)</f>
        <v>31</v>
      </c>
      <c r="F87" t="str">
        <f>_xlfn.XLOOKUP('Retail Sales'!A539,'Retail Sales'!A538:A1137,[1]Sheet3!H538:H1137)</f>
        <v>Young Adult</v>
      </c>
      <c r="G87" t="str">
        <f>_xlfn.XLOOKUP(A87,A86:A685,[1]Sheet3!J538:J1137)</f>
        <v>Other</v>
      </c>
      <c r="H87" t="str">
        <f>_xlfn.XLOOKUP(A87,A86:A685,[1]Sheet3!K538:K1137)</f>
        <v>South</v>
      </c>
      <c r="I87" t="str">
        <f>_xlfn.XLOOKUP(A87,A86:A685,[1]Sheet3!L538:L1137)</f>
        <v>Bangalore</v>
      </c>
      <c r="J87" t="str">
        <f>_xlfn.XLOOKUP(A87,A86:A685,[1]Sheet3!M538:M1137)</f>
        <v>Books</v>
      </c>
      <c r="K87" t="str">
        <f>_xlfn.XLOOKUP('Retail Sales'!A539,'Retail Sales'!A538:A1137,[1]Sheet3!N538:N1137)</f>
        <v>Cook Book</v>
      </c>
      <c r="L87" s="5">
        <f>_xlfn.XLOOKUP(A87,A86:A685,[1]Sheet3!P538:P1137)</f>
        <v>1</v>
      </c>
      <c r="M87" s="7">
        <f>_xlfn.XLOOKUP(A87,A86:A685,[1]Sheet3!Q538:Q1137)</f>
        <v>587.49</v>
      </c>
      <c r="N87" s="9">
        <f>_xlfn.XLOOKUP(A87,A86:A685,[1]Sheet3!S538:S1137)</f>
        <v>0.09</v>
      </c>
      <c r="O87" s="7">
        <f>_xlfn.XLOOKUP(A87,A86:A685,[1]Sheet3!T538:T1137)</f>
        <v>560.42999999999995</v>
      </c>
      <c r="P87" s="7">
        <f>_xlfn.XLOOKUP(A87,A86:A685,[1]Sheet3!U538:U1137)</f>
        <v>178.2</v>
      </c>
      <c r="Q87" s="11">
        <f>_xlfn.XLOOKUP(A87,A86:A685,[1]Sheet3!V538:V1137)</f>
        <v>0.31797013007868957</v>
      </c>
      <c r="R87" s="7">
        <f>_xlfn.XLOOKUP(A87,A86:A685,[1]Sheet3!W538:W1137)</f>
        <v>82.7</v>
      </c>
      <c r="S87" t="str">
        <f>_xlfn.XLOOKUP(A87,A86:A685,[1]Sheet3!X538:X1137)</f>
        <v>Debit Card</v>
      </c>
      <c r="T87" s="5">
        <f>_xlfn.XLOOKUP(A87,A86:A685,[1]Sheet3!Z538:Z1137)</f>
        <v>3</v>
      </c>
      <c r="U87" t="b">
        <f>_xlfn.XLOOKUP(A87,A86:A685,[1]Sheet3!AA538:AA1137)</f>
        <v>0</v>
      </c>
      <c r="V87" t="str">
        <f>_xlfn.XLOOKUP(A87,A86:A685,[1]Sheet3!AC538:AC1137)</f>
        <v>Delivered</v>
      </c>
      <c r="W87" s="5">
        <f>_xlfn.XLOOKUP(A87,A86:A685,[1]Sheet3!AE538:AE1137)</f>
        <v>6</v>
      </c>
    </row>
    <row r="88" spans="1:23" x14ac:dyDescent="0.35">
      <c r="A88" t="s">
        <v>439</v>
      </c>
      <c r="B88" s="1">
        <f>_xlfn.XLOOKUP(A88,A87:A686,[1]Sheet3!C160:C759)</f>
        <v>44095</v>
      </c>
      <c r="C88" t="str">
        <f>_xlfn.XLOOKUP(A88,A87:A686,[1]Sheet3!D160:D759)</f>
        <v>CUST49777</v>
      </c>
      <c r="D88" t="str">
        <f>_xlfn.XLOOKUP(A88,A87:A686,[1]Sheet3!E160:E759)</f>
        <v>Pooja Shah</v>
      </c>
      <c r="E88" s="5">
        <f>_xlfn.XLOOKUP(A88,A87:A686,[1]Sheet3!G160:G759)</f>
        <v>33</v>
      </c>
      <c r="F88" t="str">
        <f>_xlfn.XLOOKUP('Retail Sales'!A161,'Retail Sales'!A160:A759,[1]Sheet3!H160:H759)</f>
        <v>Young Adult</v>
      </c>
      <c r="G88" t="str">
        <f>_xlfn.XLOOKUP(A88,A87:A686,[1]Sheet3!J160:J759)</f>
        <v>Female</v>
      </c>
      <c r="H88" t="str">
        <f>_xlfn.XLOOKUP(A88,A87:A686,[1]Sheet3!K160:K759)</f>
        <v>South</v>
      </c>
      <c r="I88" t="str">
        <f>_xlfn.XLOOKUP(A88,A87:A686,[1]Sheet3!L160:L759)</f>
        <v>Hyderabad</v>
      </c>
      <c r="J88" t="str">
        <f>_xlfn.XLOOKUP(A88,A87:A686,[1]Sheet3!M160:M759)</f>
        <v>Groceries</v>
      </c>
      <c r="K88" t="str">
        <f>_xlfn.XLOOKUP('Retail Sales'!A161,'Retail Sales'!A160:A759,[1]Sheet3!N160:N759)</f>
        <v>Tea</v>
      </c>
      <c r="L88" s="5">
        <f>_xlfn.XLOOKUP(A88,A87:A686,[1]Sheet3!P160:P759)</f>
        <v>1</v>
      </c>
      <c r="M88" s="7">
        <f>_xlfn.XLOOKUP(A88,A87:A686,[1]Sheet3!Q160:Q759)</f>
        <v>389.24</v>
      </c>
      <c r="N88" s="9">
        <f>_xlfn.XLOOKUP(A88,A87:A686,[1]Sheet3!S160:S759)</f>
        <v>0.23</v>
      </c>
      <c r="O88" s="7">
        <f>_xlfn.XLOOKUP(A88,A87:A686,[1]Sheet3!T160:T759)</f>
        <v>313.86</v>
      </c>
      <c r="P88" s="7">
        <f>_xlfn.XLOOKUP(A88,A87:A686,[1]Sheet3!U160:U759)</f>
        <v>22.71</v>
      </c>
      <c r="Q88" s="11">
        <f>_xlfn.XLOOKUP(A88,A87:A686,[1]Sheet3!V160:V759)</f>
        <v>7.2357101892563558E-2</v>
      </c>
      <c r="R88" s="7">
        <f>_xlfn.XLOOKUP(A88,A87:A686,[1]Sheet3!W160:W759)</f>
        <v>66.8</v>
      </c>
      <c r="S88" t="str">
        <f>_xlfn.XLOOKUP(A88,A87:A686,[1]Sheet3!X160:X759)</f>
        <v>Net Banking</v>
      </c>
      <c r="T88" s="5">
        <f>_xlfn.XLOOKUP(A88,A87:A686,[1]Sheet3!Z160:Z759)</f>
        <v>5</v>
      </c>
      <c r="U88" t="b">
        <f>_xlfn.XLOOKUP(A88,A87:A686,[1]Sheet3!AA160:AA759)</f>
        <v>0</v>
      </c>
      <c r="V88" t="str">
        <f>_xlfn.XLOOKUP(A88,A87:A686,[1]Sheet3!AC160:AC759)</f>
        <v>Delivered</v>
      </c>
      <c r="W88" s="5">
        <f>_xlfn.XLOOKUP(A88,A87:A686,[1]Sheet3!AE160:AE759)</f>
        <v>10</v>
      </c>
    </row>
    <row r="89" spans="1:23" x14ac:dyDescent="0.35">
      <c r="A89" t="s">
        <v>512</v>
      </c>
      <c r="B89" s="1">
        <f>_xlfn.XLOOKUP(A89,A88:A687,[1]Sheet3!C87:C686)</f>
        <v>44096</v>
      </c>
      <c r="C89" t="str">
        <f>_xlfn.XLOOKUP(A89,A88:A687,[1]Sheet3!D87:D686)</f>
        <v>CUST21963</v>
      </c>
      <c r="D89" t="str">
        <f>_xlfn.XLOOKUP(A89,A88:A687,[1]Sheet3!E87:E686)</f>
        <v>Priya Bhat</v>
      </c>
      <c r="E89" s="5">
        <f>_xlfn.XLOOKUP(A89,A88:A687,[1]Sheet3!G87:G686)</f>
        <v>38</v>
      </c>
      <c r="F89" t="str">
        <f>_xlfn.XLOOKUP('Retail Sales'!A88,'Retail Sales'!A87:A686,[1]Sheet3!H87:H686)</f>
        <v>Adult</v>
      </c>
      <c r="G89" t="str">
        <f>_xlfn.XLOOKUP(A89,A88:A687,[1]Sheet3!J87:J686)</f>
        <v>Other</v>
      </c>
      <c r="H89" t="str">
        <f>_xlfn.XLOOKUP(A89,A88:A687,[1]Sheet3!K87:K686)</f>
        <v>Central</v>
      </c>
      <c r="I89" t="str">
        <f>_xlfn.XLOOKUP(A89,A88:A687,[1]Sheet3!L87:L686)</f>
        <v>Bhopal</v>
      </c>
      <c r="J89" t="str">
        <f>_xlfn.XLOOKUP(A89,A88:A687,[1]Sheet3!M87:M686)</f>
        <v>Furniture</v>
      </c>
      <c r="K89" t="str">
        <f>_xlfn.XLOOKUP('Retail Sales'!A88,'Retail Sales'!A87:A686,[1]Sheet3!N87:N686)</f>
        <v>Wardrobe</v>
      </c>
      <c r="L89" s="5">
        <f>_xlfn.XLOOKUP(A89,A88:A687,[1]Sheet3!P87:P686)</f>
        <v>8</v>
      </c>
      <c r="M89" s="7">
        <f>_xlfn.XLOOKUP(A89,A88:A687,[1]Sheet3!Q87:Q686)</f>
        <v>30292.85</v>
      </c>
      <c r="N89" s="9">
        <f>_xlfn.XLOOKUP(A89,A88:A687,[1]Sheet3!S87:S686)</f>
        <v>0.28999999999999998</v>
      </c>
      <c r="O89" s="7">
        <f>_xlfn.XLOOKUP(A89,A88:A687,[1]Sheet3!T87:T686)</f>
        <v>173004.24</v>
      </c>
      <c r="P89" s="7">
        <f>_xlfn.XLOOKUP(A89,A88:A687,[1]Sheet3!U87:U686)</f>
        <v>45465.04</v>
      </c>
      <c r="Q89" s="11">
        <f>_xlfn.XLOOKUP(A89,A88:A687,[1]Sheet3!V87:V686)</f>
        <v>0.26279725861054043</v>
      </c>
      <c r="R89" s="7">
        <f>_xlfn.XLOOKUP(A89,A88:A687,[1]Sheet3!W87:W686)</f>
        <v>51.64</v>
      </c>
      <c r="S89" t="str">
        <f>_xlfn.XLOOKUP(A89,A88:A687,[1]Sheet3!X87:X686)</f>
        <v>EMI</v>
      </c>
      <c r="T89" s="5">
        <f>_xlfn.XLOOKUP(A89,A88:A687,[1]Sheet3!Z87:Z686)</f>
        <v>3</v>
      </c>
      <c r="U89" t="b">
        <f>_xlfn.XLOOKUP(A89,A88:A687,[1]Sheet3!AA87:AA686)</f>
        <v>0</v>
      </c>
      <c r="V89" t="str">
        <f>_xlfn.XLOOKUP(A89,A88:A687,[1]Sheet3!AC87:AC686)</f>
        <v>Delivered</v>
      </c>
      <c r="W89" s="5">
        <f>_xlfn.XLOOKUP(A89,A88:A687,[1]Sheet3!AE87:AE686)</f>
        <v>5</v>
      </c>
    </row>
    <row r="90" spans="1:23" x14ac:dyDescent="0.35">
      <c r="A90" t="s">
        <v>222</v>
      </c>
      <c r="B90" s="1">
        <f>_xlfn.XLOOKUP(A90,A89:A688,[1]Sheet3!C377:C976)</f>
        <v>44098</v>
      </c>
      <c r="C90" t="str">
        <f>_xlfn.XLOOKUP(A90,A89:A688,[1]Sheet3!D377:D976)</f>
        <v>CUST03651</v>
      </c>
      <c r="D90" t="str">
        <f>_xlfn.XLOOKUP(A90,A89:A688,[1]Sheet3!E377:E976)</f>
        <v>Arjun Patel</v>
      </c>
      <c r="E90" s="5">
        <f>_xlfn.XLOOKUP(A90,A89:A688,[1]Sheet3!G377:G976)</f>
        <v>55</v>
      </c>
      <c r="F90" t="str">
        <f>_xlfn.XLOOKUP('Retail Sales'!A378,'Retail Sales'!A377:A976,[1]Sheet3!H377:H976)</f>
        <v>Senior</v>
      </c>
      <c r="G90" t="str">
        <f>_xlfn.XLOOKUP(A90,A89:A688,[1]Sheet3!J377:J976)</f>
        <v>Female</v>
      </c>
      <c r="H90" t="str">
        <f>_xlfn.XLOOKUP(A90,A89:A688,[1]Sheet3!K377:K976)</f>
        <v>West</v>
      </c>
      <c r="I90" t="str">
        <f>_xlfn.XLOOKUP(A90,A89:A688,[1]Sheet3!L377:L976)</f>
        <v>Surat</v>
      </c>
      <c r="J90" t="str">
        <f>_xlfn.XLOOKUP(A90,A89:A688,[1]Sheet3!M377:M976)</f>
        <v>Electronics</v>
      </c>
      <c r="K90" t="str">
        <f>_xlfn.XLOOKUP('Retail Sales'!A378,'Retail Sales'!A377:A976,[1]Sheet3!N377:N976)</f>
        <v>Tablet</v>
      </c>
      <c r="L90" s="5">
        <f>_xlfn.XLOOKUP(A90,A89:A688,[1]Sheet3!P377:P976)</f>
        <v>1</v>
      </c>
      <c r="M90" s="7">
        <f>_xlfn.XLOOKUP(A90,A89:A688,[1]Sheet3!Q377:Q976)</f>
        <v>38379.550000000003</v>
      </c>
      <c r="N90" s="9">
        <f>_xlfn.XLOOKUP(A90,A89:A688,[1]Sheet3!S377:S976)</f>
        <v>0.18</v>
      </c>
      <c r="O90" s="7">
        <f>_xlfn.XLOOKUP(A90,A89:A688,[1]Sheet3!T377:T976)</f>
        <v>33725.89</v>
      </c>
      <c r="P90" s="7">
        <f>_xlfn.XLOOKUP(A90,A89:A688,[1]Sheet3!U377:U976)</f>
        <v>4708.0600000000004</v>
      </c>
      <c r="Q90" s="11">
        <f>_xlfn.XLOOKUP(A90,A89:A688,[1]Sheet3!V377:V976)</f>
        <v>0.13959779860516655</v>
      </c>
      <c r="R90" s="7">
        <f>_xlfn.XLOOKUP(A90,A89:A688,[1]Sheet3!W377:W976)</f>
        <v>49.85</v>
      </c>
      <c r="S90" t="str">
        <f>_xlfn.XLOOKUP(A90,A89:A688,[1]Sheet3!X377:X976)</f>
        <v>EMI</v>
      </c>
      <c r="T90" s="5">
        <f>_xlfn.XLOOKUP(A90,A89:A688,[1]Sheet3!Z377:Z976)</f>
        <v>2</v>
      </c>
      <c r="U90" t="b">
        <f>_xlfn.XLOOKUP(A90,A89:A688,[1]Sheet3!AA377:AA976)</f>
        <v>0</v>
      </c>
      <c r="V90" t="str">
        <f>_xlfn.XLOOKUP(A90,A89:A688,[1]Sheet3!AC377:AC976)</f>
        <v>Delivered</v>
      </c>
      <c r="W90" s="5">
        <f>_xlfn.XLOOKUP(A90,A89:A688,[1]Sheet3!AE377:AE976)</f>
        <v>5</v>
      </c>
    </row>
    <row r="91" spans="1:23" x14ac:dyDescent="0.35">
      <c r="A91" t="s">
        <v>384</v>
      </c>
      <c r="B91" s="1">
        <f>_xlfn.XLOOKUP(A91,A90:A689,[1]Sheet3!C215:C814)</f>
        <v>44099</v>
      </c>
      <c r="C91" t="str">
        <f>_xlfn.XLOOKUP(A91,A90:A689,[1]Sheet3!D215:D814)</f>
        <v>CUST39660</v>
      </c>
      <c r="D91" t="str">
        <f>_xlfn.XLOOKUP(A91,A90:A689,[1]Sheet3!E215:E814)</f>
        <v>Priya Pillai</v>
      </c>
      <c r="E91" s="5">
        <f>_xlfn.XLOOKUP(A91,A90:A689,[1]Sheet3!G215:G814)</f>
        <v>53</v>
      </c>
      <c r="F91" t="str">
        <f>_xlfn.XLOOKUP('Retail Sales'!A216,'Retail Sales'!A215:A814,[1]Sheet3!H215:H814)</f>
        <v>Senior</v>
      </c>
      <c r="G91" t="str">
        <f>_xlfn.XLOOKUP(A91,A90:A689,[1]Sheet3!J215:J814)</f>
        <v>Male</v>
      </c>
      <c r="H91" t="str">
        <f>_xlfn.XLOOKUP(A91,A90:A689,[1]Sheet3!K215:K814)</f>
        <v>South</v>
      </c>
      <c r="I91" t="str">
        <f>_xlfn.XLOOKUP(A91,A90:A689,[1]Sheet3!L215:L814)</f>
        <v>Kochi</v>
      </c>
      <c r="J91" t="str">
        <f>_xlfn.XLOOKUP(A91,A90:A689,[1]Sheet3!M215:M814)</f>
        <v>Books</v>
      </c>
      <c r="K91" t="str">
        <f>_xlfn.XLOOKUP('Retail Sales'!A216,'Retail Sales'!A215:A814,[1]Sheet3!N215:N814)</f>
        <v>Textbook</v>
      </c>
      <c r="L91" s="5">
        <f>_xlfn.XLOOKUP(A91,A90:A689,[1]Sheet3!P215:P814)</f>
        <v>7</v>
      </c>
      <c r="M91" s="7">
        <f>_xlfn.XLOOKUP(A91,A90:A689,[1]Sheet3!Q215:Q814)</f>
        <v>298.01</v>
      </c>
      <c r="N91" s="9">
        <f>_xlfn.XLOOKUP(A91,A90:A689,[1]Sheet3!S215:S814)</f>
        <v>0.2</v>
      </c>
      <c r="O91" s="7">
        <f>_xlfn.XLOOKUP(A91,A90:A689,[1]Sheet3!T215:T814)</f>
        <v>1735.77</v>
      </c>
      <c r="P91" s="7">
        <f>_xlfn.XLOOKUP(A91,A90:A689,[1]Sheet3!U215:U814)</f>
        <v>683.51</v>
      </c>
      <c r="Q91" s="11">
        <f>_xlfn.XLOOKUP(A91,A90:A689,[1]Sheet3!V215:V814)</f>
        <v>0.39377912972340806</v>
      </c>
      <c r="R91" s="7">
        <f>_xlfn.XLOOKUP(A91,A90:A689,[1]Sheet3!W215:W814)</f>
        <v>71.67</v>
      </c>
      <c r="S91" t="str">
        <f>_xlfn.XLOOKUP(A91,A90:A689,[1]Sheet3!X215:X814)</f>
        <v>EMI</v>
      </c>
      <c r="T91" s="5">
        <f>_xlfn.XLOOKUP(A91,A90:A689,[1]Sheet3!Z215:Z814)</f>
        <v>2</v>
      </c>
      <c r="U91" t="b">
        <f>_xlfn.XLOOKUP(A91,A90:A689,[1]Sheet3!AA215:AA814)</f>
        <v>1</v>
      </c>
      <c r="V91" t="str">
        <f>_xlfn.XLOOKUP(A91,A90:A689,[1]Sheet3!AC215:AC814)</f>
        <v>Returned</v>
      </c>
      <c r="W91" s="5">
        <f>_xlfn.XLOOKUP(A91,A90:A689,[1]Sheet3!AE215:AE814)</f>
        <v>2</v>
      </c>
    </row>
    <row r="92" spans="1:23" x14ac:dyDescent="0.35">
      <c r="A92" t="s">
        <v>99</v>
      </c>
      <c r="B92" s="1">
        <f>_xlfn.XLOOKUP(A92,A91:A690,[1]Sheet3!C500:C1099)</f>
        <v>44107</v>
      </c>
      <c r="C92" t="str">
        <f>_xlfn.XLOOKUP(A92,A91:A690,[1]Sheet3!D500:D1099)</f>
        <v>CUST56731</v>
      </c>
      <c r="D92" t="str">
        <f>_xlfn.XLOOKUP(A92,A91:A690,[1]Sheet3!E500:E1099)</f>
        <v>Rohan Bhat</v>
      </c>
      <c r="E92" s="5">
        <f>_xlfn.XLOOKUP(A92,A91:A690,[1]Sheet3!G500:G1099)</f>
        <v>52</v>
      </c>
      <c r="F92" t="str">
        <f>_xlfn.XLOOKUP('Retail Sales'!A501,'Retail Sales'!A500:A1099,[1]Sheet3!H500:H1099)</f>
        <v>Senior</v>
      </c>
      <c r="G92" t="str">
        <f>_xlfn.XLOOKUP(A92,A91:A690,[1]Sheet3!J500:J1099)</f>
        <v>Female</v>
      </c>
      <c r="H92" t="str">
        <f>_xlfn.XLOOKUP(A92,A91:A690,[1]Sheet3!K500:K1099)</f>
        <v>South</v>
      </c>
      <c r="I92" t="str">
        <f>_xlfn.XLOOKUP(A92,A91:A690,[1]Sheet3!L500:L1099)</f>
        <v>Bangalore</v>
      </c>
      <c r="J92" t="str">
        <f>_xlfn.XLOOKUP(A92,A91:A690,[1]Sheet3!M500:M1099)</f>
        <v>Electronics</v>
      </c>
      <c r="K92" t="str">
        <f>_xlfn.XLOOKUP('Retail Sales'!A501,'Retail Sales'!A500:A1099,[1]Sheet3!N500:N1099)</f>
        <v>Smartwatch</v>
      </c>
      <c r="L92" s="5">
        <f>_xlfn.XLOOKUP(A92,A91:A690,[1]Sheet3!P500:P1099)</f>
        <v>4</v>
      </c>
      <c r="M92" s="7">
        <f>_xlfn.XLOOKUP(A92,A91:A690,[1]Sheet3!Q500:Q1099)</f>
        <v>72305.61</v>
      </c>
      <c r="N92" s="9">
        <f>_xlfn.XLOOKUP(A92,A91:A690,[1]Sheet3!S500:S1099)</f>
        <v>0.03</v>
      </c>
      <c r="O92" s="7">
        <f>_xlfn.XLOOKUP(A92,A91:A690,[1]Sheet3!T500:T1099)</f>
        <v>221219.87</v>
      </c>
      <c r="P92" s="7">
        <f>_xlfn.XLOOKUP(A92,A91:A690,[1]Sheet3!U500:U1099)</f>
        <v>28168.080000000002</v>
      </c>
      <c r="Q92" s="11">
        <f>_xlfn.XLOOKUP(A92,A91:A690,[1]Sheet3!V500:V1099)</f>
        <v>0.12733069592708829</v>
      </c>
      <c r="R92" s="7">
        <f>_xlfn.XLOOKUP(A92,A91:A690,[1]Sheet3!W500:W1099)</f>
        <v>54.29</v>
      </c>
      <c r="S92" t="str">
        <f>_xlfn.XLOOKUP(A92,A91:A690,[1]Sheet3!X500:X1099)</f>
        <v>Debit Card</v>
      </c>
      <c r="T92" s="5">
        <f>_xlfn.XLOOKUP(A92,A91:A690,[1]Sheet3!Z500:Z1099)</f>
        <v>4</v>
      </c>
      <c r="U92" t="b">
        <f>_xlfn.XLOOKUP(A92,A91:A690,[1]Sheet3!AA500:AA1099)</f>
        <v>1</v>
      </c>
      <c r="V92" t="str">
        <f>_xlfn.XLOOKUP(A92,A91:A690,[1]Sheet3!AC500:AC1099)</f>
        <v>Returned</v>
      </c>
      <c r="W92" s="5">
        <f>_xlfn.XLOOKUP(A92,A91:A690,[1]Sheet3!AE500:AE1099)</f>
        <v>10</v>
      </c>
    </row>
    <row r="93" spans="1:23" x14ac:dyDescent="0.35">
      <c r="A93" t="s">
        <v>53</v>
      </c>
      <c r="B93" s="1">
        <f>_xlfn.XLOOKUP(A93,A92:A691,[1]Sheet3!C546:C1145)</f>
        <v>44108</v>
      </c>
      <c r="C93" t="str">
        <f>_xlfn.XLOOKUP(A93,A92:A691,[1]Sheet3!D546:D1145)</f>
        <v>CUST73824</v>
      </c>
      <c r="D93" t="str">
        <f>_xlfn.XLOOKUP(A93,A92:A691,[1]Sheet3!E546:E1145)</f>
        <v>Rohan Kapoor</v>
      </c>
      <c r="E93" s="5">
        <f>_xlfn.XLOOKUP(A93,A92:A691,[1]Sheet3!G546:G1145)</f>
        <v>36</v>
      </c>
      <c r="F93" t="str">
        <f>_xlfn.XLOOKUP('Retail Sales'!A547,'Retail Sales'!A546:A1145,[1]Sheet3!H546:H1145)</f>
        <v>Adult</v>
      </c>
      <c r="G93" t="str">
        <f>_xlfn.XLOOKUP(A93,A92:A691,[1]Sheet3!J546:J1145)</f>
        <v>Male</v>
      </c>
      <c r="H93" t="str">
        <f>_xlfn.XLOOKUP(A93,A92:A691,[1]Sheet3!K546:K1145)</f>
        <v>Central</v>
      </c>
      <c r="I93" t="str">
        <f>_xlfn.XLOOKUP(A93,A92:A691,[1]Sheet3!L546:L1145)</f>
        <v>Raipur</v>
      </c>
      <c r="J93" t="str">
        <f>_xlfn.XLOOKUP(A93,A92:A691,[1]Sheet3!M546:M1145)</f>
        <v>Furniture</v>
      </c>
      <c r="K93" t="str">
        <f>_xlfn.XLOOKUP('Retail Sales'!A547,'Retail Sales'!A546:A1145,[1]Sheet3!N546:N1145)</f>
        <v>Wardrobe</v>
      </c>
      <c r="L93" s="5">
        <f>_xlfn.XLOOKUP(A93,A92:A691,[1]Sheet3!P546:P1145)</f>
        <v>5</v>
      </c>
      <c r="M93" s="7">
        <f>_xlfn.XLOOKUP(A93,A92:A691,[1]Sheet3!Q546:Q1145)</f>
        <v>11291.76</v>
      </c>
      <c r="N93" s="9">
        <f>_xlfn.XLOOKUP(A93,A92:A691,[1]Sheet3!S546:S1145)</f>
        <v>0.4</v>
      </c>
      <c r="O93" s="7">
        <f>_xlfn.XLOOKUP(A93,A92:A691,[1]Sheet3!T546:T1145)</f>
        <v>21297.23</v>
      </c>
      <c r="P93" s="7">
        <f>_xlfn.XLOOKUP(A93,A92:A691,[1]Sheet3!U546:U1145)</f>
        <v>5332.78</v>
      </c>
      <c r="Q93" s="11">
        <f>_xlfn.XLOOKUP(A93,A92:A691,[1]Sheet3!V546:V1145)</f>
        <v>0.25039782168854824</v>
      </c>
      <c r="R93" s="7">
        <f>_xlfn.XLOOKUP(A93,A92:A691,[1]Sheet3!W546:W1145)</f>
        <v>40.67</v>
      </c>
      <c r="S93" t="str">
        <f>_xlfn.XLOOKUP(A93,A92:A691,[1]Sheet3!X546:X1145)</f>
        <v>Credit Card</v>
      </c>
      <c r="T93" s="5">
        <f>_xlfn.XLOOKUP(A93,A92:A691,[1]Sheet3!Z546:Z1145)</f>
        <v>4</v>
      </c>
      <c r="U93" t="b">
        <f>_xlfn.XLOOKUP(A93,A92:A691,[1]Sheet3!AA546:AA1145)</f>
        <v>0</v>
      </c>
      <c r="V93" t="str">
        <f>_xlfn.XLOOKUP(A93,A92:A691,[1]Sheet3!AC546:AC1145)</f>
        <v>Shipped</v>
      </c>
      <c r="W93" s="5">
        <f>_xlfn.XLOOKUP(A93,A92:A691,[1]Sheet3!AE546:AE1145)</f>
        <v>5</v>
      </c>
    </row>
    <row r="94" spans="1:23" x14ac:dyDescent="0.35">
      <c r="A94" t="s">
        <v>255</v>
      </c>
      <c r="B94" s="1">
        <f>_xlfn.XLOOKUP(A94,A93:A692,[1]Sheet3!C344:C943)</f>
        <v>44113</v>
      </c>
      <c r="C94" t="str">
        <f>_xlfn.XLOOKUP(A94,A93:A692,[1]Sheet3!D344:D943)</f>
        <v>CUST51786</v>
      </c>
      <c r="D94" t="str">
        <f>_xlfn.XLOOKUP(A94,A93:A692,[1]Sheet3!E344:E943)</f>
        <v>Kavya Joshi</v>
      </c>
      <c r="E94" s="5">
        <f>_xlfn.XLOOKUP(A94,A93:A692,[1]Sheet3!G344:G943)</f>
        <v>48</v>
      </c>
      <c r="F94" t="str">
        <f>_xlfn.XLOOKUP('Retail Sales'!A345,'Retail Sales'!A344:A943,[1]Sheet3!H344:H943)</f>
        <v>Adult</v>
      </c>
      <c r="G94" t="str">
        <f>_xlfn.XLOOKUP(A94,A93:A692,[1]Sheet3!J344:J943)</f>
        <v>Male</v>
      </c>
      <c r="H94" t="str">
        <f>_xlfn.XLOOKUP(A94,A93:A692,[1]Sheet3!K344:K943)</f>
        <v>Central</v>
      </c>
      <c r="I94" t="str">
        <f>_xlfn.XLOOKUP(A94,A93:A692,[1]Sheet3!L344:L943)</f>
        <v>Bhopal</v>
      </c>
      <c r="J94" t="str">
        <f>_xlfn.XLOOKUP(A94,A93:A692,[1]Sheet3!M344:M943)</f>
        <v>Beauty</v>
      </c>
      <c r="K94" t="str">
        <f>_xlfn.XLOOKUP('Retail Sales'!A345,'Retail Sales'!A344:A943,[1]Sheet3!N344:N943)</f>
        <v>Perfume</v>
      </c>
      <c r="L94" s="5">
        <f>_xlfn.XLOOKUP(A94,A93:A692,[1]Sheet3!P344:P943)</f>
        <v>9</v>
      </c>
      <c r="M94" s="7">
        <f>_xlfn.XLOOKUP(A94,A93:A692,[1]Sheet3!Q344:Q943)</f>
        <v>1406.56</v>
      </c>
      <c r="N94" s="9">
        <f>_xlfn.XLOOKUP(A94,A93:A692,[1]Sheet3!S344:S943)</f>
        <v>0.1</v>
      </c>
      <c r="O94" s="7">
        <f>_xlfn.XLOOKUP(A94,A93:A692,[1]Sheet3!T344:T943)</f>
        <v>8925.0499999999993</v>
      </c>
      <c r="P94" s="7">
        <f>_xlfn.XLOOKUP(A94,A93:A692,[1]Sheet3!U344:U943)</f>
        <v>3776.97</v>
      </c>
      <c r="Q94" s="11">
        <f>_xlfn.XLOOKUP(A94,A93:A692,[1]Sheet3!V344:V943)</f>
        <v>0.42318754516781421</v>
      </c>
      <c r="R94" s="7">
        <f>_xlfn.XLOOKUP(A94,A93:A692,[1]Sheet3!W344:W943)</f>
        <v>39.94</v>
      </c>
      <c r="S94" t="str">
        <f>_xlfn.XLOOKUP(A94,A93:A692,[1]Sheet3!X344:X943)</f>
        <v>Cash on Delivery</v>
      </c>
      <c r="T94" s="5">
        <f>_xlfn.XLOOKUP(A94,A93:A692,[1]Sheet3!Z344:Z943)</f>
        <v>3</v>
      </c>
      <c r="U94" t="b">
        <f>_xlfn.XLOOKUP(A94,A93:A692,[1]Sheet3!AA344:AA943)</f>
        <v>0</v>
      </c>
      <c r="V94" t="str">
        <f>_xlfn.XLOOKUP(A94,A93:A692,[1]Sheet3!AC344:AC943)</f>
        <v>Delivered</v>
      </c>
      <c r="W94" s="5">
        <f>_xlfn.XLOOKUP(A94,A93:A692,[1]Sheet3!AE344:AE943)</f>
        <v>5</v>
      </c>
    </row>
    <row r="95" spans="1:23" x14ac:dyDescent="0.35">
      <c r="A95" t="s">
        <v>509</v>
      </c>
      <c r="B95" s="1">
        <f>_xlfn.XLOOKUP(A95,A94:A693,[1]Sheet3!C90:C689)</f>
        <v>44115</v>
      </c>
      <c r="C95" t="str">
        <f>_xlfn.XLOOKUP(A95,A94:A693,[1]Sheet3!D90:D689)</f>
        <v>CUST01277</v>
      </c>
      <c r="D95" t="str">
        <f>_xlfn.XLOOKUP(A95,A94:A693,[1]Sheet3!E90:E689)</f>
        <v>Sanjay Iyer</v>
      </c>
      <c r="E95" s="5">
        <f>_xlfn.XLOOKUP(A95,A94:A693,[1]Sheet3!G90:G689)</f>
        <v>22</v>
      </c>
      <c r="F95" t="str">
        <f>_xlfn.XLOOKUP('Retail Sales'!A91,'Retail Sales'!A90:A689,[1]Sheet3!H90:H689)</f>
        <v>Young Adult</v>
      </c>
      <c r="G95" t="str">
        <f>_xlfn.XLOOKUP(A95,A94:A693,[1]Sheet3!J90:J689)</f>
        <v>Female</v>
      </c>
      <c r="H95" t="str">
        <f>_xlfn.XLOOKUP(A95,A94:A693,[1]Sheet3!K90:K689)</f>
        <v>West</v>
      </c>
      <c r="I95" t="str">
        <f>_xlfn.XLOOKUP(A95,A94:A693,[1]Sheet3!L90:L689)</f>
        <v>Surat</v>
      </c>
      <c r="J95" t="str">
        <f>_xlfn.XLOOKUP(A95,A94:A693,[1]Sheet3!M90:M689)</f>
        <v>Furniture</v>
      </c>
      <c r="K95" t="str">
        <f>_xlfn.XLOOKUP('Retail Sales'!A91,'Retail Sales'!A90:A689,[1]Sheet3!N90:N689)</f>
        <v>Bookshelf</v>
      </c>
      <c r="L95" s="5">
        <f>_xlfn.XLOOKUP(A95,A94:A693,[1]Sheet3!P90:P689)</f>
        <v>7</v>
      </c>
      <c r="M95" s="7">
        <f>_xlfn.XLOOKUP(A95,A94:A693,[1]Sheet3!Q90:Q689)</f>
        <v>34455.919999999998</v>
      </c>
      <c r="N95" s="9">
        <f>_xlfn.XLOOKUP(A95,A94:A693,[1]Sheet3!S90:S689)</f>
        <v>0.28000000000000003</v>
      </c>
      <c r="O95" s="7">
        <f>_xlfn.XLOOKUP(A95,A94:A693,[1]Sheet3!T90:T689)</f>
        <v>149044.85999999999</v>
      </c>
      <c r="P95" s="7">
        <f>_xlfn.XLOOKUP(A95,A94:A693,[1]Sheet3!U90:U689)</f>
        <v>39164.43</v>
      </c>
      <c r="Q95" s="11">
        <f>_xlfn.XLOOKUP(A95,A94:A693,[1]Sheet3!V90:V689)</f>
        <v>0.26276941049828895</v>
      </c>
      <c r="R95" s="7">
        <f>_xlfn.XLOOKUP(A95,A94:A693,[1]Sheet3!W90:W689)</f>
        <v>54.2</v>
      </c>
      <c r="S95" t="str">
        <f>_xlfn.XLOOKUP(A95,A94:A693,[1]Sheet3!X90:X689)</f>
        <v>Debit Card</v>
      </c>
      <c r="T95" s="5">
        <f>_xlfn.XLOOKUP(A95,A94:A693,[1]Sheet3!Z90:Z689)</f>
        <v>3</v>
      </c>
      <c r="U95" t="b">
        <f>_xlfn.XLOOKUP(A95,A94:A693,[1]Sheet3!AA90:AA689)</f>
        <v>0</v>
      </c>
      <c r="V95" t="str">
        <f>_xlfn.XLOOKUP(A95,A94:A693,[1]Sheet3!AC90:AC689)</f>
        <v>Delivered</v>
      </c>
      <c r="W95" s="5">
        <f>_xlfn.XLOOKUP(A95,A94:A693,[1]Sheet3!AE90:AE689)</f>
        <v>7</v>
      </c>
    </row>
    <row r="96" spans="1:23" x14ac:dyDescent="0.35">
      <c r="A96" t="s">
        <v>215</v>
      </c>
      <c r="B96" s="1">
        <f>_xlfn.XLOOKUP(A96,A95:A694,[1]Sheet3!C384:C983)</f>
        <v>44118</v>
      </c>
      <c r="C96" t="str">
        <f>_xlfn.XLOOKUP(A96,A95:A694,[1]Sheet3!D384:D983)</f>
        <v>CUST94203</v>
      </c>
      <c r="D96" t="str">
        <f>_xlfn.XLOOKUP(A96,A95:A694,[1]Sheet3!E384:E983)</f>
        <v>Sanjay Nair</v>
      </c>
      <c r="E96" s="5">
        <f>_xlfn.XLOOKUP(A96,A95:A694,[1]Sheet3!G384:G983)</f>
        <v>34</v>
      </c>
      <c r="F96" t="str">
        <f>_xlfn.XLOOKUP('Retail Sales'!A385,'Retail Sales'!A384:A983,[1]Sheet3!H384:H983)</f>
        <v>Young Adult</v>
      </c>
      <c r="G96" t="str">
        <f>_xlfn.XLOOKUP(A96,A95:A694,[1]Sheet3!J384:J983)</f>
        <v>Other</v>
      </c>
      <c r="H96" t="str">
        <f>_xlfn.XLOOKUP(A96,A95:A694,[1]Sheet3!K384:K983)</f>
        <v>Central</v>
      </c>
      <c r="I96" t="str">
        <f>_xlfn.XLOOKUP(A96,A95:A694,[1]Sheet3!L384:L983)</f>
        <v>Bhopal</v>
      </c>
      <c r="J96" t="str">
        <f>_xlfn.XLOOKUP(A96,A95:A694,[1]Sheet3!M384:M983)</f>
        <v>Furniture</v>
      </c>
      <c r="K96" t="str">
        <f>_xlfn.XLOOKUP('Retail Sales'!A385,'Retail Sales'!A384:A983,[1]Sheet3!N384:N983)</f>
        <v>Bed Frame</v>
      </c>
      <c r="L96" s="5">
        <f>_xlfn.XLOOKUP(A96,A95:A694,[1]Sheet3!P384:P983)</f>
        <v>4</v>
      </c>
      <c r="M96" s="7">
        <f>_xlfn.XLOOKUP(A96,A95:A694,[1]Sheet3!Q384:Q983)</f>
        <v>22879.02</v>
      </c>
      <c r="N96" s="9">
        <f>_xlfn.XLOOKUP(A96,A95:A694,[1]Sheet3!S384:S983)</f>
        <v>0.1</v>
      </c>
      <c r="O96" s="7">
        <f>_xlfn.XLOOKUP(A96,A95:A694,[1]Sheet3!T384:T983)</f>
        <v>63905.82</v>
      </c>
      <c r="P96" s="7">
        <f>_xlfn.XLOOKUP(A96,A95:A694,[1]Sheet3!U384:U983)</f>
        <v>18612.63</v>
      </c>
      <c r="Q96" s="11">
        <f>_xlfn.XLOOKUP(A96,A95:A694,[1]Sheet3!V384:V983)</f>
        <v>0.29125093770802096</v>
      </c>
      <c r="R96" s="7">
        <f>_xlfn.XLOOKUP(A96,A95:A694,[1]Sheet3!W384:W983)</f>
        <v>53.94</v>
      </c>
      <c r="S96" t="str">
        <f>_xlfn.XLOOKUP(A96,A95:A694,[1]Sheet3!X384:X983)</f>
        <v>Cash on Delivery</v>
      </c>
      <c r="T96" s="5">
        <f>_xlfn.XLOOKUP(A96,A95:A694,[1]Sheet3!Z384:Z983)</f>
        <v>1</v>
      </c>
      <c r="U96" t="b">
        <f>_xlfn.XLOOKUP(A96,A95:A694,[1]Sheet3!AA384:AA983)</f>
        <v>0</v>
      </c>
      <c r="V96" t="str">
        <f>_xlfn.XLOOKUP(A96,A95:A694,[1]Sheet3!AC384:AC983)</f>
        <v>Cancelled</v>
      </c>
      <c r="W96" s="5">
        <f>_xlfn.XLOOKUP(A96,A95:A694,[1]Sheet3!AE384:AE983)</f>
        <v>6</v>
      </c>
    </row>
    <row r="97" spans="1:23" x14ac:dyDescent="0.35">
      <c r="A97" t="s">
        <v>430</v>
      </c>
      <c r="B97" s="1">
        <f>_xlfn.XLOOKUP(A97,A96:A695,[1]Sheet3!C169:C768)</f>
        <v>44124</v>
      </c>
      <c r="C97" t="str">
        <f>_xlfn.XLOOKUP(A97,A96:A695,[1]Sheet3!D169:D768)</f>
        <v>CUST35559</v>
      </c>
      <c r="D97" t="str">
        <f>_xlfn.XLOOKUP(A97,A96:A695,[1]Sheet3!E169:E768)</f>
        <v>Ritu Nair</v>
      </c>
      <c r="E97" s="5">
        <f>_xlfn.XLOOKUP(A97,A96:A695,[1]Sheet3!G169:G768)</f>
        <v>22</v>
      </c>
      <c r="F97" t="str">
        <f>_xlfn.XLOOKUP('Retail Sales'!A170,'Retail Sales'!A169:A768,[1]Sheet3!H169:H768)</f>
        <v>Young Adult</v>
      </c>
      <c r="G97" t="str">
        <f>_xlfn.XLOOKUP(A97,A96:A695,[1]Sheet3!J169:J768)</f>
        <v>Female</v>
      </c>
      <c r="H97" t="str">
        <f>_xlfn.XLOOKUP(A97,A96:A695,[1]Sheet3!K169:K768)</f>
        <v>Central</v>
      </c>
      <c r="I97" t="str">
        <f>_xlfn.XLOOKUP(A97,A96:A695,[1]Sheet3!L169:L768)</f>
        <v>Nagpur</v>
      </c>
      <c r="J97" t="str">
        <f>_xlfn.XLOOKUP(A97,A96:A695,[1]Sheet3!M169:M768)</f>
        <v>Books</v>
      </c>
      <c r="K97" t="str">
        <f>_xlfn.XLOOKUP('Retail Sales'!A170,'Retail Sales'!A169:A768,[1]Sheet3!N169:N768)</f>
        <v>Textbook</v>
      </c>
      <c r="L97" s="5">
        <f>_xlfn.XLOOKUP(A97,A96:A695,[1]Sheet3!P169:P768)</f>
        <v>3</v>
      </c>
      <c r="M97" s="7">
        <f>_xlfn.XLOOKUP(A97,A96:A695,[1]Sheet3!Q169:Q768)</f>
        <v>835.42</v>
      </c>
      <c r="N97" s="9">
        <f>_xlfn.XLOOKUP(A97,A96:A695,[1]Sheet3!S169:S768)</f>
        <v>0.33</v>
      </c>
      <c r="O97" s="7">
        <f>_xlfn.XLOOKUP(A97,A96:A695,[1]Sheet3!T169:T768)</f>
        <v>1423.3</v>
      </c>
      <c r="P97" s="7">
        <f>_xlfn.XLOOKUP(A97,A96:A695,[1]Sheet3!U169:U768)</f>
        <v>458.44</v>
      </c>
      <c r="Q97" s="11">
        <f>_xlfn.XLOOKUP(A97,A96:A695,[1]Sheet3!V169:V768)</f>
        <v>0.32209653621864681</v>
      </c>
      <c r="R97" s="7">
        <f>_xlfn.XLOOKUP(A97,A96:A695,[1]Sheet3!W169:W768)</f>
        <v>55.32</v>
      </c>
      <c r="S97" t="str">
        <f>_xlfn.XLOOKUP(A97,A96:A695,[1]Sheet3!X169:X768)</f>
        <v>Cash on Delivery</v>
      </c>
      <c r="T97" s="5">
        <f>_xlfn.XLOOKUP(A97,A96:A695,[1]Sheet3!Z169:Z768)</f>
        <v>5</v>
      </c>
      <c r="U97" t="b">
        <f>_xlfn.XLOOKUP(A97,A96:A695,[1]Sheet3!AA169:AA768)</f>
        <v>0</v>
      </c>
      <c r="V97" t="str">
        <f>_xlfn.XLOOKUP(A97,A96:A695,[1]Sheet3!AC169:AC768)</f>
        <v>Delivered</v>
      </c>
      <c r="W97" s="5">
        <f>_xlfn.XLOOKUP(A97,A96:A695,[1]Sheet3!AE169:AE768)</f>
        <v>1</v>
      </c>
    </row>
    <row r="98" spans="1:23" x14ac:dyDescent="0.35">
      <c r="A98" t="s">
        <v>151</v>
      </c>
      <c r="B98" s="1">
        <f>_xlfn.XLOOKUP(A98,A97:A696,[1]Sheet3!C448:C1047)</f>
        <v>44126</v>
      </c>
      <c r="C98" t="str">
        <f>_xlfn.XLOOKUP(A98,A97:A696,[1]Sheet3!D448:D1047)</f>
        <v>CUST42875</v>
      </c>
      <c r="D98" t="str">
        <f>_xlfn.XLOOKUP(A98,A97:A696,[1]Sheet3!E448:E1047)</f>
        <v>Sanjay Verma</v>
      </c>
      <c r="E98" s="5">
        <f>_xlfn.XLOOKUP(A98,A97:A696,[1]Sheet3!G448:G1047)</f>
        <v>26</v>
      </c>
      <c r="F98" t="str">
        <f>_xlfn.XLOOKUP('Retail Sales'!A449,'Retail Sales'!A448:A1047,[1]Sheet3!H448:H1047)</f>
        <v>Young Adult</v>
      </c>
      <c r="G98" t="str">
        <f>_xlfn.XLOOKUP(A98,A97:A696,[1]Sheet3!J448:J1047)</f>
        <v>Other</v>
      </c>
      <c r="H98" t="str">
        <f>_xlfn.XLOOKUP(A98,A97:A696,[1]Sheet3!K448:K1047)</f>
        <v>South</v>
      </c>
      <c r="I98" t="str">
        <f>_xlfn.XLOOKUP(A98,A97:A696,[1]Sheet3!L448:L1047)</f>
        <v>Hyderabad</v>
      </c>
      <c r="J98" t="str">
        <f>_xlfn.XLOOKUP(A98,A97:A696,[1]Sheet3!M448:M1047)</f>
        <v>Sports</v>
      </c>
      <c r="K98" t="str">
        <f>_xlfn.XLOOKUP('Retail Sales'!A449,'Retail Sales'!A448:A1047,[1]Sheet3!N448:N1047)</f>
        <v>Cycle</v>
      </c>
      <c r="L98" s="5">
        <f>_xlfn.XLOOKUP(A98,A97:A696,[1]Sheet3!P448:P1047)</f>
        <v>1</v>
      </c>
      <c r="M98" s="7">
        <f>_xlfn.XLOOKUP(A98,A97:A696,[1]Sheet3!Q448:Q1047)</f>
        <v>12380.73</v>
      </c>
      <c r="N98" s="9">
        <f>_xlfn.XLOOKUP(A98,A97:A696,[1]Sheet3!S448:S1047)</f>
        <v>0.24</v>
      </c>
      <c r="O98" s="7">
        <f>_xlfn.XLOOKUP(A98,A97:A696,[1]Sheet3!T448:T1047)</f>
        <v>8294.2999999999993</v>
      </c>
      <c r="P98" s="7">
        <f>_xlfn.XLOOKUP(A98,A97:A696,[1]Sheet3!U448:U1047)</f>
        <v>2144.64</v>
      </c>
      <c r="Q98" s="11">
        <f>_xlfn.XLOOKUP(A98,A97:A696,[1]Sheet3!V448:V1047)</f>
        <v>0.25856793219439855</v>
      </c>
      <c r="R98" s="7">
        <f>_xlfn.XLOOKUP(A98,A97:A696,[1]Sheet3!W448:W1047)</f>
        <v>80.23</v>
      </c>
      <c r="S98" t="str">
        <f>_xlfn.XLOOKUP(A98,A97:A696,[1]Sheet3!X448:X1047)</f>
        <v>Credit Card</v>
      </c>
      <c r="T98" s="5">
        <f>_xlfn.XLOOKUP(A98,A97:A696,[1]Sheet3!Z448:Z1047)</f>
        <v>4</v>
      </c>
      <c r="U98" t="b">
        <f>_xlfn.XLOOKUP(A98,A97:A696,[1]Sheet3!AA448:AA1047)</f>
        <v>0</v>
      </c>
      <c r="V98" t="str">
        <f>_xlfn.XLOOKUP(A98,A97:A696,[1]Sheet3!AC448:AC1047)</f>
        <v>Cancelled</v>
      </c>
      <c r="W98" s="5">
        <f>_xlfn.XLOOKUP(A98,A97:A696,[1]Sheet3!AE448:AE1047)</f>
        <v>5</v>
      </c>
    </row>
    <row r="99" spans="1:23" x14ac:dyDescent="0.35">
      <c r="A99" t="s">
        <v>112</v>
      </c>
      <c r="B99" s="1">
        <f>_xlfn.XLOOKUP(A99,A98:A697,[1]Sheet3!C487:C1086)</f>
        <v>44132</v>
      </c>
      <c r="C99" t="str">
        <f>_xlfn.XLOOKUP(A99,A98:A697,[1]Sheet3!D487:D1086)</f>
        <v>CUST76842</v>
      </c>
      <c r="D99" t="str">
        <f>_xlfn.XLOOKUP(A99,A98:A697,[1]Sheet3!E487:E1086)</f>
        <v>Shreya Gupta</v>
      </c>
      <c r="E99" s="5">
        <f>_xlfn.XLOOKUP(A99,A98:A697,[1]Sheet3!G487:G1086)</f>
        <v>47</v>
      </c>
      <c r="F99" t="str">
        <f>_xlfn.XLOOKUP('Retail Sales'!A488,'Retail Sales'!A487:A1086,[1]Sheet3!H487:H1086)</f>
        <v>Adult</v>
      </c>
      <c r="G99" t="str">
        <f>_xlfn.XLOOKUP(A99,A98:A697,[1]Sheet3!J487:J1086)</f>
        <v>Female</v>
      </c>
      <c r="H99" t="str">
        <f>_xlfn.XLOOKUP(A99,A98:A697,[1]Sheet3!K487:K1086)</f>
        <v>South</v>
      </c>
      <c r="I99" t="str">
        <f>_xlfn.XLOOKUP(A99,A98:A697,[1]Sheet3!L487:L1086)</f>
        <v>Hyderabad</v>
      </c>
      <c r="J99" t="str">
        <f>_xlfn.XLOOKUP(A99,A98:A697,[1]Sheet3!M487:M1086)</f>
        <v>Books</v>
      </c>
      <c r="K99" t="str">
        <f>_xlfn.XLOOKUP('Retail Sales'!A488,'Retail Sales'!A487:A1086,[1]Sheet3!N487:N1086)</f>
        <v>Textbook</v>
      </c>
      <c r="L99" s="5">
        <f>_xlfn.XLOOKUP(A99,A98:A697,[1]Sheet3!P487:P1086)</f>
        <v>8</v>
      </c>
      <c r="M99" s="7">
        <f>_xlfn.XLOOKUP(A99,A98:A697,[1]Sheet3!Q487:Q1086)</f>
        <v>513.63</v>
      </c>
      <c r="N99" s="9">
        <f>_xlfn.XLOOKUP(A99,A98:A697,[1]Sheet3!S487:S1086)</f>
        <v>0.17</v>
      </c>
      <c r="O99" s="7">
        <f>_xlfn.XLOOKUP(A99,A98:A697,[1]Sheet3!T487:T1086)</f>
        <v>2804.09</v>
      </c>
      <c r="P99" s="7">
        <f>_xlfn.XLOOKUP(A99,A98:A697,[1]Sheet3!U487:U1086)</f>
        <v>1009.57</v>
      </c>
      <c r="Q99" s="11">
        <f>_xlfn.XLOOKUP(A99,A98:A697,[1]Sheet3!V487:V1086)</f>
        <v>0.36003480630079632</v>
      </c>
      <c r="R99" s="7">
        <f>_xlfn.XLOOKUP(A99,A98:A697,[1]Sheet3!W487:W1086)</f>
        <v>48.54</v>
      </c>
      <c r="S99" t="str">
        <f>_xlfn.XLOOKUP(A99,A98:A697,[1]Sheet3!X487:X1086)</f>
        <v>Cash on Delivery</v>
      </c>
      <c r="T99" s="5">
        <f>_xlfn.XLOOKUP(A99,A98:A697,[1]Sheet3!Z487:Z1086)</f>
        <v>4</v>
      </c>
      <c r="U99" t="b">
        <f>_xlfn.XLOOKUP(A99,A98:A697,[1]Sheet3!AA487:AA1086)</f>
        <v>0</v>
      </c>
      <c r="V99" t="str">
        <f>_xlfn.XLOOKUP(A99,A98:A697,[1]Sheet3!AC487:AC1086)</f>
        <v>Delivered</v>
      </c>
      <c r="W99" s="5">
        <f>_xlfn.XLOOKUP(A99,A98:A697,[1]Sheet3!AE487:AE1086)</f>
        <v>1</v>
      </c>
    </row>
    <row r="100" spans="1:23" x14ac:dyDescent="0.35">
      <c r="A100" t="s">
        <v>75</v>
      </c>
      <c r="B100" s="1">
        <f>_xlfn.XLOOKUP(A100,A99:A698,[1]Sheet3!C524:C1123)</f>
        <v>44133</v>
      </c>
      <c r="C100" t="str">
        <f>_xlfn.XLOOKUP(A100,A99:A698,[1]Sheet3!D524:D1123)</f>
        <v>CUST66974</v>
      </c>
      <c r="D100" t="str">
        <f>_xlfn.XLOOKUP(A100,A99:A698,[1]Sheet3!E524:E1123)</f>
        <v>Aarav Sharma</v>
      </c>
      <c r="E100" s="5">
        <f>_xlfn.XLOOKUP(A100,A99:A698,[1]Sheet3!G524:G1123)</f>
        <v>34.294220665499125</v>
      </c>
      <c r="F100" t="str">
        <f>_xlfn.XLOOKUP('Retail Sales'!A525,'Retail Sales'!A524:A1123,[1]Sheet3!H524:H1123)</f>
        <v>Young Adult</v>
      </c>
      <c r="G100" t="str">
        <f>_xlfn.XLOOKUP(A100,A99:A698,[1]Sheet3!J524:J1123)</f>
        <v>Other</v>
      </c>
      <c r="H100" t="str">
        <f>_xlfn.XLOOKUP(A100,A99:A698,[1]Sheet3!K524:K1123)</f>
        <v>East</v>
      </c>
      <c r="I100" t="str">
        <f>_xlfn.XLOOKUP(A100,A99:A698,[1]Sheet3!L524:L1123)</f>
        <v>Guwahati</v>
      </c>
      <c r="J100" t="str">
        <f>_xlfn.XLOOKUP(A100,A99:A698,[1]Sheet3!M524:M1123)</f>
        <v>Clothing</v>
      </c>
      <c r="K100" t="str">
        <f>_xlfn.XLOOKUP('Retail Sales'!A525,'Retail Sales'!A524:A1123,[1]Sheet3!N524:N1123)</f>
        <v>Kurta</v>
      </c>
      <c r="L100" s="5">
        <f>_xlfn.XLOOKUP(A100,A99:A698,[1]Sheet3!P524:P1123)</f>
        <v>3</v>
      </c>
      <c r="M100" s="7">
        <f>_xlfn.XLOOKUP(A100,A99:A698,[1]Sheet3!Q524:Q1123)</f>
        <v>562.94000000000005</v>
      </c>
      <c r="N100" s="9">
        <f>_xlfn.XLOOKUP(A100,A99:A698,[1]Sheet3!S524:S1123)</f>
        <v>0.27</v>
      </c>
      <c r="O100" s="7">
        <f>_xlfn.XLOOKUP(A100,A99:A698,[1]Sheet3!T524:T1123)</f>
        <v>1022.04</v>
      </c>
      <c r="P100" s="7">
        <f>_xlfn.XLOOKUP(A100,A99:A698,[1]Sheet3!U524:U1123)</f>
        <v>309.8</v>
      </c>
      <c r="Q100" s="11">
        <f>_xlfn.XLOOKUP(A100,A99:A698,[1]Sheet3!V524:V1123)</f>
        <v>0.30311925169269305</v>
      </c>
      <c r="R100" s="7">
        <f>_xlfn.XLOOKUP(A100,A99:A698,[1]Sheet3!W524:W1123)</f>
        <v>88.97</v>
      </c>
      <c r="S100" t="str">
        <f>_xlfn.XLOOKUP(A100,A99:A698,[1]Sheet3!X524:X1123)</f>
        <v>UPI</v>
      </c>
      <c r="T100" s="5">
        <f>_xlfn.XLOOKUP(A100,A99:A698,[1]Sheet3!Z524:Z1123)</f>
        <v>2</v>
      </c>
      <c r="U100" t="b">
        <f>_xlfn.XLOOKUP(A100,A99:A698,[1]Sheet3!AA524:AA1123)</f>
        <v>1</v>
      </c>
      <c r="V100" t="str">
        <f>_xlfn.XLOOKUP(A100,A99:A698,[1]Sheet3!AC524:AC1123)</f>
        <v>Returned</v>
      </c>
      <c r="W100" s="5">
        <f>_xlfn.XLOOKUP(A100,A99:A698,[1]Sheet3!AE524:AE1123)</f>
        <v>1</v>
      </c>
    </row>
    <row r="101" spans="1:23" x14ac:dyDescent="0.35">
      <c r="A101" t="s">
        <v>171</v>
      </c>
      <c r="B101" s="1">
        <f>_xlfn.XLOOKUP(A101,A100:A699,[1]Sheet3!C428:C1027)</f>
        <v>44135</v>
      </c>
      <c r="C101" t="str">
        <f>_xlfn.XLOOKUP(A101,A100:A699,[1]Sheet3!D428:D1027)</f>
        <v>CUST93387</v>
      </c>
      <c r="D101" t="str">
        <f>_xlfn.XLOOKUP(A101,A100:A699,[1]Sheet3!E428:E1027)</f>
        <v>Ritu Bose</v>
      </c>
      <c r="E101" s="5">
        <f>_xlfn.XLOOKUP(A101,A100:A699,[1]Sheet3!G428:G1027)</f>
        <v>43</v>
      </c>
      <c r="F101" t="str">
        <f>_xlfn.XLOOKUP('Retail Sales'!A429,'Retail Sales'!A428:A1027,[1]Sheet3!H428:H1027)</f>
        <v>Adult</v>
      </c>
      <c r="G101" t="str">
        <f>_xlfn.XLOOKUP(A101,A100:A699,[1]Sheet3!J428:J1027)</f>
        <v>Other</v>
      </c>
      <c r="H101" t="str">
        <f>_xlfn.XLOOKUP(A101,A100:A699,[1]Sheet3!K428:K1027)</f>
        <v>West</v>
      </c>
      <c r="I101" t="str">
        <f>_xlfn.XLOOKUP(A101,A100:A699,[1]Sheet3!L428:L1027)</f>
        <v>Surat</v>
      </c>
      <c r="J101" t="str">
        <f>_xlfn.XLOOKUP(A101,A100:A699,[1]Sheet3!M428:M1027)</f>
        <v>Groceries</v>
      </c>
      <c r="K101" t="str">
        <f>_xlfn.XLOOKUP('Retail Sales'!A429,'Retail Sales'!A428:A1027,[1]Sheet3!N428:N1027)</f>
        <v>Cooking Oil</v>
      </c>
      <c r="L101" s="5">
        <f>_xlfn.XLOOKUP(A101,A100:A699,[1]Sheet3!P428:P1027)</f>
        <v>8</v>
      </c>
      <c r="M101" s="7">
        <f>_xlfn.XLOOKUP(A101,A100:A699,[1]Sheet3!Q428:Q1027)</f>
        <v>347.71</v>
      </c>
      <c r="N101" s="9">
        <f>_xlfn.XLOOKUP(A101,A100:A699,[1]Sheet3!S428:S1027)</f>
        <v>0.08</v>
      </c>
      <c r="O101" s="7">
        <f>_xlfn.XLOOKUP(A101,A100:A699,[1]Sheet3!T428:T1027)</f>
        <v>2265.2800000000002</v>
      </c>
      <c r="P101" s="7">
        <f>_xlfn.XLOOKUP(A101,A100:A699,[1]Sheet3!U428:U1027)</f>
        <v>178.59</v>
      </c>
      <c r="Q101" s="11">
        <f>_xlfn.XLOOKUP(A101,A100:A699,[1]Sheet3!V428:V1027)</f>
        <v>7.8837936149173601E-2</v>
      </c>
      <c r="R101" s="7">
        <f>_xlfn.XLOOKUP(A101,A100:A699,[1]Sheet3!W428:W1027)</f>
        <v>64.88</v>
      </c>
      <c r="S101" t="str">
        <f>_xlfn.XLOOKUP(A101,A100:A699,[1]Sheet3!X428:X1027)</f>
        <v>Credit Card</v>
      </c>
      <c r="T101" s="5">
        <f>_xlfn.XLOOKUP(A101,A100:A699,[1]Sheet3!Z428:Z1027)</f>
        <v>5</v>
      </c>
      <c r="U101" t="b">
        <f>_xlfn.XLOOKUP(A101,A100:A699,[1]Sheet3!AA428:AA1027)</f>
        <v>0</v>
      </c>
      <c r="V101" t="str">
        <f>_xlfn.XLOOKUP(A101,A100:A699,[1]Sheet3!AC428:AC1027)</f>
        <v>Delivered</v>
      </c>
      <c r="W101" s="5">
        <f>_xlfn.XLOOKUP(A101,A100:A699,[1]Sheet3!AE428:AE1027)</f>
        <v>9</v>
      </c>
    </row>
    <row r="102" spans="1:23" x14ac:dyDescent="0.35">
      <c r="A102" t="s">
        <v>466</v>
      </c>
      <c r="B102" s="1">
        <f>_xlfn.XLOOKUP(A102,A101:A700,[1]Sheet3!C133:C732)</f>
        <v>44135</v>
      </c>
      <c r="C102" t="str">
        <f>_xlfn.XLOOKUP(A102,A101:A700,[1]Sheet3!D133:D732)</f>
        <v>CUST71562</v>
      </c>
      <c r="D102" t="str">
        <f>_xlfn.XLOOKUP(A102,A101:A700,[1]Sheet3!E133:E732)</f>
        <v>Rahul Bhat</v>
      </c>
      <c r="E102" s="5">
        <f>_xlfn.XLOOKUP(A102,A101:A700,[1]Sheet3!G133:G732)</f>
        <v>35</v>
      </c>
      <c r="F102" t="str">
        <f>_xlfn.XLOOKUP('Retail Sales'!A134,'Retail Sales'!A133:A732,[1]Sheet3!H133:H732)</f>
        <v>Young Adult</v>
      </c>
      <c r="G102" t="str">
        <f>_xlfn.XLOOKUP(A102,A101:A700,[1]Sheet3!J133:J732)</f>
        <v>Female</v>
      </c>
      <c r="H102" t="str">
        <f>_xlfn.XLOOKUP(A102,A101:A700,[1]Sheet3!K133:K732)</f>
        <v>West</v>
      </c>
      <c r="I102" t="str">
        <f>_xlfn.XLOOKUP(A102,A101:A700,[1]Sheet3!L133:L732)</f>
        <v>Ahmedabad</v>
      </c>
      <c r="J102" t="str">
        <f>_xlfn.XLOOKUP(A102,A101:A700,[1]Sheet3!M133:M732)</f>
        <v>Electronics</v>
      </c>
      <c r="K102" t="str">
        <f>_xlfn.XLOOKUP('Retail Sales'!A134,'Retail Sales'!A133:A732,[1]Sheet3!N133:N732)</f>
        <v>Camera</v>
      </c>
      <c r="L102" s="5">
        <f>_xlfn.XLOOKUP(A102,A101:A700,[1]Sheet3!P133:P732)</f>
        <v>5</v>
      </c>
      <c r="M102" s="7">
        <f>_xlfn.XLOOKUP(A102,A101:A700,[1]Sheet3!Q133:Q732)</f>
        <v>49817.06</v>
      </c>
      <c r="N102" s="9">
        <f>_xlfn.XLOOKUP(A102,A101:A700,[1]Sheet3!S133:S732)</f>
        <v>0.28000000000000003</v>
      </c>
      <c r="O102" s="7">
        <f>_xlfn.XLOOKUP(A102,A101:A700,[1]Sheet3!T133:T732)</f>
        <v>167889.68</v>
      </c>
      <c r="P102" s="7">
        <f>_xlfn.XLOOKUP(A102,A101:A700,[1]Sheet3!U133:U732)</f>
        <v>16722.18</v>
      </c>
      <c r="Q102" s="11">
        <f>_xlfn.XLOOKUP(A102,A101:A700,[1]Sheet3!V133:V732)</f>
        <v>9.9602191153142949E-2</v>
      </c>
      <c r="R102" s="7">
        <f>_xlfn.XLOOKUP(A102,A101:A700,[1]Sheet3!W133:W732)</f>
        <v>42.95</v>
      </c>
      <c r="S102" t="str">
        <f>_xlfn.XLOOKUP(A102,A101:A700,[1]Sheet3!X133:X732)</f>
        <v>UPI</v>
      </c>
      <c r="T102" s="5">
        <f>_xlfn.XLOOKUP(A102,A101:A700,[1]Sheet3!Z133:Z732)</f>
        <v>3</v>
      </c>
      <c r="U102" t="b">
        <f>_xlfn.XLOOKUP(A102,A101:A700,[1]Sheet3!AA133:AA732)</f>
        <v>0</v>
      </c>
      <c r="V102" t="str">
        <f>_xlfn.XLOOKUP(A102,A101:A700,[1]Sheet3!AC133:AC732)</f>
        <v>Pending</v>
      </c>
      <c r="W102" s="5">
        <f>_xlfn.XLOOKUP(A102,A101:A700,[1]Sheet3!AE133:AE732)</f>
        <v>3</v>
      </c>
    </row>
    <row r="103" spans="1:23" x14ac:dyDescent="0.35">
      <c r="A103" t="s">
        <v>400</v>
      </c>
      <c r="B103" s="1">
        <f>_xlfn.XLOOKUP(A103,A102:A701,[1]Sheet3!C199:C798)</f>
        <v>44144</v>
      </c>
      <c r="C103" t="str">
        <f>_xlfn.XLOOKUP(A103,A102:A701,[1]Sheet3!D199:D798)</f>
        <v>CUST90563</v>
      </c>
      <c r="D103" t="str">
        <f>_xlfn.XLOOKUP(A103,A102:A701,[1]Sheet3!E199:E798)</f>
        <v>Rahul Kumar</v>
      </c>
      <c r="E103" s="5">
        <f>_xlfn.XLOOKUP(A103,A102:A701,[1]Sheet3!G199:G798)</f>
        <v>31</v>
      </c>
      <c r="F103" t="str">
        <f>_xlfn.XLOOKUP('Retail Sales'!A200,'Retail Sales'!A199:A798,[1]Sheet3!H199:H798)</f>
        <v>Young Adult</v>
      </c>
      <c r="G103" t="str">
        <f>_xlfn.XLOOKUP(A103,A102:A701,[1]Sheet3!J199:J798)</f>
        <v>Male</v>
      </c>
      <c r="H103" t="str">
        <f>_xlfn.XLOOKUP(A103,A102:A701,[1]Sheet3!K199:K798)</f>
        <v>North</v>
      </c>
      <c r="I103" t="str">
        <f>_xlfn.XLOOKUP(A103,A102:A701,[1]Sheet3!L199:L798)</f>
        <v>Delhi</v>
      </c>
      <c r="J103" t="str">
        <f>_xlfn.XLOOKUP(A103,A102:A701,[1]Sheet3!M199:M798)</f>
        <v>Beauty</v>
      </c>
      <c r="K103" t="str">
        <f>_xlfn.XLOOKUP('Retail Sales'!A200,'Retail Sales'!A199:A798,[1]Sheet3!N199:N798)</f>
        <v>Hair Oil</v>
      </c>
      <c r="L103" s="5">
        <f>_xlfn.XLOOKUP(A103,A102:A701,[1]Sheet3!P199:P798)</f>
        <v>10</v>
      </c>
      <c r="M103" s="7">
        <f>_xlfn.XLOOKUP(A103,A102:A701,[1]Sheet3!Q199:Q798)</f>
        <v>1973.78</v>
      </c>
      <c r="N103" s="9">
        <f>_xlfn.XLOOKUP(A103,A102:A701,[1]Sheet3!S199:S798)</f>
        <v>7.0000000000000007E-2</v>
      </c>
      <c r="O103" s="7">
        <f>_xlfn.XLOOKUP(A103,A102:A701,[1]Sheet3!T199:T798)</f>
        <v>14584.96</v>
      </c>
      <c r="P103" s="7">
        <f>_xlfn.XLOOKUP(A103,A102:A701,[1]Sheet3!U199:U798)</f>
        <v>5325.39</v>
      </c>
      <c r="Q103" s="11">
        <f>_xlfn.XLOOKUP(A103,A102:A701,[1]Sheet3!V199:V798)</f>
        <v>0.365128872482338</v>
      </c>
      <c r="R103" s="7">
        <f>_xlfn.XLOOKUP(A103,A102:A701,[1]Sheet3!W199:W798)</f>
        <v>34.79</v>
      </c>
      <c r="S103" t="str">
        <f>_xlfn.XLOOKUP(A103,A102:A701,[1]Sheet3!X199:X798)</f>
        <v>Credit Card</v>
      </c>
      <c r="T103" s="5">
        <f>_xlfn.XLOOKUP(A103,A102:A701,[1]Sheet3!Z199:Z798)</f>
        <v>4</v>
      </c>
      <c r="U103" t="b">
        <f>_xlfn.XLOOKUP(A103,A102:A701,[1]Sheet3!AA199:AA798)</f>
        <v>0</v>
      </c>
      <c r="V103" t="str">
        <f>_xlfn.XLOOKUP(A103,A102:A701,[1]Sheet3!AC199:AC798)</f>
        <v>Delivered</v>
      </c>
      <c r="W103" s="5">
        <f>_xlfn.XLOOKUP(A103,A102:A701,[1]Sheet3!AE199:AE798)</f>
        <v>8</v>
      </c>
    </row>
    <row r="104" spans="1:23" x14ac:dyDescent="0.35">
      <c r="A104" t="s">
        <v>254</v>
      </c>
      <c r="B104" s="1">
        <f>_xlfn.XLOOKUP(A104,A103:A702,[1]Sheet3!C345:C944)</f>
        <v>44148</v>
      </c>
      <c r="C104" t="str">
        <f>_xlfn.XLOOKUP(A104,A103:A702,[1]Sheet3!D345:D944)</f>
        <v>CUST90688</v>
      </c>
      <c r="D104" t="str">
        <f>_xlfn.XLOOKUP(A104,A103:A702,[1]Sheet3!E345:E944)</f>
        <v>Priya Nair</v>
      </c>
      <c r="E104" s="5">
        <f>_xlfn.XLOOKUP(A104,A103:A702,[1]Sheet3!G345:G944)</f>
        <v>42</v>
      </c>
      <c r="F104" t="str">
        <f>_xlfn.XLOOKUP('Retail Sales'!A346,'Retail Sales'!A345:A944,[1]Sheet3!H345:H944)</f>
        <v>Adult</v>
      </c>
      <c r="G104" t="str">
        <f>_xlfn.XLOOKUP(A104,A103:A702,[1]Sheet3!J345:J944)</f>
        <v>Female</v>
      </c>
      <c r="H104" t="str">
        <f>_xlfn.XLOOKUP(A104,A103:A702,[1]Sheet3!K345:K944)</f>
        <v>East</v>
      </c>
      <c r="I104" t="str">
        <f>_xlfn.XLOOKUP(A104,A103:A702,[1]Sheet3!L345:L944)</f>
        <v>Patna</v>
      </c>
      <c r="J104" t="str">
        <f>_xlfn.XLOOKUP(A104,A103:A702,[1]Sheet3!M345:M944)</f>
        <v>Electronics</v>
      </c>
      <c r="K104" t="str">
        <f>_xlfn.XLOOKUP('Retail Sales'!A346,'Retail Sales'!A345:A944,[1]Sheet3!N345:N944)</f>
        <v>Tablet</v>
      </c>
      <c r="L104" s="5">
        <f>_xlfn.XLOOKUP(A104,A103:A702,[1]Sheet3!P345:P944)</f>
        <v>6</v>
      </c>
      <c r="M104" s="7">
        <f>_xlfn.XLOOKUP(A104,A103:A702,[1]Sheet3!Q345:Q944)</f>
        <v>50084.03</v>
      </c>
      <c r="N104" s="9">
        <f>_xlfn.XLOOKUP(A104,A103:A702,[1]Sheet3!S345:S944)</f>
        <v>0.17</v>
      </c>
      <c r="O104" s="7">
        <f>_xlfn.XLOOKUP(A104,A103:A702,[1]Sheet3!T345:T944)</f>
        <v>186628.87</v>
      </c>
      <c r="P104" s="7">
        <f>_xlfn.XLOOKUP(A104,A103:A702,[1]Sheet3!U345:U944)</f>
        <v>20981.15</v>
      </c>
      <c r="Q104" s="11">
        <f>_xlfn.XLOOKUP(A104,A103:A702,[1]Sheet3!V345:V944)</f>
        <v>0.11242178126031627</v>
      </c>
      <c r="R104" s="7">
        <f>_xlfn.XLOOKUP(A104,A103:A702,[1]Sheet3!W345:W944)</f>
        <v>94.58</v>
      </c>
      <c r="S104" t="str">
        <f>_xlfn.XLOOKUP(A104,A103:A702,[1]Sheet3!X345:X944)</f>
        <v>Debit Card</v>
      </c>
      <c r="T104" s="5">
        <f>_xlfn.XLOOKUP(A104,A103:A702,[1]Sheet3!Z345:Z944)</f>
        <v>4</v>
      </c>
      <c r="U104" t="b">
        <f>_xlfn.XLOOKUP(A104,A103:A702,[1]Sheet3!AA345:AA944)</f>
        <v>0</v>
      </c>
      <c r="V104" t="str">
        <f>_xlfn.XLOOKUP(A104,A103:A702,[1]Sheet3!AC345:AC944)</f>
        <v>Cancelled</v>
      </c>
      <c r="W104" s="5">
        <f>_xlfn.XLOOKUP(A104,A103:A702,[1]Sheet3!AE345:AE944)</f>
        <v>6</v>
      </c>
    </row>
    <row r="105" spans="1:23" x14ac:dyDescent="0.35">
      <c r="A105" t="s">
        <v>550</v>
      </c>
      <c r="B105" s="1">
        <f>_xlfn.XLOOKUP(A105,A104:A703,[1]Sheet3!C49:C648)</f>
        <v>44151</v>
      </c>
      <c r="C105" t="str">
        <f>_xlfn.XLOOKUP(A105,A104:A703,[1]Sheet3!D49:D648)</f>
        <v>CUST43806</v>
      </c>
      <c r="D105" t="str">
        <f>_xlfn.XLOOKUP(A105,A104:A703,[1]Sheet3!E49:E648)</f>
        <v>Nikhil Reddy</v>
      </c>
      <c r="E105" s="5">
        <f>_xlfn.XLOOKUP(A105,A104:A703,[1]Sheet3!G49:G648)</f>
        <v>36</v>
      </c>
      <c r="F105" t="str">
        <f>_xlfn.XLOOKUP('Retail Sales'!A50,'Retail Sales'!A49:A648,[1]Sheet3!H49:H648)</f>
        <v>Adult</v>
      </c>
      <c r="G105" t="str">
        <f>_xlfn.XLOOKUP(A105,A104:A703,[1]Sheet3!J49:J648)</f>
        <v>Female</v>
      </c>
      <c r="H105" t="str">
        <f>_xlfn.XLOOKUP(A105,A104:A703,[1]Sheet3!K49:K648)</f>
        <v>North</v>
      </c>
      <c r="I105" t="str">
        <f>_xlfn.XLOOKUP(A105,A104:A703,[1]Sheet3!L49:L648)</f>
        <v>Ludhiana</v>
      </c>
      <c r="J105" t="str">
        <f>_xlfn.XLOOKUP(A105,A104:A703,[1]Sheet3!M49:M648)</f>
        <v>Clothing</v>
      </c>
      <c r="K105" t="str">
        <f>_xlfn.XLOOKUP('Retail Sales'!A50,'Retail Sales'!A49:A648,[1]Sheet3!N49:N648)</f>
        <v>Jeans</v>
      </c>
      <c r="L105" s="5">
        <f>_xlfn.XLOOKUP(A105,A104:A703,[1]Sheet3!P49:P648)</f>
        <v>2</v>
      </c>
      <c r="M105" s="7">
        <f>_xlfn.XLOOKUP(A105,A104:A703,[1]Sheet3!Q49:Q648)</f>
        <v>1557.26</v>
      </c>
      <c r="N105" s="9">
        <f>_xlfn.XLOOKUP(A105,A104:A703,[1]Sheet3!S49:S648)</f>
        <v>0.13</v>
      </c>
      <c r="O105" s="7">
        <f>_xlfn.XLOOKUP(A105,A104:A703,[1]Sheet3!T49:T648)</f>
        <v>1859.03</v>
      </c>
      <c r="P105" s="7">
        <f>_xlfn.XLOOKUP(A105,A104:A703,[1]Sheet3!U49:U648)</f>
        <v>840.29</v>
      </c>
      <c r="Q105" s="11">
        <f>_xlfn.XLOOKUP(A105,A104:A703,[1]Sheet3!V49:V648)</f>
        <v>0.45200454000204404</v>
      </c>
      <c r="R105" s="7">
        <f>_xlfn.XLOOKUP(A105,A104:A703,[1]Sheet3!W49:W648)</f>
        <v>50.66</v>
      </c>
      <c r="S105" t="str">
        <f>_xlfn.XLOOKUP(A105,A104:A703,[1]Sheet3!X49:X648)</f>
        <v>EMI</v>
      </c>
      <c r="T105" s="5">
        <f>_xlfn.XLOOKUP(A105,A104:A703,[1]Sheet3!Z49:Z648)</f>
        <v>2</v>
      </c>
      <c r="U105" t="b">
        <f>_xlfn.XLOOKUP(A105,A104:A703,[1]Sheet3!AA49:AA648)</f>
        <v>0</v>
      </c>
      <c r="V105" t="str">
        <f>_xlfn.XLOOKUP(A105,A104:A703,[1]Sheet3!AC49:AC648)</f>
        <v>Delivered</v>
      </c>
      <c r="W105" s="5">
        <f>_xlfn.XLOOKUP(A105,A104:A703,[1]Sheet3!AE49:AE648)</f>
        <v>10</v>
      </c>
    </row>
    <row r="106" spans="1:23" x14ac:dyDescent="0.35">
      <c r="A106" t="s">
        <v>425</v>
      </c>
      <c r="B106" s="1">
        <f>_xlfn.XLOOKUP(A106,A105:A704,[1]Sheet3!C174:C773)</f>
        <v>44154</v>
      </c>
      <c r="C106" t="str">
        <f>_xlfn.XLOOKUP(A106,A105:A704,[1]Sheet3!D174:D773)</f>
        <v>CUST57843</v>
      </c>
      <c r="D106" t="str">
        <f>_xlfn.XLOOKUP(A106,A105:A704,[1]Sheet3!E174:E773)</f>
        <v>Meera Nair</v>
      </c>
      <c r="E106" s="5">
        <f>_xlfn.XLOOKUP(A106,A105:A704,[1]Sheet3!G174:G773)</f>
        <v>51</v>
      </c>
      <c r="F106" t="str">
        <f>_xlfn.XLOOKUP('Retail Sales'!A175,'Retail Sales'!A174:A773,[1]Sheet3!H174:H773)</f>
        <v>Senior</v>
      </c>
      <c r="G106" t="str">
        <f>_xlfn.XLOOKUP(A106,A105:A704,[1]Sheet3!J174:J773)</f>
        <v>Female</v>
      </c>
      <c r="H106" t="str">
        <f>_xlfn.XLOOKUP(A106,A105:A704,[1]Sheet3!K174:K773)</f>
        <v>East</v>
      </c>
      <c r="I106" t="str">
        <f>_xlfn.XLOOKUP(A106,A105:A704,[1]Sheet3!L174:L773)</f>
        <v>Bhubaneswar</v>
      </c>
      <c r="J106" t="str">
        <f>_xlfn.XLOOKUP(A106,A105:A704,[1]Sheet3!M174:M773)</f>
        <v>Books</v>
      </c>
      <c r="K106" t="str">
        <f>_xlfn.XLOOKUP('Retail Sales'!A175,'Retail Sales'!A174:A773,[1]Sheet3!N174:N773)</f>
        <v>Fiction Novel</v>
      </c>
      <c r="L106" s="5">
        <f>_xlfn.XLOOKUP(A106,A105:A704,[1]Sheet3!P174:P773)</f>
        <v>10</v>
      </c>
      <c r="M106" s="7">
        <f>_xlfn.XLOOKUP(A106,A105:A704,[1]Sheet3!Q174:Q773)</f>
        <v>331.1</v>
      </c>
      <c r="N106" s="9">
        <f>_xlfn.XLOOKUP(A106,A105:A704,[1]Sheet3!S174:S773)</f>
        <v>0.39</v>
      </c>
      <c r="O106" s="7">
        <f>_xlfn.XLOOKUP(A106,A105:A704,[1]Sheet3!T174:T773)</f>
        <v>1477.96</v>
      </c>
      <c r="P106" s="7">
        <f>_xlfn.XLOOKUP(A106,A105:A704,[1]Sheet3!U174:U773)</f>
        <v>435.14</v>
      </c>
      <c r="Q106" s="11">
        <f>_xlfn.XLOOKUP(A106,A105:A704,[1]Sheet3!V174:V773)</f>
        <v>0.29441933475872145</v>
      </c>
      <c r="R106" s="7">
        <f>_xlfn.XLOOKUP(A106,A105:A704,[1]Sheet3!W174:W773)</f>
        <v>84.94</v>
      </c>
      <c r="S106" t="str">
        <f>_xlfn.XLOOKUP(A106,A105:A704,[1]Sheet3!X174:X773)</f>
        <v>Cash on Delivery</v>
      </c>
      <c r="T106" s="5">
        <f>_xlfn.XLOOKUP(A106,A105:A704,[1]Sheet3!Z174:Z773)</f>
        <v>5</v>
      </c>
      <c r="U106" t="b">
        <f>_xlfn.XLOOKUP(A106,A105:A704,[1]Sheet3!AA174:AA773)</f>
        <v>0</v>
      </c>
      <c r="V106" t="str">
        <f>_xlfn.XLOOKUP(A106,A105:A704,[1]Sheet3!AC174:AC773)</f>
        <v>Delivered</v>
      </c>
      <c r="W106" s="5">
        <f>_xlfn.XLOOKUP(A106,A105:A704,[1]Sheet3!AE174:AE773)</f>
        <v>7</v>
      </c>
    </row>
    <row r="107" spans="1:23" x14ac:dyDescent="0.35">
      <c r="A107" t="s">
        <v>327</v>
      </c>
      <c r="B107" s="1">
        <f>_xlfn.XLOOKUP(A107,A106:A705,[1]Sheet3!C272:C871)</f>
        <v>44157</v>
      </c>
      <c r="C107" t="str">
        <f>_xlfn.XLOOKUP(A107,A106:A705,[1]Sheet3!D272:D871)</f>
        <v>CUST97013</v>
      </c>
      <c r="D107" t="str">
        <f>_xlfn.XLOOKUP(A107,A106:A705,[1]Sheet3!E272:E871)</f>
        <v>Rahul Verma</v>
      </c>
      <c r="E107" s="5">
        <f>_xlfn.XLOOKUP(A107,A106:A705,[1]Sheet3!G272:G871)</f>
        <v>48</v>
      </c>
      <c r="F107" t="str">
        <f>_xlfn.XLOOKUP('Retail Sales'!A273,'Retail Sales'!A272:A871,[1]Sheet3!H272:H871)</f>
        <v>Adult</v>
      </c>
      <c r="G107" t="str">
        <f>_xlfn.XLOOKUP(A107,A106:A705,[1]Sheet3!J272:J871)</f>
        <v>Other</v>
      </c>
      <c r="H107" t="str">
        <f>_xlfn.XLOOKUP(A107,A106:A705,[1]Sheet3!K272:K871)</f>
        <v>Central</v>
      </c>
      <c r="I107" t="str">
        <f>_xlfn.XLOOKUP(A107,A106:A705,[1]Sheet3!L272:L871)</f>
        <v>Raipur</v>
      </c>
      <c r="J107" t="str">
        <f>_xlfn.XLOOKUP(A107,A106:A705,[1]Sheet3!M272:M871)</f>
        <v>Groceries</v>
      </c>
      <c r="K107" t="str">
        <f>_xlfn.XLOOKUP('Retail Sales'!A273,'Retail Sales'!A272:A871,[1]Sheet3!N272:N871)</f>
        <v>Cooking Oil</v>
      </c>
      <c r="L107" s="5">
        <f>_xlfn.XLOOKUP(A107,A106:A705,[1]Sheet3!P272:P871)</f>
        <v>9</v>
      </c>
      <c r="M107" s="7">
        <f>_xlfn.XLOOKUP(A107,A106:A705,[1]Sheet3!Q272:Q871)</f>
        <v>407.45</v>
      </c>
      <c r="N107" s="9">
        <f>_xlfn.XLOOKUP(A107,A106:A705,[1]Sheet3!S272:S871)</f>
        <v>0.36</v>
      </c>
      <c r="O107" s="7">
        <f>_xlfn.XLOOKUP(A107,A106:A705,[1]Sheet3!T272:T871)</f>
        <v>1769.53</v>
      </c>
      <c r="P107" s="7">
        <f>_xlfn.XLOOKUP(A107,A106:A705,[1]Sheet3!U272:U871)</f>
        <v>149.16</v>
      </c>
      <c r="Q107" s="11">
        <f>_xlfn.XLOOKUP(A107,A106:A705,[1]Sheet3!V272:V871)</f>
        <v>8.4293569478901181E-2</v>
      </c>
      <c r="R107" s="7">
        <f>_xlfn.XLOOKUP(A107,A106:A705,[1]Sheet3!W272:W871)</f>
        <v>50.13</v>
      </c>
      <c r="S107" t="str">
        <f>_xlfn.XLOOKUP(A107,A106:A705,[1]Sheet3!X272:X871)</f>
        <v>Net Banking</v>
      </c>
      <c r="T107" s="5">
        <f>_xlfn.XLOOKUP(A107,A106:A705,[1]Sheet3!Z272:Z871)</f>
        <v>1</v>
      </c>
      <c r="U107" t="b">
        <f>_xlfn.XLOOKUP(A107,A106:A705,[1]Sheet3!AA272:AA871)</f>
        <v>1</v>
      </c>
      <c r="V107" t="str">
        <f>_xlfn.XLOOKUP(A107,A106:A705,[1]Sheet3!AC272:AC871)</f>
        <v>Returned</v>
      </c>
      <c r="W107" s="5">
        <f>_xlfn.XLOOKUP(A107,A106:A705,[1]Sheet3!AE272:AE871)</f>
        <v>8</v>
      </c>
    </row>
    <row r="108" spans="1:23" x14ac:dyDescent="0.35">
      <c r="A108" t="s">
        <v>278</v>
      </c>
      <c r="B108" s="1">
        <f>_xlfn.XLOOKUP(A108,A107:A706,[1]Sheet3!C321:C920)</f>
        <v>44164</v>
      </c>
      <c r="C108" t="str">
        <f>_xlfn.XLOOKUP(A108,A107:A706,[1]Sheet3!D321:D920)</f>
        <v>CUST39869</v>
      </c>
      <c r="D108" t="str">
        <f>_xlfn.XLOOKUP(A108,A107:A706,[1]Sheet3!E321:E920)</f>
        <v>Ritu Mishra</v>
      </c>
      <c r="E108" s="5">
        <f>_xlfn.XLOOKUP(A108,A107:A706,[1]Sheet3!G321:G920)</f>
        <v>29</v>
      </c>
      <c r="F108" t="str">
        <f>_xlfn.XLOOKUP('Retail Sales'!A322,'Retail Sales'!A321:A920,[1]Sheet3!H321:H920)</f>
        <v>Young Adult</v>
      </c>
      <c r="G108" t="str">
        <f>_xlfn.XLOOKUP(A108,A107:A706,[1]Sheet3!J321:J920)</f>
        <v>Female</v>
      </c>
      <c r="H108" t="str">
        <f>_xlfn.XLOOKUP(A108,A107:A706,[1]Sheet3!K321:K920)</f>
        <v>West</v>
      </c>
      <c r="I108" t="str">
        <f>_xlfn.XLOOKUP(A108,A107:A706,[1]Sheet3!L321:L920)</f>
        <v>Mumbai</v>
      </c>
      <c r="J108" t="str">
        <f>_xlfn.XLOOKUP(A108,A107:A706,[1]Sheet3!M321:M920)</f>
        <v>Electronics</v>
      </c>
      <c r="K108" t="str">
        <f>_xlfn.XLOOKUP('Retail Sales'!A322,'Retail Sales'!A321:A920,[1]Sheet3!N321:N920)</f>
        <v>Smartwatch</v>
      </c>
      <c r="L108" s="5">
        <f>_xlfn.XLOOKUP(A108,A107:A706,[1]Sheet3!P321:P920)</f>
        <v>4</v>
      </c>
      <c r="M108" s="7">
        <f>_xlfn.XLOOKUP(A108,A107:A706,[1]Sheet3!Q321:Q920)</f>
        <v>7981.68</v>
      </c>
      <c r="N108" s="9">
        <f>_xlfn.XLOOKUP(A108,A107:A706,[1]Sheet3!S321:S920)</f>
        <v>0.38</v>
      </c>
      <c r="O108" s="7">
        <f>_xlfn.XLOOKUP(A108,A107:A706,[1]Sheet3!T321:T920)</f>
        <v>12800.24</v>
      </c>
      <c r="P108" s="7">
        <f>_xlfn.XLOOKUP(A108,A107:A706,[1]Sheet3!U321:U920)</f>
        <v>1753.15</v>
      </c>
      <c r="Q108" s="11">
        <f>_xlfn.XLOOKUP(A108,A107:A706,[1]Sheet3!V321:V920)</f>
        <v>0.13696227570733049</v>
      </c>
      <c r="R108" s="7">
        <f>_xlfn.XLOOKUP(A108,A107:A706,[1]Sheet3!W321:W920)</f>
        <v>40.049999999999997</v>
      </c>
      <c r="S108" t="str">
        <f>_xlfn.XLOOKUP(A108,A107:A706,[1]Sheet3!X321:X920)</f>
        <v>Debit Card</v>
      </c>
      <c r="T108" s="5">
        <f>_xlfn.XLOOKUP(A108,A107:A706,[1]Sheet3!Z321:Z920)</f>
        <v>4</v>
      </c>
      <c r="U108" t="b">
        <f>_xlfn.XLOOKUP(A108,A107:A706,[1]Sheet3!AA321:AA920)</f>
        <v>0</v>
      </c>
      <c r="V108" t="str">
        <f>_xlfn.XLOOKUP(A108,A107:A706,[1]Sheet3!AC321:AC920)</f>
        <v>Delivered</v>
      </c>
      <c r="W108" s="5">
        <f>_xlfn.XLOOKUP(A108,A107:A706,[1]Sheet3!AE321:AE920)</f>
        <v>5</v>
      </c>
    </row>
    <row r="109" spans="1:23" x14ac:dyDescent="0.35">
      <c r="A109" t="s">
        <v>504</v>
      </c>
      <c r="B109" s="1">
        <f>_xlfn.XLOOKUP(A109,A108:A707,[1]Sheet3!C95:C694)</f>
        <v>44165</v>
      </c>
      <c r="C109" t="str">
        <f>_xlfn.XLOOKUP(A109,A108:A707,[1]Sheet3!D95:D694)</f>
        <v>CUST88249</v>
      </c>
      <c r="D109" t="str">
        <f>_xlfn.XLOOKUP(A109,A108:A707,[1]Sheet3!E95:E694)</f>
        <v>Karan Das</v>
      </c>
      <c r="E109" s="5">
        <f>_xlfn.XLOOKUP(A109,A108:A707,[1]Sheet3!G95:G694)</f>
        <v>33</v>
      </c>
      <c r="F109" t="str">
        <f>_xlfn.XLOOKUP('Retail Sales'!A96,'Retail Sales'!A95:A694,[1]Sheet3!H95:H694)</f>
        <v>Young Adult</v>
      </c>
      <c r="G109" t="str">
        <f>_xlfn.XLOOKUP(A109,A108:A707,[1]Sheet3!J95:J694)</f>
        <v>Female</v>
      </c>
      <c r="H109" t="str">
        <f>_xlfn.XLOOKUP(A109,A108:A707,[1]Sheet3!K95:K694)</f>
        <v>West</v>
      </c>
      <c r="I109" t="str">
        <f>_xlfn.XLOOKUP(A109,A108:A707,[1]Sheet3!L95:L694)</f>
        <v>Surat</v>
      </c>
      <c r="J109" t="str">
        <f>_xlfn.XLOOKUP(A109,A108:A707,[1]Sheet3!M95:M694)</f>
        <v>Books</v>
      </c>
      <c r="K109" t="str">
        <f>_xlfn.XLOOKUP('Retail Sales'!A96,'Retail Sales'!A95:A694,[1]Sheet3!N95:N694)</f>
        <v>Cook Book</v>
      </c>
      <c r="L109" s="5">
        <f>_xlfn.XLOOKUP(A109,A108:A707,[1]Sheet3!P95:P694)</f>
        <v>8</v>
      </c>
      <c r="M109" s="7">
        <f>_xlfn.XLOOKUP(A109,A108:A707,[1]Sheet3!Q95:Q694)</f>
        <v>707.31</v>
      </c>
      <c r="N109" s="9">
        <f>_xlfn.XLOOKUP(A109,A108:A707,[1]Sheet3!S95:S694)</f>
        <v>0.15</v>
      </c>
      <c r="O109" s="7">
        <f>_xlfn.XLOOKUP(A109,A108:A707,[1]Sheet3!T95:T694)</f>
        <v>3730.16</v>
      </c>
      <c r="P109" s="7">
        <f>_xlfn.XLOOKUP(A109,A108:A707,[1]Sheet3!U95:U694)</f>
        <v>1635.73</v>
      </c>
      <c r="Q109" s="11">
        <f>_xlfn.XLOOKUP(A109,A108:A707,[1]Sheet3!V95:V694)</f>
        <v>0.43851470178222918</v>
      </c>
      <c r="R109" s="7">
        <f>_xlfn.XLOOKUP(A109,A108:A707,[1]Sheet3!W95:W694)</f>
        <v>65.92</v>
      </c>
      <c r="S109" t="str">
        <f>_xlfn.XLOOKUP(A109,A108:A707,[1]Sheet3!X95:X694)</f>
        <v>Net Banking</v>
      </c>
      <c r="T109" s="5">
        <f>_xlfn.XLOOKUP(A109,A108:A707,[1]Sheet3!Z95:Z694)</f>
        <v>4</v>
      </c>
      <c r="U109" t="b">
        <f>_xlfn.XLOOKUP(A109,A108:A707,[1]Sheet3!AA95:AA694)</f>
        <v>0</v>
      </c>
      <c r="V109" t="str">
        <f>_xlfn.XLOOKUP(A109,A108:A707,[1]Sheet3!AC95:AC694)</f>
        <v>Delivered</v>
      </c>
      <c r="W109" s="5">
        <f>_xlfn.XLOOKUP(A109,A108:A707,[1]Sheet3!AE95:AE694)</f>
        <v>9</v>
      </c>
    </row>
    <row r="110" spans="1:23" x14ac:dyDescent="0.35">
      <c r="A110" t="s">
        <v>115</v>
      </c>
      <c r="B110" s="1">
        <f>_xlfn.XLOOKUP(A110,A109:A708,[1]Sheet3!C484:C1083)</f>
        <v>44166</v>
      </c>
      <c r="C110" t="str">
        <f>_xlfn.XLOOKUP(A110,A109:A708,[1]Sheet3!D484:D1083)</f>
        <v>CUST76439</v>
      </c>
      <c r="D110" t="str">
        <f>_xlfn.XLOOKUP(A110,A109:A708,[1]Sheet3!E484:E1083)</f>
        <v>Aarav Mishra</v>
      </c>
      <c r="E110" s="5">
        <f>_xlfn.XLOOKUP(A110,A109:A708,[1]Sheet3!G484:G1083)</f>
        <v>25</v>
      </c>
      <c r="F110" t="str">
        <f>_xlfn.XLOOKUP('Retail Sales'!A485,'Retail Sales'!A484:A1083,[1]Sheet3!H484:H1083)</f>
        <v>Young Adult</v>
      </c>
      <c r="G110" t="str">
        <f>_xlfn.XLOOKUP(A110,A109:A708,[1]Sheet3!J484:J1083)</f>
        <v>Other</v>
      </c>
      <c r="H110" t="str">
        <f>_xlfn.XLOOKUP(A110,A109:A708,[1]Sheet3!K484:K1083)</f>
        <v>Central</v>
      </c>
      <c r="I110" t="str">
        <f>_xlfn.XLOOKUP(A110,A109:A708,[1]Sheet3!L484:L1083)</f>
        <v>Indore</v>
      </c>
      <c r="J110" t="str">
        <f>_xlfn.XLOOKUP(A110,A109:A708,[1]Sheet3!M484:M1083)</f>
        <v>Clothing</v>
      </c>
      <c r="K110" t="str">
        <f>_xlfn.XLOOKUP('Retail Sales'!A485,'Retail Sales'!A484:A1083,[1]Sheet3!N484:N1083)</f>
        <v>Dress</v>
      </c>
      <c r="L110" s="5">
        <f>_xlfn.XLOOKUP(A110,A109:A708,[1]Sheet3!P484:P1083)</f>
        <v>2</v>
      </c>
      <c r="M110" s="7">
        <f>_xlfn.XLOOKUP(A110,A109:A708,[1]Sheet3!Q484:Q1083)</f>
        <v>3263.53</v>
      </c>
      <c r="N110" s="9">
        <f>_xlfn.XLOOKUP(A110,A109:A708,[1]Sheet3!S484:S1083)</f>
        <v>0.28000000000000003</v>
      </c>
      <c r="O110" s="7">
        <f>_xlfn.XLOOKUP(A110,A109:A708,[1]Sheet3!T484:T1083)</f>
        <v>3766.06</v>
      </c>
      <c r="P110" s="7">
        <f>_xlfn.XLOOKUP(A110,A109:A708,[1]Sheet3!U484:U1083)</f>
        <v>1284.73</v>
      </c>
      <c r="Q110" s="11">
        <f>_xlfn.XLOOKUP(A110,A109:A708,[1]Sheet3!V484:V1083)</f>
        <v>0.3411337047205833</v>
      </c>
      <c r="R110" s="7">
        <f>_xlfn.XLOOKUP(A110,A109:A708,[1]Sheet3!W484:W1083)</f>
        <v>57.51</v>
      </c>
      <c r="S110" t="str">
        <f>_xlfn.XLOOKUP(A110,A109:A708,[1]Sheet3!X484:X1083)</f>
        <v>Net Banking</v>
      </c>
      <c r="T110" s="5">
        <f>_xlfn.XLOOKUP(A110,A109:A708,[1]Sheet3!Z484:Z1083)</f>
        <v>2</v>
      </c>
      <c r="U110" t="b">
        <f>_xlfn.XLOOKUP(A110,A109:A708,[1]Sheet3!AA484:AA1083)</f>
        <v>0</v>
      </c>
      <c r="V110" t="str">
        <f>_xlfn.XLOOKUP(A110,A109:A708,[1]Sheet3!AC484:AC1083)</f>
        <v>Delivered</v>
      </c>
      <c r="W110" s="5">
        <f>_xlfn.XLOOKUP(A110,A109:A708,[1]Sheet3!AE484:AE1083)</f>
        <v>10</v>
      </c>
    </row>
    <row r="111" spans="1:23" x14ac:dyDescent="0.35">
      <c r="A111" t="s">
        <v>73</v>
      </c>
      <c r="B111" s="1">
        <f>_xlfn.XLOOKUP(A111,A110:A709,[1]Sheet3!C526:C1125)</f>
        <v>44167</v>
      </c>
      <c r="C111" t="str">
        <f>_xlfn.XLOOKUP(A111,A110:A709,[1]Sheet3!D526:D1125)</f>
        <v>CUST84086</v>
      </c>
      <c r="D111" t="str">
        <f>_xlfn.XLOOKUP(A111,A110:A709,[1]Sheet3!E526:E1125)</f>
        <v>Priya Singh</v>
      </c>
      <c r="E111" s="5">
        <f>_xlfn.XLOOKUP(A111,A110:A709,[1]Sheet3!G526:G1125)</f>
        <v>21</v>
      </c>
      <c r="F111" t="str">
        <f>_xlfn.XLOOKUP('Retail Sales'!A527,'Retail Sales'!A526:A1125,[1]Sheet3!H526:H1125)</f>
        <v>Young Adult</v>
      </c>
      <c r="G111" t="str">
        <f>_xlfn.XLOOKUP(A111,A110:A709,[1]Sheet3!J526:J1125)</f>
        <v>Male</v>
      </c>
      <c r="H111" t="str">
        <f>_xlfn.XLOOKUP(A111,A110:A709,[1]Sheet3!K526:K1125)</f>
        <v>North</v>
      </c>
      <c r="I111" t="str">
        <f>_xlfn.XLOOKUP(A111,A110:A709,[1]Sheet3!L526:L1125)</f>
        <v>Amritsar</v>
      </c>
      <c r="J111" t="str">
        <f>_xlfn.XLOOKUP(A111,A110:A709,[1]Sheet3!M526:M1125)</f>
        <v>Groceries</v>
      </c>
      <c r="K111" t="str">
        <f>_xlfn.XLOOKUP('Retail Sales'!A527,'Retail Sales'!A526:A1125,[1]Sheet3!N526:N1125)</f>
        <v>Tea</v>
      </c>
      <c r="L111" s="5">
        <f>_xlfn.XLOOKUP(A111,A110:A709,[1]Sheet3!P526:P1125)</f>
        <v>9</v>
      </c>
      <c r="M111" s="7">
        <f>_xlfn.XLOOKUP(A111,A110:A709,[1]Sheet3!Q526:Q1125)</f>
        <v>335.03</v>
      </c>
      <c r="N111" s="9">
        <f>_xlfn.XLOOKUP(A111,A110:A709,[1]Sheet3!S526:S1125)</f>
        <v>0.34</v>
      </c>
      <c r="O111" s="7">
        <f>_xlfn.XLOOKUP(A111,A110:A709,[1]Sheet3!T526:T1125)</f>
        <v>1431.69</v>
      </c>
      <c r="P111" s="7">
        <f>_xlfn.XLOOKUP(A111,A110:A709,[1]Sheet3!U526:U1125)</f>
        <v>93.14</v>
      </c>
      <c r="Q111" s="11">
        <f>_xlfn.XLOOKUP(A111,A110:A709,[1]Sheet3!V526:V1125)</f>
        <v>6.5055982789570366E-2</v>
      </c>
      <c r="R111" s="7">
        <f>_xlfn.XLOOKUP(A111,A110:A709,[1]Sheet3!W526:W1125)</f>
        <v>59.48</v>
      </c>
      <c r="S111" t="str">
        <f>_xlfn.XLOOKUP(A111,A110:A709,[1]Sheet3!X526:X1125)</f>
        <v>Net Banking</v>
      </c>
      <c r="T111" s="5">
        <f>_xlfn.XLOOKUP(A111,A110:A709,[1]Sheet3!Z526:Z1125)</f>
        <v>4</v>
      </c>
      <c r="U111" t="b">
        <f>_xlfn.XLOOKUP(A111,A110:A709,[1]Sheet3!AA526:AA1125)</f>
        <v>1</v>
      </c>
      <c r="V111" t="str">
        <f>_xlfn.XLOOKUP(A111,A110:A709,[1]Sheet3!AC526:AC1125)</f>
        <v>Returned</v>
      </c>
      <c r="W111" s="5">
        <f>_xlfn.XLOOKUP(A111,A110:A709,[1]Sheet3!AE526:AE1125)</f>
        <v>1</v>
      </c>
    </row>
    <row r="112" spans="1:23" x14ac:dyDescent="0.35">
      <c r="A112" t="s">
        <v>38</v>
      </c>
      <c r="B112" s="1">
        <f>_xlfn.XLOOKUP(A112,A111:A710,[1]Sheet3!C561:C1160)</f>
        <v>44168</v>
      </c>
      <c r="C112" t="str">
        <f>_xlfn.XLOOKUP(A112,A111:A710,[1]Sheet3!D561:D1160)</f>
        <v>CUST42571</v>
      </c>
      <c r="D112" t="str">
        <f>_xlfn.XLOOKUP(A112,A111:A710,[1]Sheet3!E561:E1160)</f>
        <v>Meera Kumar</v>
      </c>
      <c r="E112" s="5">
        <f>_xlfn.XLOOKUP(A112,A111:A710,[1]Sheet3!G561:G1160)</f>
        <v>39</v>
      </c>
      <c r="F112" t="str">
        <f>_xlfn.XLOOKUP('Retail Sales'!A562,'Retail Sales'!A561:A1160,[1]Sheet3!H561:H1160)</f>
        <v>Adult</v>
      </c>
      <c r="G112" t="str">
        <f>_xlfn.XLOOKUP(A112,A111:A710,[1]Sheet3!J561:J1160)</f>
        <v>Male</v>
      </c>
      <c r="H112" t="str">
        <f>_xlfn.XLOOKUP(A112,A111:A710,[1]Sheet3!K561:K1160)</f>
        <v>West</v>
      </c>
      <c r="I112" t="str">
        <f>_xlfn.XLOOKUP(A112,A111:A710,[1]Sheet3!L561:L1160)</f>
        <v>Pune</v>
      </c>
      <c r="J112" t="str">
        <f>_xlfn.XLOOKUP(A112,A111:A710,[1]Sheet3!M561:M1160)</f>
        <v>Books</v>
      </c>
      <c r="K112" t="str">
        <f>_xlfn.XLOOKUP('Retail Sales'!A562,'Retail Sales'!A561:A1160,[1]Sheet3!N561:N1160)</f>
        <v>Comic Book</v>
      </c>
      <c r="L112" s="5">
        <f>_xlfn.XLOOKUP(A112,A111:A710,[1]Sheet3!P561:P1160)</f>
        <v>2</v>
      </c>
      <c r="M112" s="7">
        <f>_xlfn.XLOOKUP(A112,A111:A710,[1]Sheet3!Q561:Q1160)</f>
        <v>1291.54</v>
      </c>
      <c r="N112" s="9">
        <f>_xlfn.XLOOKUP(A112,A111:A710,[1]Sheet3!S561:S1160)</f>
        <v>0.28999999999999998</v>
      </c>
      <c r="O112" s="7">
        <f>_xlfn.XLOOKUP(A112,A111:A710,[1]Sheet3!T561:T1160)</f>
        <v>1186.6300000000001</v>
      </c>
      <c r="P112" s="7">
        <f>_xlfn.XLOOKUP(A112,A111:A710,[1]Sheet3!U561:U1160)</f>
        <v>359.86</v>
      </c>
      <c r="Q112" s="11">
        <f>_xlfn.XLOOKUP(A112,A111:A710,[1]Sheet3!V561:V1160)</f>
        <v>0.30326217944936501</v>
      </c>
      <c r="R112" s="7">
        <f>_xlfn.XLOOKUP(A112,A111:A710,[1]Sheet3!W561:W1160)</f>
        <v>74.760000000000005</v>
      </c>
      <c r="S112" t="str">
        <f>_xlfn.XLOOKUP(A112,A111:A710,[1]Sheet3!X561:X1160)</f>
        <v>EMI</v>
      </c>
      <c r="T112" s="5">
        <f>_xlfn.XLOOKUP(A112,A111:A710,[1]Sheet3!Z561:Z1160)</f>
        <v>3</v>
      </c>
      <c r="U112" t="b">
        <f>_xlfn.XLOOKUP(A112,A111:A710,[1]Sheet3!AA561:AA1160)</f>
        <v>0</v>
      </c>
      <c r="V112" t="str">
        <f>_xlfn.XLOOKUP(A112,A111:A710,[1]Sheet3!AC561:AC1160)</f>
        <v>Delivered</v>
      </c>
      <c r="W112" s="5">
        <f>_xlfn.XLOOKUP(A112,A111:A710,[1]Sheet3!AE561:AE1160)</f>
        <v>4</v>
      </c>
    </row>
    <row r="113" spans="1:23" x14ac:dyDescent="0.35">
      <c r="A113" t="s">
        <v>389</v>
      </c>
      <c r="B113" s="1">
        <f>_xlfn.XLOOKUP(A113,A112:A711,[1]Sheet3!C210:C809)</f>
        <v>44171</v>
      </c>
      <c r="C113" t="str">
        <f>_xlfn.XLOOKUP(A113,A112:A711,[1]Sheet3!D210:D809)</f>
        <v>CUST43010</v>
      </c>
      <c r="D113" t="str">
        <f>_xlfn.XLOOKUP(A113,A112:A711,[1]Sheet3!E210:E809)</f>
        <v>Priya Gupta</v>
      </c>
      <c r="E113" s="5">
        <f>_xlfn.XLOOKUP(A113,A112:A711,[1]Sheet3!G210:G809)</f>
        <v>33</v>
      </c>
      <c r="F113" t="str">
        <f>_xlfn.XLOOKUP('Retail Sales'!A211,'Retail Sales'!A210:A809,[1]Sheet3!H210:H809)</f>
        <v>Young Adult</v>
      </c>
      <c r="G113" t="str">
        <f>_xlfn.XLOOKUP(A113,A112:A711,[1]Sheet3!J210:J809)</f>
        <v>Other</v>
      </c>
      <c r="H113" t="str">
        <f>_xlfn.XLOOKUP(A113,A112:A711,[1]Sheet3!K210:K809)</f>
        <v>Central</v>
      </c>
      <c r="I113" t="str">
        <f>_xlfn.XLOOKUP(A113,A112:A711,[1]Sheet3!L210:L809)</f>
        <v>Nagpur</v>
      </c>
      <c r="J113" t="str">
        <f>_xlfn.XLOOKUP(A113,A112:A711,[1]Sheet3!M210:M809)</f>
        <v>Clothing</v>
      </c>
      <c r="K113" t="str">
        <f>_xlfn.XLOOKUP('Retail Sales'!A211,'Retail Sales'!A210:A809,[1]Sheet3!N210:N809)</f>
        <v>Dress</v>
      </c>
      <c r="L113" s="5">
        <f>_xlfn.XLOOKUP(A113,A112:A711,[1]Sheet3!P210:P809)</f>
        <v>8</v>
      </c>
      <c r="M113" s="7">
        <f>_xlfn.XLOOKUP(A113,A112:A711,[1]Sheet3!Q210:Q809)</f>
        <v>2574.11</v>
      </c>
      <c r="N113" s="9">
        <f>_xlfn.XLOOKUP(A113,A112:A711,[1]Sheet3!S210:S809)</f>
        <v>0.12</v>
      </c>
      <c r="O113" s="7">
        <f>_xlfn.XLOOKUP(A113,A112:A711,[1]Sheet3!T210:T809)</f>
        <v>12273.11</v>
      </c>
      <c r="P113" s="7">
        <f>_xlfn.XLOOKUP(A113,A112:A711,[1]Sheet3!U210:U809)</f>
        <v>5629.65</v>
      </c>
      <c r="Q113" s="11">
        <f>_xlfn.XLOOKUP(A113,A112:A711,[1]Sheet3!V210:V809)</f>
        <v>0.45869791764271645</v>
      </c>
      <c r="R113" s="7">
        <f>_xlfn.XLOOKUP(A113,A112:A711,[1]Sheet3!W210:W809)</f>
        <v>67.94</v>
      </c>
      <c r="S113" t="str">
        <f>_xlfn.XLOOKUP(A113,A112:A711,[1]Sheet3!X210:X809)</f>
        <v>Credit Card</v>
      </c>
      <c r="T113" s="5">
        <f>_xlfn.XLOOKUP(A113,A112:A711,[1]Sheet3!Z210:Z809)</f>
        <v>5</v>
      </c>
      <c r="U113" t="b">
        <f>_xlfn.XLOOKUP(A113,A112:A711,[1]Sheet3!AA210:AA809)</f>
        <v>1</v>
      </c>
      <c r="V113" t="str">
        <f>_xlfn.XLOOKUP(A113,A112:A711,[1]Sheet3!AC210:AC809)</f>
        <v>Returned</v>
      </c>
      <c r="W113" s="5">
        <f>_xlfn.XLOOKUP(A113,A112:A711,[1]Sheet3!AE210:AE809)</f>
        <v>10</v>
      </c>
    </row>
    <row r="114" spans="1:23" x14ac:dyDescent="0.35">
      <c r="A114" t="s">
        <v>358</v>
      </c>
      <c r="B114" s="1">
        <f>_xlfn.XLOOKUP(A114,A113:A712,[1]Sheet3!C241:C840)</f>
        <v>44172</v>
      </c>
      <c r="C114" t="str">
        <f>_xlfn.XLOOKUP(A114,A113:A712,[1]Sheet3!D241:D840)</f>
        <v>CUST41385</v>
      </c>
      <c r="D114" t="str">
        <f>_xlfn.XLOOKUP(A114,A113:A712,[1]Sheet3!E241:E840)</f>
        <v>Rohan Patel</v>
      </c>
      <c r="E114" s="5">
        <f>_xlfn.XLOOKUP(A114,A113:A712,[1]Sheet3!G241:G840)</f>
        <v>32</v>
      </c>
      <c r="F114" t="str">
        <f>_xlfn.XLOOKUP('Retail Sales'!A242,'Retail Sales'!A241:A840,[1]Sheet3!H241:H840)</f>
        <v>Young Adult</v>
      </c>
      <c r="G114" t="str">
        <f>_xlfn.XLOOKUP(A114,A113:A712,[1]Sheet3!J241:J840)</f>
        <v>Male</v>
      </c>
      <c r="H114" t="str">
        <f>_xlfn.XLOOKUP(A114,A113:A712,[1]Sheet3!K241:K840)</f>
        <v>North</v>
      </c>
      <c r="I114" t="str">
        <f>_xlfn.XLOOKUP(A114,A113:A712,[1]Sheet3!L241:L840)</f>
        <v>Amritsar</v>
      </c>
      <c r="J114" t="str">
        <f>_xlfn.XLOOKUP(A114,A113:A712,[1]Sheet3!M241:M840)</f>
        <v>Books</v>
      </c>
      <c r="K114" t="str">
        <f>_xlfn.XLOOKUP('Retail Sales'!A242,'Retail Sales'!A241:A840,[1]Sheet3!N241:N840)</f>
        <v>Cook Book</v>
      </c>
      <c r="L114" s="5">
        <f>_xlfn.XLOOKUP(A114,A113:A712,[1]Sheet3!P241:P840)</f>
        <v>999</v>
      </c>
      <c r="M114" s="7">
        <f>_xlfn.XLOOKUP(A114,A113:A712,[1]Sheet3!Q241:Q840)</f>
        <v>403.63</v>
      </c>
      <c r="N114" s="9">
        <f>_xlfn.XLOOKUP(A114,A113:A712,[1]Sheet3!S241:S840)</f>
        <v>0.15</v>
      </c>
      <c r="O114" s="7">
        <f>_xlfn.XLOOKUP(A114,A113:A712,[1]Sheet3!T241:T840)</f>
        <v>203951.5</v>
      </c>
      <c r="P114" s="7">
        <f>_xlfn.XLOOKUP(A114,A113:A712,[1]Sheet3!U241:U840)</f>
        <v>80603.27</v>
      </c>
      <c r="Q114" s="11">
        <f>_xlfn.XLOOKUP(A114,A113:A712,[1]Sheet3!V241:V840)</f>
        <v>0.39520802739867078</v>
      </c>
      <c r="R114" s="7">
        <f>_xlfn.XLOOKUP(A114,A113:A712,[1]Sheet3!W241:W840)</f>
        <v>48.7</v>
      </c>
      <c r="S114" t="str">
        <f>_xlfn.XLOOKUP(A114,A113:A712,[1]Sheet3!X241:X840)</f>
        <v>EMI</v>
      </c>
      <c r="T114" s="5">
        <f>_xlfn.XLOOKUP(A114,A113:A712,[1]Sheet3!Z241:Z840)</f>
        <v>5</v>
      </c>
      <c r="U114" t="b">
        <f>_xlfn.XLOOKUP(A114,A113:A712,[1]Sheet3!AA241:AA840)</f>
        <v>0</v>
      </c>
      <c r="V114" t="str">
        <f>_xlfn.XLOOKUP(A114,A113:A712,[1]Sheet3!AC241:AC840)</f>
        <v>Delivered</v>
      </c>
      <c r="W114" s="5">
        <f>_xlfn.XLOOKUP(A114,A113:A712,[1]Sheet3!AE241:AE840)</f>
        <v>1</v>
      </c>
    </row>
    <row r="115" spans="1:23" x14ac:dyDescent="0.35">
      <c r="A115" t="s">
        <v>347</v>
      </c>
      <c r="B115" s="1">
        <f>_xlfn.XLOOKUP(A115,A114:A713,[1]Sheet3!C252:C851)</f>
        <v>44172</v>
      </c>
      <c r="C115" t="str">
        <f>_xlfn.XLOOKUP(A115,A114:A713,[1]Sheet3!D252:D851)</f>
        <v>CUST76726</v>
      </c>
      <c r="D115" t="str">
        <f>_xlfn.XLOOKUP(A115,A114:A713,[1]Sheet3!E252:E851)</f>
        <v>Meera Rao</v>
      </c>
      <c r="E115" s="5">
        <f>_xlfn.XLOOKUP(A115,A114:A713,[1]Sheet3!G252:G851)</f>
        <v>26</v>
      </c>
      <c r="F115" t="str">
        <f>_xlfn.XLOOKUP('Retail Sales'!A253,'Retail Sales'!A252:A851,[1]Sheet3!H252:H851)</f>
        <v>Young Adult</v>
      </c>
      <c r="G115" t="str">
        <f>_xlfn.XLOOKUP(A115,A114:A713,[1]Sheet3!J252:J851)</f>
        <v>Male</v>
      </c>
      <c r="H115" t="str">
        <f>_xlfn.XLOOKUP(A115,A114:A713,[1]Sheet3!K252:K851)</f>
        <v>West</v>
      </c>
      <c r="I115" t="str">
        <f>_xlfn.XLOOKUP(A115,A114:A713,[1]Sheet3!L252:L851)</f>
        <v>Surat</v>
      </c>
      <c r="J115" t="str">
        <f>_xlfn.XLOOKUP(A115,A114:A713,[1]Sheet3!M252:M851)</f>
        <v>Sports</v>
      </c>
      <c r="K115" t="str">
        <f>_xlfn.XLOOKUP('Retail Sales'!A253,'Retail Sales'!A252:A851,[1]Sheet3!N252:N851)</f>
        <v>Tennis Racket</v>
      </c>
      <c r="L115" s="5">
        <f>_xlfn.XLOOKUP(A115,A114:A713,[1]Sheet3!P252:P851)</f>
        <v>8</v>
      </c>
      <c r="M115" s="7">
        <f>_xlfn.XLOOKUP(A115,A114:A713,[1]Sheet3!Q252:Q851)</f>
        <v>4670.6000000000004</v>
      </c>
      <c r="N115" s="9">
        <f>_xlfn.XLOOKUP(A115,A114:A713,[1]Sheet3!S252:S851)</f>
        <v>0.27</v>
      </c>
      <c r="O115" s="7">
        <f>_xlfn.XLOOKUP(A115,A114:A713,[1]Sheet3!T252:T851)</f>
        <v>19375.099999999999</v>
      </c>
      <c r="P115" s="7">
        <f>_xlfn.XLOOKUP(A115,A114:A713,[1]Sheet3!U252:U851)</f>
        <v>2879.15</v>
      </c>
      <c r="Q115" s="11">
        <f>_xlfn.XLOOKUP(A115,A114:A713,[1]Sheet3!V252:V851)</f>
        <v>0.14860052335213755</v>
      </c>
      <c r="R115" s="7">
        <f>_xlfn.XLOOKUP(A115,A114:A713,[1]Sheet3!W252:W851)</f>
        <v>51.67</v>
      </c>
      <c r="S115" t="str">
        <f>_xlfn.XLOOKUP(A115,A114:A713,[1]Sheet3!X252:X851)</f>
        <v>Credit Card</v>
      </c>
      <c r="T115" s="5">
        <f>_xlfn.XLOOKUP(A115,A114:A713,[1]Sheet3!Z252:Z851)</f>
        <v>4</v>
      </c>
      <c r="U115" t="b">
        <f>_xlfn.XLOOKUP(A115,A114:A713,[1]Sheet3!AA252:AA851)</f>
        <v>0</v>
      </c>
      <c r="V115" t="str">
        <f>_xlfn.XLOOKUP(A115,A114:A713,[1]Sheet3!AC252:AC851)</f>
        <v>Delivered</v>
      </c>
      <c r="W115" s="5">
        <f>_xlfn.XLOOKUP(A115,A114:A713,[1]Sheet3!AE252:AE851)</f>
        <v>4</v>
      </c>
    </row>
    <row r="116" spans="1:23" x14ac:dyDescent="0.35">
      <c r="A116" t="s">
        <v>554</v>
      </c>
      <c r="B116" s="1">
        <f>_xlfn.XLOOKUP(A116,A115:A714,[1]Sheet3!C45:C644)</f>
        <v>44174</v>
      </c>
      <c r="C116" t="str">
        <f>_xlfn.XLOOKUP(A116,A115:A714,[1]Sheet3!D45:D644)</f>
        <v>CUST29818</v>
      </c>
      <c r="D116" t="str">
        <f>_xlfn.XLOOKUP(A116,A115:A714,[1]Sheet3!E45:E644)</f>
        <v>Meera Gupta</v>
      </c>
      <c r="E116" s="5">
        <f>_xlfn.XLOOKUP(A116,A115:A714,[1]Sheet3!G45:G644)</f>
        <v>34.294220665499125</v>
      </c>
      <c r="F116" t="str">
        <f>_xlfn.XLOOKUP('Retail Sales'!A46,'Retail Sales'!A45:A644,[1]Sheet3!H45:H644)</f>
        <v>Young Adult</v>
      </c>
      <c r="G116" t="str">
        <f>_xlfn.XLOOKUP(A116,A115:A714,[1]Sheet3!J45:J644)</f>
        <v>Female</v>
      </c>
      <c r="H116" t="str">
        <f>_xlfn.XLOOKUP(A116,A115:A714,[1]Sheet3!K45:K644)</f>
        <v>South</v>
      </c>
      <c r="I116" t="str">
        <f>_xlfn.XLOOKUP(A116,A115:A714,[1]Sheet3!L45:L644)</f>
        <v>Kochi</v>
      </c>
      <c r="J116" t="str">
        <f>_xlfn.XLOOKUP(A116,A115:A714,[1]Sheet3!M45:M644)</f>
        <v>Furniture</v>
      </c>
      <c r="K116" t="str">
        <f>_xlfn.XLOOKUP('Retail Sales'!A46,'Retail Sales'!A45:A644,[1]Sheet3!N45:N644)</f>
        <v>Bookshelf</v>
      </c>
      <c r="L116" s="5">
        <f>_xlfn.XLOOKUP(A116,A115:A714,[1]Sheet3!P45:P644)</f>
        <v>4</v>
      </c>
      <c r="M116" s="7">
        <f>_xlfn.XLOOKUP(A116,A115:A714,[1]Sheet3!Q45:Q644)</f>
        <v>11267.5</v>
      </c>
      <c r="N116" s="9">
        <f>_xlfn.XLOOKUP(A116,A115:A714,[1]Sheet3!S45:S644)</f>
        <v>0.2</v>
      </c>
      <c r="O116" s="7">
        <f>_xlfn.XLOOKUP(A116,A115:A714,[1]Sheet3!T45:T644)</f>
        <v>24230.41</v>
      </c>
      <c r="P116" s="7">
        <f>_xlfn.XLOOKUP(A116,A115:A714,[1]Sheet3!U45:U644)</f>
        <v>7321.53</v>
      </c>
      <c r="Q116" s="11">
        <f>_xlfn.XLOOKUP(A116,A115:A714,[1]Sheet3!V45:V644)</f>
        <v>0.30216286063669578</v>
      </c>
      <c r="R116" s="7">
        <f>_xlfn.XLOOKUP(A116,A115:A714,[1]Sheet3!W45:W644)</f>
        <v>70.73</v>
      </c>
      <c r="S116" t="str">
        <f>_xlfn.XLOOKUP(A116,A115:A714,[1]Sheet3!X45:X644)</f>
        <v>UPI</v>
      </c>
      <c r="T116" s="5">
        <f>_xlfn.XLOOKUP(A116,A115:A714,[1]Sheet3!Z45:Z644)</f>
        <v>4</v>
      </c>
      <c r="U116" t="b">
        <f>_xlfn.XLOOKUP(A116,A115:A714,[1]Sheet3!AA45:AA644)</f>
        <v>0</v>
      </c>
      <c r="V116" t="str">
        <f>_xlfn.XLOOKUP(A116,A115:A714,[1]Sheet3!AC45:AC644)</f>
        <v>Delivered</v>
      </c>
      <c r="W116" s="5">
        <f>_xlfn.XLOOKUP(A116,A115:A714,[1]Sheet3!AE45:AE644)</f>
        <v>1</v>
      </c>
    </row>
    <row r="117" spans="1:23" x14ac:dyDescent="0.35">
      <c r="A117" t="s">
        <v>481</v>
      </c>
      <c r="B117" s="1">
        <f>_xlfn.XLOOKUP(A117,A116:A715,[1]Sheet3!C118:C717)</f>
        <v>44175</v>
      </c>
      <c r="C117" t="str">
        <f>_xlfn.XLOOKUP(A117,A116:A715,[1]Sheet3!D118:D717)</f>
        <v>CUST23197</v>
      </c>
      <c r="D117" t="str">
        <f>_xlfn.XLOOKUP(A117,A116:A715,[1]Sheet3!E118:E717)</f>
        <v>Amit Patel</v>
      </c>
      <c r="E117" s="5">
        <f>_xlfn.XLOOKUP(A117,A116:A715,[1]Sheet3!G118:G717)</f>
        <v>28</v>
      </c>
      <c r="F117" t="str">
        <f>_xlfn.XLOOKUP('Retail Sales'!A119,'Retail Sales'!A118:A717,[1]Sheet3!H118:H717)</f>
        <v>Young Adult</v>
      </c>
      <c r="G117" t="str">
        <f>_xlfn.XLOOKUP(A117,A116:A715,[1]Sheet3!J118:J717)</f>
        <v>Other</v>
      </c>
      <c r="H117" t="str">
        <f>_xlfn.XLOOKUP(A117,A116:A715,[1]Sheet3!K118:K717)</f>
        <v>Central</v>
      </c>
      <c r="I117" t="str">
        <f>_xlfn.XLOOKUP(A117,A116:A715,[1]Sheet3!L118:L717)</f>
        <v>Nagpur</v>
      </c>
      <c r="J117" t="str">
        <f>_xlfn.XLOOKUP(A117,A116:A715,[1]Sheet3!M118:M717)</f>
        <v>Sports</v>
      </c>
      <c r="K117" t="str">
        <f>_xlfn.XLOOKUP('Retail Sales'!A119,'Retail Sales'!A118:A717,[1]Sheet3!N118:N717)</f>
        <v>Tennis Racket</v>
      </c>
      <c r="L117" s="5">
        <f>_xlfn.XLOOKUP(A117,A116:A715,[1]Sheet3!P118:P717)</f>
        <v>5</v>
      </c>
      <c r="M117" s="7">
        <f>_xlfn.XLOOKUP(A117,A116:A715,[1]Sheet3!Q118:Q717)</f>
        <v>5242.7700000000004</v>
      </c>
      <c r="N117" s="9">
        <f>_xlfn.XLOOKUP(A117,A116:A715,[1]Sheet3!S118:S717)</f>
        <v>0.31</v>
      </c>
      <c r="O117" s="7">
        <f>_xlfn.XLOOKUP(A117,A116:A715,[1]Sheet3!T118:T717)</f>
        <v>13993.35</v>
      </c>
      <c r="P117" s="7">
        <f>_xlfn.XLOOKUP(A117,A116:A715,[1]Sheet3!U118:U717)</f>
        <v>2992.91</v>
      </c>
      <c r="Q117" s="11">
        <f>_xlfn.XLOOKUP(A117,A116:A715,[1]Sheet3!V118:V717)</f>
        <v>0.21388087913187334</v>
      </c>
      <c r="R117" s="7">
        <f>_xlfn.XLOOKUP(A117,A116:A715,[1]Sheet3!W118:W717)</f>
        <v>74.58</v>
      </c>
      <c r="S117" t="str">
        <f>_xlfn.XLOOKUP(A117,A116:A715,[1]Sheet3!X118:X717)</f>
        <v>EMI</v>
      </c>
      <c r="T117" s="5">
        <f>_xlfn.XLOOKUP(A117,A116:A715,[1]Sheet3!Z118:Z717)</f>
        <v>1</v>
      </c>
      <c r="U117" t="b">
        <f>_xlfn.XLOOKUP(A117,A116:A715,[1]Sheet3!AA118:AA717)</f>
        <v>1</v>
      </c>
      <c r="V117" t="str">
        <f>_xlfn.XLOOKUP(A117,A116:A715,[1]Sheet3!AC118:AC717)</f>
        <v>Returned</v>
      </c>
      <c r="W117" s="5">
        <f>_xlfn.XLOOKUP(A117,A116:A715,[1]Sheet3!AE118:AE717)</f>
        <v>5</v>
      </c>
    </row>
    <row r="118" spans="1:23" x14ac:dyDescent="0.35">
      <c r="A118" t="s">
        <v>302</v>
      </c>
      <c r="B118" s="1">
        <f>_xlfn.XLOOKUP(A118,A117:A716,[1]Sheet3!C297:C896)</f>
        <v>44178</v>
      </c>
      <c r="C118" t="str">
        <f>_xlfn.XLOOKUP(A118,A117:A716,[1]Sheet3!D297:D896)</f>
        <v>CUST94306</v>
      </c>
      <c r="D118" t="str">
        <f>_xlfn.XLOOKUP(A118,A117:A716,[1]Sheet3!E297:E896)</f>
        <v>Shreya Kapoor</v>
      </c>
      <c r="E118" s="5">
        <f>_xlfn.XLOOKUP(A118,A117:A716,[1]Sheet3!G297:G896)</f>
        <v>19</v>
      </c>
      <c r="F118" t="str">
        <f>_xlfn.XLOOKUP('Retail Sales'!A298,'Retail Sales'!A297:A896,[1]Sheet3!H297:H896)</f>
        <v>Teen</v>
      </c>
      <c r="G118" t="str">
        <f>_xlfn.XLOOKUP(A118,A117:A716,[1]Sheet3!J297:J896)</f>
        <v>Female</v>
      </c>
      <c r="H118" t="str">
        <f>_xlfn.XLOOKUP(A118,A117:A716,[1]Sheet3!K297:K896)</f>
        <v>North</v>
      </c>
      <c r="I118" t="str">
        <f>_xlfn.XLOOKUP(A118,A117:A716,[1]Sheet3!L297:L896)</f>
        <v>Amritsar</v>
      </c>
      <c r="J118" t="str">
        <f>_xlfn.XLOOKUP(A118,A117:A716,[1]Sheet3!M297:M896)</f>
        <v>Books</v>
      </c>
      <c r="K118" t="str">
        <f>_xlfn.XLOOKUP('Retail Sales'!A298,'Retail Sales'!A297:A896,[1]Sheet3!N297:N896)</f>
        <v>Fiction Novel</v>
      </c>
      <c r="L118" s="5">
        <f>_xlfn.XLOOKUP(A118,A117:A716,[1]Sheet3!P297:P896)</f>
        <v>6</v>
      </c>
      <c r="M118" s="7">
        <f>_xlfn.XLOOKUP(A118,A117:A716,[1]Sheet3!Q297:Q896)</f>
        <v>526.32000000000005</v>
      </c>
      <c r="N118" s="9">
        <f>_xlfn.XLOOKUP(A118,A117:A716,[1]Sheet3!S297:S896)</f>
        <v>0.14000000000000001</v>
      </c>
      <c r="O118" s="7">
        <f>_xlfn.XLOOKUP(A118,A117:A716,[1]Sheet3!T297:T896)</f>
        <v>1927.61</v>
      </c>
      <c r="P118" s="7">
        <f>_xlfn.XLOOKUP(A118,A117:A716,[1]Sheet3!U297:U896)</f>
        <v>588.73</v>
      </c>
      <c r="Q118" s="11">
        <f>_xlfn.XLOOKUP(A118,A117:A716,[1]Sheet3!V297:V896)</f>
        <v>0.30541966476621313</v>
      </c>
      <c r="R118" s="7">
        <f>_xlfn.XLOOKUP(A118,A117:A716,[1]Sheet3!W297:W896)</f>
        <v>49.68</v>
      </c>
      <c r="S118" t="str">
        <f>_xlfn.XLOOKUP(A118,A117:A716,[1]Sheet3!X297:X896)</f>
        <v>Credit Card</v>
      </c>
      <c r="T118" s="5">
        <f>_xlfn.XLOOKUP(A118,A117:A716,[1]Sheet3!Z297:Z896)</f>
        <v>3</v>
      </c>
      <c r="U118" t="b">
        <f>_xlfn.XLOOKUP(A118,A117:A716,[1]Sheet3!AA297:AA896)</f>
        <v>1</v>
      </c>
      <c r="V118" t="str">
        <f>_xlfn.XLOOKUP(A118,A117:A716,[1]Sheet3!AC297:AC896)</f>
        <v>Returned</v>
      </c>
      <c r="W118" s="5">
        <f>_xlfn.XLOOKUP(A118,A117:A716,[1]Sheet3!AE297:AE896)</f>
        <v>3</v>
      </c>
    </row>
    <row r="119" spans="1:23" x14ac:dyDescent="0.35">
      <c r="A119" t="s">
        <v>256</v>
      </c>
      <c r="B119" s="1">
        <f>_xlfn.XLOOKUP(A119,A118:A717,[1]Sheet3!C343:C942)</f>
        <v>44178</v>
      </c>
      <c r="C119" t="str">
        <f>_xlfn.XLOOKUP(A119,A118:A717,[1]Sheet3!D343:D942)</f>
        <v>CUST99682</v>
      </c>
      <c r="D119" t="str">
        <f>_xlfn.XLOOKUP(A119,A118:A717,[1]Sheet3!E343:E942)</f>
        <v>Aditya Mishra</v>
      </c>
      <c r="E119" s="5">
        <f>_xlfn.XLOOKUP(A119,A118:A717,[1]Sheet3!G343:G942)</f>
        <v>17</v>
      </c>
      <c r="F119" t="str">
        <f>_xlfn.XLOOKUP('Retail Sales'!A344,'Retail Sales'!A343:A942,[1]Sheet3!H343:H942)</f>
        <v>Teen</v>
      </c>
      <c r="G119" t="str">
        <f>_xlfn.XLOOKUP(A119,A118:A717,[1]Sheet3!J343:J942)</f>
        <v>Other</v>
      </c>
      <c r="H119" t="str">
        <f>_xlfn.XLOOKUP(A119,A118:A717,[1]Sheet3!K343:K942)</f>
        <v>North</v>
      </c>
      <c r="I119" t="str">
        <f>_xlfn.XLOOKUP(A119,A118:A717,[1]Sheet3!L343:L942)</f>
        <v>Ludhiana</v>
      </c>
      <c r="J119" t="str">
        <f>_xlfn.XLOOKUP(A119,A118:A717,[1]Sheet3!M343:M942)</f>
        <v>Furniture</v>
      </c>
      <c r="K119" t="str">
        <f>_xlfn.XLOOKUP('Retail Sales'!A344,'Retail Sales'!A343:A942,[1]Sheet3!N343:N942)</f>
        <v>Sofa</v>
      </c>
      <c r="L119" s="5">
        <f>_xlfn.XLOOKUP(A119,A118:A717,[1]Sheet3!P343:P942)</f>
        <v>5</v>
      </c>
      <c r="M119" s="7">
        <f>_xlfn.XLOOKUP(A119,A118:A717,[1]Sheet3!Q343:Q942)</f>
        <v>30866.799999999999</v>
      </c>
      <c r="N119" s="9">
        <f>_xlfn.XLOOKUP(A119,A118:A717,[1]Sheet3!S343:S942)</f>
        <v>7.0000000000000007E-2</v>
      </c>
      <c r="O119" s="7">
        <f>_xlfn.XLOOKUP(A119,A118:A717,[1]Sheet3!T343:T942)</f>
        <v>87823.05</v>
      </c>
      <c r="P119" s="7">
        <f>_xlfn.XLOOKUP(A119,A118:A717,[1]Sheet3!U343:U942)</f>
        <v>26550.31</v>
      </c>
      <c r="Q119" s="11">
        <f>_xlfn.XLOOKUP(A119,A118:A717,[1]Sheet3!V343:V942)</f>
        <v>0.30231596374755831</v>
      </c>
      <c r="R119" s="7">
        <f>_xlfn.XLOOKUP(A119,A118:A717,[1]Sheet3!W343:W942)</f>
        <v>38.03</v>
      </c>
      <c r="S119" t="str">
        <f>_xlfn.XLOOKUP(A119,A118:A717,[1]Sheet3!X343:X942)</f>
        <v>Debit Card</v>
      </c>
      <c r="T119" s="5">
        <f>_xlfn.XLOOKUP(A119,A118:A717,[1]Sheet3!Z343:Z942)</f>
        <v>5</v>
      </c>
      <c r="U119" t="b">
        <f>_xlfn.XLOOKUP(A119,A118:A717,[1]Sheet3!AA343:AA942)</f>
        <v>0</v>
      </c>
      <c r="V119" t="str">
        <f>_xlfn.XLOOKUP(A119,A118:A717,[1]Sheet3!AC343:AC942)</f>
        <v>Delivered</v>
      </c>
      <c r="W119" s="5">
        <f>_xlfn.XLOOKUP(A119,A118:A717,[1]Sheet3!AE343:AE942)</f>
        <v>10</v>
      </c>
    </row>
    <row r="120" spans="1:23" x14ac:dyDescent="0.35">
      <c r="A120" t="s">
        <v>92</v>
      </c>
      <c r="B120" s="1">
        <f>_xlfn.XLOOKUP(A120,A119:A718,[1]Sheet3!C507:C1106)</f>
        <v>44184</v>
      </c>
      <c r="C120" t="str">
        <f>_xlfn.XLOOKUP(A120,A119:A718,[1]Sheet3!D507:D1106)</f>
        <v>CUST99814</v>
      </c>
      <c r="D120" t="str">
        <f>_xlfn.XLOOKUP(A120,A119:A718,[1]Sheet3!E507:E1106)</f>
        <v>Sunita Reddy</v>
      </c>
      <c r="E120" s="5">
        <f>_xlfn.XLOOKUP(A120,A119:A718,[1]Sheet3!G507:G1106)</f>
        <v>51</v>
      </c>
      <c r="F120" t="str">
        <f>_xlfn.XLOOKUP('Retail Sales'!A508,'Retail Sales'!A507:A1106,[1]Sheet3!H507:H1106)</f>
        <v>Senior</v>
      </c>
      <c r="G120" t="str">
        <f>_xlfn.XLOOKUP(A120,A119:A718,[1]Sheet3!J507:J1106)</f>
        <v>Female</v>
      </c>
      <c r="H120" t="str">
        <f>_xlfn.XLOOKUP(A120,A119:A718,[1]Sheet3!K507:K1106)</f>
        <v>North</v>
      </c>
      <c r="I120" t="str">
        <f>_xlfn.XLOOKUP(A120,A119:A718,[1]Sheet3!L507:L1106)</f>
        <v>Amritsar</v>
      </c>
      <c r="J120" t="str">
        <f>_xlfn.XLOOKUP(A120,A119:A718,[1]Sheet3!M507:M1106)</f>
        <v>Electronics</v>
      </c>
      <c r="K120" t="str">
        <f>_xlfn.XLOOKUP('Retail Sales'!A508,'Retail Sales'!A507:A1106,[1]Sheet3!N507:N1106)</f>
        <v>Camera</v>
      </c>
      <c r="L120" s="5">
        <f>_xlfn.XLOOKUP(A120,A119:A718,[1]Sheet3!P507:P1106)</f>
        <v>9</v>
      </c>
      <c r="M120" s="7">
        <f>_xlfn.XLOOKUP(A120,A119:A718,[1]Sheet3!Q507:Q1106)</f>
        <v>59205.69</v>
      </c>
      <c r="N120" s="9">
        <f>_xlfn.XLOOKUP(A120,A119:A718,[1]Sheet3!S507:S1106)</f>
        <v>0.28999999999999998</v>
      </c>
      <c r="O120" s="7">
        <f>_xlfn.XLOOKUP(A120,A119:A718,[1]Sheet3!T507:T1106)</f>
        <v>281237.44</v>
      </c>
      <c r="P120" s="7">
        <f>_xlfn.XLOOKUP(A120,A119:A718,[1]Sheet3!U507:U1106)</f>
        <v>26659.17</v>
      </c>
      <c r="Q120" s="11">
        <f>_xlfn.XLOOKUP(A120,A119:A718,[1]Sheet3!V507:V1106)</f>
        <v>9.4792393217631332E-2</v>
      </c>
      <c r="R120" s="7">
        <f>_xlfn.XLOOKUP(A120,A119:A718,[1]Sheet3!W507:W1106)</f>
        <v>68.680000000000007</v>
      </c>
      <c r="S120" t="str">
        <f>_xlfn.XLOOKUP(A120,A119:A718,[1]Sheet3!X507:X1106)</f>
        <v>Debit Card</v>
      </c>
      <c r="T120" s="5">
        <f>_xlfn.XLOOKUP(A120,A119:A718,[1]Sheet3!Z507:Z1106)</f>
        <v>4</v>
      </c>
      <c r="U120" t="b">
        <f>_xlfn.XLOOKUP(A120,A119:A718,[1]Sheet3!AA507:AA1106)</f>
        <v>0</v>
      </c>
      <c r="V120" t="str">
        <f>_xlfn.XLOOKUP(A120,A119:A718,[1]Sheet3!AC507:AC1106)</f>
        <v>Delivered</v>
      </c>
      <c r="W120" s="5">
        <f>_xlfn.XLOOKUP(A120,A119:A718,[1]Sheet3!AE507:AE1106)</f>
        <v>8</v>
      </c>
    </row>
    <row r="121" spans="1:23" x14ac:dyDescent="0.35">
      <c r="A121" t="s">
        <v>123</v>
      </c>
      <c r="B121" s="1">
        <f>_xlfn.XLOOKUP(A121,A120:A719,[1]Sheet3!C476:C1075)</f>
        <v>44186</v>
      </c>
      <c r="C121" t="str">
        <f>_xlfn.XLOOKUP(A121,A120:A719,[1]Sheet3!D476:D1075)</f>
        <v>CUST92097</v>
      </c>
      <c r="D121" t="str">
        <f>_xlfn.XLOOKUP(A121,A120:A719,[1]Sheet3!E476:E1075)</f>
        <v>Nisha Gupta</v>
      </c>
      <c r="E121" s="5">
        <f>_xlfn.XLOOKUP(A121,A120:A719,[1]Sheet3!G476:G1075)</f>
        <v>44</v>
      </c>
      <c r="F121" t="str">
        <f>_xlfn.XLOOKUP('Retail Sales'!A477,'Retail Sales'!A476:A1075,[1]Sheet3!H476:H1075)</f>
        <v>Adult</v>
      </c>
      <c r="G121" t="str">
        <f>_xlfn.XLOOKUP(A121,A120:A719,[1]Sheet3!J476:J1075)</f>
        <v>Male</v>
      </c>
      <c r="H121" t="str">
        <f>_xlfn.XLOOKUP(A121,A120:A719,[1]Sheet3!K476:K1075)</f>
        <v>South</v>
      </c>
      <c r="I121" t="str">
        <f>_xlfn.XLOOKUP(A121,A120:A719,[1]Sheet3!L476:L1075)</f>
        <v>Hyderabad</v>
      </c>
      <c r="J121" t="str">
        <f>_xlfn.XLOOKUP(A121,A120:A719,[1]Sheet3!M476:M1075)</f>
        <v>Sports</v>
      </c>
      <c r="K121" t="str">
        <f>_xlfn.XLOOKUP('Retail Sales'!A477,'Retail Sales'!A476:A1075,[1]Sheet3!N476:N1075)</f>
        <v>Cycle</v>
      </c>
      <c r="L121" s="5">
        <f>_xlfn.XLOOKUP(A121,A120:A719,[1]Sheet3!P476:P1075)</f>
        <v>8</v>
      </c>
      <c r="M121" s="7">
        <f>_xlfn.XLOOKUP(A121,A120:A719,[1]Sheet3!Q476:Q1075)</f>
        <v>12540.64</v>
      </c>
      <c r="N121" s="9">
        <f>_xlfn.XLOOKUP(A121,A120:A719,[1]Sheet3!S476:S1075)</f>
        <v>0.16</v>
      </c>
      <c r="O121" s="7">
        <f>_xlfn.XLOOKUP(A121,A120:A719,[1]Sheet3!T476:T1075)</f>
        <v>54877.82</v>
      </c>
      <c r="P121" s="7">
        <f>_xlfn.XLOOKUP(A121,A120:A719,[1]Sheet3!U476:U1075)</f>
        <v>12900.73</v>
      </c>
      <c r="Q121" s="11">
        <f>_xlfn.XLOOKUP(A121,A120:A719,[1]Sheet3!V476:V1075)</f>
        <v>0.23508094891524481</v>
      </c>
      <c r="R121" s="7">
        <f>_xlfn.XLOOKUP(A121,A120:A719,[1]Sheet3!W476:W1075)</f>
        <v>44.66</v>
      </c>
      <c r="S121" t="str">
        <f>_xlfn.XLOOKUP(A121,A120:A719,[1]Sheet3!X476:X1075)</f>
        <v>UPI</v>
      </c>
      <c r="T121" s="5">
        <f>_xlfn.XLOOKUP(A121,A120:A719,[1]Sheet3!Z476:Z1075)</f>
        <v>1</v>
      </c>
      <c r="U121" t="b">
        <f>_xlfn.XLOOKUP(A121,A120:A719,[1]Sheet3!AA476:AA1075)</f>
        <v>0</v>
      </c>
      <c r="V121" t="str">
        <f>_xlfn.XLOOKUP(A121,A120:A719,[1]Sheet3!AC476:AC1075)</f>
        <v>Delivered</v>
      </c>
      <c r="W121" s="5">
        <f>_xlfn.XLOOKUP(A121,A120:A719,[1]Sheet3!AE476:AE1075)</f>
        <v>8</v>
      </c>
    </row>
    <row r="122" spans="1:23" x14ac:dyDescent="0.35">
      <c r="A122" t="s">
        <v>479</v>
      </c>
      <c r="B122" s="1">
        <f>_xlfn.XLOOKUP(A122,A121:A720,[1]Sheet3!C120:C719)</f>
        <v>44193</v>
      </c>
      <c r="C122" t="str">
        <f>_xlfn.XLOOKUP(A122,A121:A720,[1]Sheet3!D120:D719)</f>
        <v>CUST49838</v>
      </c>
      <c r="D122" t="str">
        <f>_xlfn.XLOOKUP(A122,A121:A720,[1]Sheet3!E120:E719)</f>
        <v>Sunita Gupta</v>
      </c>
      <c r="E122" s="5">
        <f>_xlfn.XLOOKUP(A122,A121:A720,[1]Sheet3!G120:G719)</f>
        <v>37</v>
      </c>
      <c r="F122" t="str">
        <f>_xlfn.XLOOKUP('Retail Sales'!A121,'Retail Sales'!A120:A719,[1]Sheet3!H120:H719)</f>
        <v>Adult</v>
      </c>
      <c r="G122" t="str">
        <f>_xlfn.XLOOKUP(A122,A121:A720,[1]Sheet3!J120:J719)</f>
        <v>Other</v>
      </c>
      <c r="H122" t="str">
        <f>_xlfn.XLOOKUP(A122,A121:A720,[1]Sheet3!K120:K719)</f>
        <v>South</v>
      </c>
      <c r="I122" t="str">
        <f>_xlfn.XLOOKUP(A122,A121:A720,[1]Sheet3!L120:L719)</f>
        <v>Bangalore</v>
      </c>
      <c r="J122" t="str">
        <f>_xlfn.XLOOKUP(A122,A121:A720,[1]Sheet3!M120:M719)</f>
        <v>Groceries</v>
      </c>
      <c r="K122" t="str">
        <f>_xlfn.XLOOKUP('Retail Sales'!A121,'Retail Sales'!A120:A719,[1]Sheet3!N120:N719)</f>
        <v>Flour</v>
      </c>
      <c r="L122" s="5">
        <f>_xlfn.XLOOKUP(A122,A121:A720,[1]Sheet3!P120:P719)</f>
        <v>8</v>
      </c>
      <c r="M122" s="7">
        <f>_xlfn.XLOOKUP(A122,A121:A720,[1]Sheet3!Q120:Q719)</f>
        <v>491.76</v>
      </c>
      <c r="N122" s="9">
        <f>_xlfn.XLOOKUP(A122,A121:A720,[1]Sheet3!S120:S719)</f>
        <v>0.08</v>
      </c>
      <c r="O122" s="7">
        <f>_xlfn.XLOOKUP(A122,A121:A720,[1]Sheet3!T120:T719)</f>
        <v>2780.1</v>
      </c>
      <c r="P122" s="7">
        <f>_xlfn.XLOOKUP(A122,A121:A720,[1]Sheet3!U120:U719)</f>
        <v>223.65</v>
      </c>
      <c r="Q122" s="11">
        <f>_xlfn.XLOOKUP(A122,A121:A720,[1]Sheet3!V120:V719)</f>
        <v>8.0446746519909365E-2</v>
      </c>
      <c r="R122" s="7">
        <f>_xlfn.XLOOKUP(A122,A121:A720,[1]Sheet3!W120:W719)</f>
        <v>61.84</v>
      </c>
      <c r="S122" t="str">
        <f>_xlfn.XLOOKUP(A122,A121:A720,[1]Sheet3!X120:X719)</f>
        <v>UPI</v>
      </c>
      <c r="T122" s="5">
        <f>_xlfn.XLOOKUP(A122,A121:A720,[1]Sheet3!Z120:Z719)</f>
        <v>2</v>
      </c>
      <c r="U122" t="b">
        <f>_xlfn.XLOOKUP(A122,A121:A720,[1]Sheet3!AA120:AA719)</f>
        <v>0</v>
      </c>
      <c r="V122" t="str">
        <f>_xlfn.XLOOKUP(A122,A121:A720,[1]Sheet3!AC120:AC719)</f>
        <v>Delivered</v>
      </c>
      <c r="W122" s="5">
        <f>_xlfn.XLOOKUP(A122,A121:A720,[1]Sheet3!AE120:AE719)</f>
        <v>4</v>
      </c>
    </row>
    <row r="123" spans="1:23" x14ac:dyDescent="0.35">
      <c r="A123" t="s">
        <v>306</v>
      </c>
      <c r="B123" s="1">
        <f>_xlfn.XLOOKUP(A123,A122:A721,[1]Sheet3!C293:C892)</f>
        <v>44194</v>
      </c>
      <c r="C123" t="str">
        <f>_xlfn.XLOOKUP(A123,A122:A721,[1]Sheet3!D293:D892)</f>
        <v>CUST04732</v>
      </c>
      <c r="D123" t="str">
        <f>_xlfn.XLOOKUP(A123,A122:A721,[1]Sheet3!E293:E892)</f>
        <v>Nisha Joshi</v>
      </c>
      <c r="E123" s="5">
        <f>_xlfn.XLOOKUP(A123,A122:A721,[1]Sheet3!G293:G892)</f>
        <v>38</v>
      </c>
      <c r="F123" t="str">
        <f>_xlfn.XLOOKUP('Retail Sales'!A294,'Retail Sales'!A293:A892,[1]Sheet3!H293:H892)</f>
        <v>Adult</v>
      </c>
      <c r="G123" t="str">
        <f>_xlfn.XLOOKUP(A123,A122:A721,[1]Sheet3!J293:J892)</f>
        <v>Male</v>
      </c>
      <c r="H123" t="str">
        <f>_xlfn.XLOOKUP(A123,A122:A721,[1]Sheet3!K293:K892)</f>
        <v>South</v>
      </c>
      <c r="I123" t="str">
        <f>_xlfn.XLOOKUP(A123,A122:A721,[1]Sheet3!L293:L892)</f>
        <v>Chennai</v>
      </c>
      <c r="J123" t="str">
        <f>_xlfn.XLOOKUP(A123,A122:A721,[1]Sheet3!M293:M892)</f>
        <v>Beauty</v>
      </c>
      <c r="K123" t="str">
        <f>_xlfn.XLOOKUP('Retail Sales'!A294,'Retail Sales'!A293:A892,[1]Sheet3!N293:N892)</f>
        <v>Face Cream</v>
      </c>
      <c r="L123" s="5">
        <f>_xlfn.XLOOKUP(A123,A122:A721,[1]Sheet3!P293:P892)</f>
        <v>4</v>
      </c>
      <c r="M123" s="7">
        <f>_xlfn.XLOOKUP(A123,A122:A721,[1]Sheet3!Q293:Q892)</f>
        <v>197.52</v>
      </c>
      <c r="N123" s="9">
        <f>_xlfn.XLOOKUP(A123,A122:A721,[1]Sheet3!S293:S892)</f>
        <v>0.35</v>
      </c>
      <c r="O123" s="7">
        <f>_xlfn.XLOOKUP(A123,A122:A721,[1]Sheet3!T293:T892)</f>
        <v>379.18</v>
      </c>
      <c r="P123" s="7">
        <f>_xlfn.XLOOKUP(A123,A122:A721,[1]Sheet3!U293:U892)</f>
        <v>169.93</v>
      </c>
      <c r="Q123" s="11">
        <f>_xlfn.XLOOKUP(A123,A122:A721,[1]Sheet3!V293:V892)</f>
        <v>0.44815127380136083</v>
      </c>
      <c r="R123" s="7">
        <f>_xlfn.XLOOKUP(A123,A122:A721,[1]Sheet3!W293:W892)</f>
        <v>61.28</v>
      </c>
      <c r="S123" t="str">
        <f>_xlfn.XLOOKUP(A123,A122:A721,[1]Sheet3!X293:X892)</f>
        <v>EMI</v>
      </c>
      <c r="T123" s="5">
        <f>_xlfn.XLOOKUP(A123,A122:A721,[1]Sheet3!Z293:Z892)</f>
        <v>3</v>
      </c>
      <c r="U123" t="b">
        <f>_xlfn.XLOOKUP(A123,A122:A721,[1]Sheet3!AA293:AA892)</f>
        <v>0</v>
      </c>
      <c r="V123" t="str">
        <f>_xlfn.XLOOKUP(A123,A122:A721,[1]Sheet3!AC293:AC892)</f>
        <v>Delivered</v>
      </c>
      <c r="W123" s="5">
        <f>_xlfn.XLOOKUP(A123,A122:A721,[1]Sheet3!AE293:AE892)</f>
        <v>2</v>
      </c>
    </row>
    <row r="124" spans="1:23" x14ac:dyDescent="0.35">
      <c r="A124" t="s">
        <v>237</v>
      </c>
      <c r="B124" s="1">
        <f>_xlfn.XLOOKUP(A124,A123:A722,[1]Sheet3!C362:C961)</f>
        <v>44194</v>
      </c>
      <c r="C124" t="str">
        <f>_xlfn.XLOOKUP(A124,A123:A722,[1]Sheet3!D362:D961)</f>
        <v>CUST20881</v>
      </c>
      <c r="D124" t="str">
        <f>_xlfn.XLOOKUP(A124,A123:A722,[1]Sheet3!E362:E961)</f>
        <v>Rohan Singh</v>
      </c>
      <c r="E124" s="5">
        <f>_xlfn.XLOOKUP(A124,A123:A722,[1]Sheet3!G362:G961)</f>
        <v>48</v>
      </c>
      <c r="F124" t="str">
        <f>_xlfn.XLOOKUP('Retail Sales'!A363,'Retail Sales'!A362:A961,[1]Sheet3!H362:H961)</f>
        <v>Adult</v>
      </c>
      <c r="G124" t="str">
        <f>_xlfn.XLOOKUP(A124,A123:A722,[1]Sheet3!J362:J961)</f>
        <v>Male</v>
      </c>
      <c r="H124" t="str">
        <f>_xlfn.XLOOKUP(A124,A123:A722,[1]Sheet3!K362:K961)</f>
        <v>West</v>
      </c>
      <c r="I124" t="str">
        <f>_xlfn.XLOOKUP(A124,A123:A722,[1]Sheet3!L362:L961)</f>
        <v>Mumbai</v>
      </c>
      <c r="J124" t="str">
        <f>_xlfn.XLOOKUP(A124,A123:A722,[1]Sheet3!M362:M961)</f>
        <v>Sports</v>
      </c>
      <c r="K124" t="str">
        <f>_xlfn.XLOOKUP('Retail Sales'!A363,'Retail Sales'!A362:A961,[1]Sheet3!N362:N961)</f>
        <v>Yoga Mat</v>
      </c>
      <c r="L124" s="5">
        <f>_xlfn.XLOOKUP(A124,A123:A722,[1]Sheet3!P362:P961)</f>
        <v>4</v>
      </c>
      <c r="M124" s="7">
        <f>_xlfn.XLOOKUP(A124,A123:A722,[1]Sheet3!Q362:Q961)</f>
        <v>2347.62</v>
      </c>
      <c r="N124" s="9">
        <f>_xlfn.XLOOKUP(A124,A123:A722,[1]Sheet3!S362:S961)</f>
        <v>0.22</v>
      </c>
      <c r="O124" s="7">
        <f>_xlfn.XLOOKUP(A124,A123:A722,[1]Sheet3!T362:T961)</f>
        <v>5426.75</v>
      </c>
      <c r="P124" s="7">
        <f>_xlfn.XLOOKUP(A124,A123:A722,[1]Sheet3!U362:U961)</f>
        <v>1694.29</v>
      </c>
      <c r="Q124" s="11">
        <f>_xlfn.XLOOKUP(A124,A123:A722,[1]Sheet3!V362:V961)</f>
        <v>0.31221080757359376</v>
      </c>
      <c r="R124" s="7">
        <f>_xlfn.XLOOKUP(A124,A123:A722,[1]Sheet3!W362:W961)</f>
        <v>36.229999999999997</v>
      </c>
      <c r="S124" t="str">
        <f>_xlfn.XLOOKUP(A124,A123:A722,[1]Sheet3!X362:X961)</f>
        <v>Debit Card</v>
      </c>
      <c r="T124" s="5">
        <f>_xlfn.XLOOKUP(A124,A123:A722,[1]Sheet3!Z362:Z961)</f>
        <v>1</v>
      </c>
      <c r="U124" t="b">
        <f>_xlfn.XLOOKUP(A124,A123:A722,[1]Sheet3!AA362:AA961)</f>
        <v>0</v>
      </c>
      <c r="V124" t="str">
        <f>_xlfn.XLOOKUP(A124,A123:A722,[1]Sheet3!AC362:AC961)</f>
        <v>Delivered</v>
      </c>
      <c r="W124" s="5">
        <f>_xlfn.XLOOKUP(A124,A123:A722,[1]Sheet3!AE362:AE961)</f>
        <v>10</v>
      </c>
    </row>
    <row r="125" spans="1:23" x14ac:dyDescent="0.35">
      <c r="A125" t="s">
        <v>138</v>
      </c>
      <c r="B125" s="1">
        <f>_xlfn.XLOOKUP(A125,A124:A723,[1]Sheet3!C461:C1060)</f>
        <v>44195</v>
      </c>
      <c r="C125" t="str">
        <f>_xlfn.XLOOKUP(A125,A124:A723,[1]Sheet3!D461:D1060)</f>
        <v>CUST77423</v>
      </c>
      <c r="D125" t="str">
        <f>_xlfn.XLOOKUP(A125,A124:A723,[1]Sheet3!E461:E1060)</f>
        <v>Priya Shah</v>
      </c>
      <c r="E125" s="5">
        <f>_xlfn.XLOOKUP(A125,A124:A723,[1]Sheet3!G461:G1060)</f>
        <v>33</v>
      </c>
      <c r="F125" t="str">
        <f>_xlfn.XLOOKUP('Retail Sales'!A462,'Retail Sales'!A461:A1060,[1]Sheet3!H461:H1060)</f>
        <v>Young Adult</v>
      </c>
      <c r="G125" t="str">
        <f>_xlfn.XLOOKUP(A125,A124:A723,[1]Sheet3!J461:J1060)</f>
        <v>Other</v>
      </c>
      <c r="H125" t="str">
        <f>_xlfn.XLOOKUP(A125,A124:A723,[1]Sheet3!K461:K1060)</f>
        <v>East</v>
      </c>
      <c r="I125" t="str">
        <f>_xlfn.XLOOKUP(A125,A124:A723,[1]Sheet3!L461:L1060)</f>
        <v>Patna</v>
      </c>
      <c r="J125" t="str">
        <f>_xlfn.XLOOKUP(A125,A124:A723,[1]Sheet3!M461:M1060)</f>
        <v>Electronics</v>
      </c>
      <c r="K125" t="str">
        <f>_xlfn.XLOOKUP('Retail Sales'!A462,'Retail Sales'!A461:A1060,[1]Sheet3!N461:N1060)</f>
        <v>Camera</v>
      </c>
      <c r="L125" s="5">
        <f>_xlfn.XLOOKUP(A125,A124:A723,[1]Sheet3!P461:P1060)</f>
        <v>7</v>
      </c>
      <c r="M125" s="7">
        <f>_xlfn.XLOOKUP(A125,A124:A723,[1]Sheet3!Q461:Q1060)</f>
        <v>56504.32</v>
      </c>
      <c r="N125" s="9">
        <f>_xlfn.XLOOKUP(A125,A124:A723,[1]Sheet3!S461:S1060)</f>
        <v>0.3</v>
      </c>
      <c r="O125" s="7">
        <f>_xlfn.XLOOKUP(A125,A124:A723,[1]Sheet3!T461:T1060)</f>
        <v>197546.47</v>
      </c>
      <c r="P125" s="7">
        <f>_xlfn.XLOOKUP(A125,A124:A723,[1]Sheet3!U461:U1060)</f>
        <v>21532.46</v>
      </c>
      <c r="Q125" s="11">
        <f>_xlfn.XLOOKUP(A125,A124:A723,[1]Sheet3!V461:V1060)</f>
        <v>0.10899946731520943</v>
      </c>
      <c r="R125" s="7">
        <f>_xlfn.XLOOKUP(A125,A124:A723,[1]Sheet3!W461:W1060)</f>
        <v>53.78</v>
      </c>
      <c r="S125" t="str">
        <f>_xlfn.XLOOKUP(A125,A124:A723,[1]Sheet3!X461:X1060)</f>
        <v>Cash on Delivery</v>
      </c>
      <c r="T125" s="5">
        <f>_xlfn.XLOOKUP(A125,A124:A723,[1]Sheet3!Z461:Z1060)</f>
        <v>5</v>
      </c>
      <c r="U125" t="b">
        <f>_xlfn.XLOOKUP(A125,A124:A723,[1]Sheet3!AA461:AA1060)</f>
        <v>0</v>
      </c>
      <c r="V125" t="str">
        <f>_xlfn.XLOOKUP(A125,A124:A723,[1]Sheet3!AC461:AC1060)</f>
        <v>Delivered</v>
      </c>
      <c r="W125" s="5">
        <f>_xlfn.XLOOKUP(A125,A124:A723,[1]Sheet3!AE461:AE1060)</f>
        <v>1</v>
      </c>
    </row>
    <row r="126" spans="1:23" x14ac:dyDescent="0.35">
      <c r="A126" t="s">
        <v>280</v>
      </c>
      <c r="B126" s="1">
        <f>_xlfn.XLOOKUP(A126,A125:A724,[1]Sheet3!C319:C918)</f>
        <v>44214</v>
      </c>
      <c r="C126" t="str">
        <f>_xlfn.XLOOKUP(A126,A125:A724,[1]Sheet3!D319:D918)</f>
        <v>CUST71096</v>
      </c>
      <c r="D126" t="str">
        <f>_xlfn.XLOOKUP(A126,A125:A724,[1]Sheet3!E319:E918)</f>
        <v>Kavya Shah</v>
      </c>
      <c r="E126" s="5">
        <f>_xlfn.XLOOKUP(A126,A125:A724,[1]Sheet3!G319:G918)</f>
        <v>29</v>
      </c>
      <c r="F126" t="str">
        <f>_xlfn.XLOOKUP('Retail Sales'!A320,'Retail Sales'!A319:A918,[1]Sheet3!H319:H918)</f>
        <v>Young Adult</v>
      </c>
      <c r="G126" t="str">
        <f>_xlfn.XLOOKUP(A126,A125:A724,[1]Sheet3!J319:J918)</f>
        <v>Other</v>
      </c>
      <c r="H126" t="str">
        <f>_xlfn.XLOOKUP(A126,A125:A724,[1]Sheet3!K319:K918)</f>
        <v>East</v>
      </c>
      <c r="I126" t="str">
        <f>_xlfn.XLOOKUP(A126,A125:A724,[1]Sheet3!L319:L918)</f>
        <v>Patna</v>
      </c>
      <c r="J126" t="str">
        <f>_xlfn.XLOOKUP(A126,A125:A724,[1]Sheet3!M319:M918)</f>
        <v>Electronics</v>
      </c>
      <c r="K126" t="str">
        <f>_xlfn.XLOOKUP('Retail Sales'!A320,'Retail Sales'!A319:A918,[1]Sheet3!N319:N918)</f>
        <v>Headphones</v>
      </c>
      <c r="L126" s="5">
        <f>_xlfn.XLOOKUP(A126,A125:A724,[1]Sheet3!P319:P918)</f>
        <v>5</v>
      </c>
      <c r="M126" s="7">
        <f>_xlfn.XLOOKUP(A126,A125:A724,[1]Sheet3!Q319:Q918)</f>
        <v>58480.23</v>
      </c>
      <c r="N126" s="9">
        <f>_xlfn.XLOOKUP(A126,A125:A724,[1]Sheet3!S319:S918)</f>
        <v>0.09</v>
      </c>
      <c r="O126" s="7">
        <f>_xlfn.XLOOKUP(A126,A125:A724,[1]Sheet3!T319:T918)</f>
        <v>200569.38</v>
      </c>
      <c r="P126" s="7">
        <f>_xlfn.XLOOKUP(A126,A125:A724,[1]Sheet3!U319:U918)</f>
        <v>24313.05</v>
      </c>
      <c r="Q126" s="11">
        <f>_xlfn.XLOOKUP(A126,A125:A724,[1]Sheet3!V319:V918)</f>
        <v>0.12122014835963495</v>
      </c>
      <c r="R126" s="7">
        <f>_xlfn.XLOOKUP(A126,A125:A724,[1]Sheet3!W319:W918)</f>
        <v>84.38</v>
      </c>
      <c r="S126" t="str">
        <f>_xlfn.XLOOKUP(A126,A125:A724,[1]Sheet3!X319:X918)</f>
        <v>Credit Card</v>
      </c>
      <c r="T126" s="5">
        <f>_xlfn.XLOOKUP(A126,A125:A724,[1]Sheet3!Z319:Z918)</f>
        <v>4</v>
      </c>
      <c r="U126" t="b">
        <f>_xlfn.XLOOKUP(A126,A125:A724,[1]Sheet3!AA319:AA918)</f>
        <v>0</v>
      </c>
      <c r="V126" t="str">
        <f>_xlfn.XLOOKUP(A126,A125:A724,[1]Sheet3!AC319:AC918)</f>
        <v>Delivered</v>
      </c>
      <c r="W126" s="5">
        <f>_xlfn.XLOOKUP(A126,A125:A724,[1]Sheet3!AE319:AE918)</f>
        <v>2</v>
      </c>
    </row>
    <row r="127" spans="1:23" x14ac:dyDescent="0.35">
      <c r="A127" t="s">
        <v>529</v>
      </c>
      <c r="B127" s="1">
        <f>_xlfn.XLOOKUP(A127,A126:A725,[1]Sheet3!C70:C669)</f>
        <v>44217</v>
      </c>
      <c r="C127" t="str">
        <f>_xlfn.XLOOKUP(A127,A126:A725,[1]Sheet3!D70:D669)</f>
        <v>CUST59483</v>
      </c>
      <c r="D127" t="str">
        <f>_xlfn.XLOOKUP(A127,A126:A725,[1]Sheet3!E70:E669)</f>
        <v>Nisha Shah</v>
      </c>
      <c r="E127" s="5">
        <f>_xlfn.XLOOKUP(A127,A126:A725,[1]Sheet3!G70:G669)</f>
        <v>26</v>
      </c>
      <c r="F127" t="str">
        <f>_xlfn.XLOOKUP('Retail Sales'!A71,'Retail Sales'!A70:A669,[1]Sheet3!H70:H669)</f>
        <v>Young Adult</v>
      </c>
      <c r="G127" t="str">
        <f>_xlfn.XLOOKUP(A127,A126:A725,[1]Sheet3!J70:J669)</f>
        <v>Other</v>
      </c>
      <c r="H127" t="str">
        <f>_xlfn.XLOOKUP(A127,A126:A725,[1]Sheet3!K70:K669)</f>
        <v>North</v>
      </c>
      <c r="I127" t="str">
        <f>_xlfn.XLOOKUP(A127,A126:A725,[1]Sheet3!L70:L669)</f>
        <v>Ludhiana</v>
      </c>
      <c r="J127" t="str">
        <f>_xlfn.XLOOKUP(A127,A126:A725,[1]Sheet3!M70:M669)</f>
        <v>Electronics</v>
      </c>
      <c r="K127" t="str">
        <f>_xlfn.XLOOKUP('Retail Sales'!A71,'Retail Sales'!A70:A669,[1]Sheet3!N70:N669)</f>
        <v>Smartwatch</v>
      </c>
      <c r="L127" s="5">
        <f>_xlfn.XLOOKUP(A127,A126:A725,[1]Sheet3!P70:P669)</f>
        <v>10</v>
      </c>
      <c r="M127" s="7">
        <f>_xlfn.XLOOKUP(A127,A126:A725,[1]Sheet3!Q70:Q669)</f>
        <v>57148.46</v>
      </c>
      <c r="N127" s="9">
        <f>_xlfn.XLOOKUP(A127,A126:A725,[1]Sheet3!S70:S669)</f>
        <v>0.06</v>
      </c>
      <c r="O127" s="7">
        <f>_xlfn.XLOOKUP(A127,A126:A725,[1]Sheet3!T70:T669)</f>
        <v>443615.41</v>
      </c>
      <c r="P127" s="7">
        <f>_xlfn.XLOOKUP(A127,A126:A725,[1]Sheet3!U70:U669)</f>
        <v>48368.13</v>
      </c>
      <c r="Q127" s="11">
        <f>_xlfn.XLOOKUP(A127,A126:A725,[1]Sheet3!V70:V669)</f>
        <v>0.10903167227666866</v>
      </c>
      <c r="R127" s="7">
        <f>_xlfn.XLOOKUP(A127,A126:A725,[1]Sheet3!W70:W669)</f>
        <v>33.07</v>
      </c>
      <c r="S127" t="str">
        <f>_xlfn.XLOOKUP(A127,A126:A725,[1]Sheet3!X70:X669)</f>
        <v>EMI</v>
      </c>
      <c r="T127" s="5">
        <f>_xlfn.XLOOKUP(A127,A126:A725,[1]Sheet3!Z70:Z669)</f>
        <v>1</v>
      </c>
      <c r="U127" t="b">
        <f>_xlfn.XLOOKUP(A127,A126:A725,[1]Sheet3!AA70:AA669)</f>
        <v>1</v>
      </c>
      <c r="V127" t="str">
        <f>_xlfn.XLOOKUP(A127,A126:A725,[1]Sheet3!AC70:AC669)</f>
        <v>Returned</v>
      </c>
      <c r="W127" s="5">
        <f>_xlfn.XLOOKUP(A127,A126:A725,[1]Sheet3!AE70:AE669)</f>
        <v>5</v>
      </c>
    </row>
    <row r="128" spans="1:23" x14ac:dyDescent="0.35">
      <c r="A128" t="s">
        <v>499</v>
      </c>
      <c r="B128" s="1">
        <f>_xlfn.XLOOKUP(A128,A127:A726,[1]Sheet3!C100:C699)</f>
        <v>44221</v>
      </c>
      <c r="C128" t="str">
        <f>_xlfn.XLOOKUP(A128,A127:A726,[1]Sheet3!D100:D699)</f>
        <v>CUST59535</v>
      </c>
      <c r="D128" t="str">
        <f>_xlfn.XLOOKUP(A128,A127:A726,[1]Sheet3!E100:E699)</f>
        <v>Vikram Gupta</v>
      </c>
      <c r="E128" s="5">
        <f>_xlfn.XLOOKUP(A128,A127:A726,[1]Sheet3!G100:G699)</f>
        <v>49</v>
      </c>
      <c r="F128" t="str">
        <f>_xlfn.XLOOKUP('Retail Sales'!A101,'Retail Sales'!A100:A699,[1]Sheet3!H100:H699)</f>
        <v>Adult</v>
      </c>
      <c r="G128" t="str">
        <f>_xlfn.XLOOKUP(A128,A127:A726,[1]Sheet3!J100:J699)</f>
        <v>Male</v>
      </c>
      <c r="H128" t="str">
        <f>_xlfn.XLOOKUP(A128,A127:A726,[1]Sheet3!K100:K699)</f>
        <v>Central</v>
      </c>
      <c r="I128" t="str">
        <f>_xlfn.XLOOKUP(A128,A127:A726,[1]Sheet3!L100:L699)</f>
        <v>Nagpur</v>
      </c>
      <c r="J128" t="str">
        <f>_xlfn.XLOOKUP(A128,A127:A726,[1]Sheet3!M100:M699)</f>
        <v>Beauty</v>
      </c>
      <c r="K128" t="str">
        <f>_xlfn.XLOOKUP('Retail Sales'!A101,'Retail Sales'!A100:A699,[1]Sheet3!N100:N699)</f>
        <v>Hair Oil</v>
      </c>
      <c r="L128" s="5">
        <f>_xlfn.XLOOKUP(A128,A127:A726,[1]Sheet3!P100:P699)</f>
        <v>4</v>
      </c>
      <c r="M128" s="7">
        <f>_xlfn.XLOOKUP(A128,A127:A726,[1]Sheet3!Q100:Q699)</f>
        <v>521.44000000000005</v>
      </c>
      <c r="N128" s="9">
        <f>_xlfn.XLOOKUP(A128,A127:A726,[1]Sheet3!S100:S699)</f>
        <v>0.14000000000000001</v>
      </c>
      <c r="O128" s="7">
        <f>_xlfn.XLOOKUP(A128,A127:A726,[1]Sheet3!T100:T699)</f>
        <v>1538.13</v>
      </c>
      <c r="P128" s="7">
        <f>_xlfn.XLOOKUP(A128,A127:A726,[1]Sheet3!U100:U699)</f>
        <v>492.45</v>
      </c>
      <c r="Q128" s="11">
        <f>_xlfn.XLOOKUP(A128,A127:A726,[1]Sheet3!V100:V699)</f>
        <v>0.32016149480212985</v>
      </c>
      <c r="R128" s="7">
        <f>_xlfn.XLOOKUP(A128,A127:A726,[1]Sheet3!W100:W699)</f>
        <v>50.42</v>
      </c>
      <c r="S128" t="str">
        <f>_xlfn.XLOOKUP(A128,A127:A726,[1]Sheet3!X100:X699)</f>
        <v>UPI</v>
      </c>
      <c r="T128" s="5">
        <f>_xlfn.XLOOKUP(A128,A127:A726,[1]Sheet3!Z100:Z699)</f>
        <v>1</v>
      </c>
      <c r="U128" t="b">
        <f>_xlfn.XLOOKUP(A128,A127:A726,[1]Sheet3!AA100:AA699)</f>
        <v>0</v>
      </c>
      <c r="V128" t="str">
        <f>_xlfn.XLOOKUP(A128,A127:A726,[1]Sheet3!AC100:AC699)</f>
        <v>Pending</v>
      </c>
      <c r="W128" s="5">
        <f>_xlfn.XLOOKUP(A128,A127:A726,[1]Sheet3!AE100:AE699)</f>
        <v>10</v>
      </c>
    </row>
    <row r="129" spans="1:23" x14ac:dyDescent="0.35">
      <c r="A129" t="s">
        <v>533</v>
      </c>
      <c r="B129" s="1">
        <f>_xlfn.XLOOKUP(A129,A128:A727,[1]Sheet3!C66:C665)</f>
        <v>44229</v>
      </c>
      <c r="C129" t="str">
        <f>_xlfn.XLOOKUP(A129,A128:A727,[1]Sheet3!D66:D665)</f>
        <v>CUST52790</v>
      </c>
      <c r="D129" t="str">
        <f>_xlfn.XLOOKUP(A129,A128:A727,[1]Sheet3!E66:E665)</f>
        <v>Deepa Pillai</v>
      </c>
      <c r="E129" s="5">
        <f>_xlfn.XLOOKUP(A129,A128:A727,[1]Sheet3!G66:G665)</f>
        <v>17</v>
      </c>
      <c r="F129" t="str">
        <f>_xlfn.XLOOKUP('Retail Sales'!A67,'Retail Sales'!A66:A665,[1]Sheet3!H66:H665)</f>
        <v>Teen</v>
      </c>
      <c r="G129" t="str">
        <f>_xlfn.XLOOKUP(A129,A128:A727,[1]Sheet3!J66:J665)</f>
        <v>Other</v>
      </c>
      <c r="H129" t="str">
        <f>_xlfn.XLOOKUP(A129,A128:A727,[1]Sheet3!K66:K665)</f>
        <v>East</v>
      </c>
      <c r="I129" t="str">
        <f>_xlfn.XLOOKUP(A129,A128:A727,[1]Sheet3!L66:L665)</f>
        <v>Kolkata</v>
      </c>
      <c r="J129" t="str">
        <f>_xlfn.XLOOKUP(A129,A128:A727,[1]Sheet3!M66:M665)</f>
        <v>Books</v>
      </c>
      <c r="K129" t="str">
        <f>_xlfn.XLOOKUP('Retail Sales'!A67,'Retail Sales'!A66:A665,[1]Sheet3!N66:N665)</f>
        <v>Comic Book</v>
      </c>
      <c r="L129" s="5">
        <f>_xlfn.XLOOKUP(A129,A128:A727,[1]Sheet3!P66:P665)</f>
        <v>7</v>
      </c>
      <c r="M129" s="7">
        <f>_xlfn.XLOOKUP(A129,A128:A727,[1]Sheet3!Q66:Q665)</f>
        <v>914.96</v>
      </c>
      <c r="N129" s="9">
        <f>_xlfn.XLOOKUP(A129,A128:A727,[1]Sheet3!S66:S665)</f>
        <v>0.36</v>
      </c>
      <c r="O129" s="7">
        <f>_xlfn.XLOOKUP(A129,A128:A727,[1]Sheet3!T66:T665)</f>
        <v>3687.74</v>
      </c>
      <c r="P129" s="7">
        <f>_xlfn.XLOOKUP(A129,A128:A727,[1]Sheet3!U66:U665)</f>
        <v>1423.3</v>
      </c>
      <c r="Q129" s="11">
        <f>_xlfn.XLOOKUP(A129,A128:A727,[1]Sheet3!V66:V665)</f>
        <v>0.38595454126375506</v>
      </c>
      <c r="R129" s="7">
        <f>_xlfn.XLOOKUP(A129,A128:A727,[1]Sheet3!W66:W665)</f>
        <v>77.84</v>
      </c>
      <c r="S129" t="str">
        <f>_xlfn.XLOOKUP(A129,A128:A727,[1]Sheet3!X66:X665)</f>
        <v>UPI</v>
      </c>
      <c r="T129" s="5">
        <f>_xlfn.XLOOKUP(A129,A128:A727,[1]Sheet3!Z66:Z665)</f>
        <v>3</v>
      </c>
      <c r="U129" t="b">
        <f>_xlfn.XLOOKUP(A129,A128:A727,[1]Sheet3!AA66:AA665)</f>
        <v>0</v>
      </c>
      <c r="V129" t="str">
        <f>_xlfn.XLOOKUP(A129,A128:A727,[1]Sheet3!AC66:AC665)</f>
        <v>Delivered</v>
      </c>
      <c r="W129" s="5">
        <f>_xlfn.XLOOKUP(A129,A128:A727,[1]Sheet3!AE66:AE665)</f>
        <v>5</v>
      </c>
    </row>
    <row r="130" spans="1:23" x14ac:dyDescent="0.35">
      <c r="A130" t="s">
        <v>360</v>
      </c>
      <c r="B130" s="1">
        <f>_xlfn.XLOOKUP(A130,A129:A728,[1]Sheet3!C239:C838)</f>
        <v>44229</v>
      </c>
      <c r="C130" t="str">
        <f>_xlfn.XLOOKUP(A130,A129:A728,[1]Sheet3!D239:D838)</f>
        <v>CUST31073</v>
      </c>
      <c r="D130" t="str">
        <f>_xlfn.XLOOKUP(A130,A129:A728,[1]Sheet3!E239:E838)</f>
        <v>Kavya Shah</v>
      </c>
      <c r="E130" s="5">
        <f>_xlfn.XLOOKUP(A130,A129:A728,[1]Sheet3!G239:G838)</f>
        <v>48</v>
      </c>
      <c r="F130" t="str">
        <f>_xlfn.XLOOKUP('Retail Sales'!A240,'Retail Sales'!A239:A838,[1]Sheet3!H239:H838)</f>
        <v>Adult</v>
      </c>
      <c r="G130" t="str">
        <f>_xlfn.XLOOKUP(A130,A129:A728,[1]Sheet3!J239:J838)</f>
        <v>Male</v>
      </c>
      <c r="H130" t="str">
        <f>_xlfn.XLOOKUP(A130,A129:A728,[1]Sheet3!K239:K838)</f>
        <v>East</v>
      </c>
      <c r="I130" t="str">
        <f>_xlfn.XLOOKUP(A130,A129:A728,[1]Sheet3!L239:L838)</f>
        <v>Bhubaneswar</v>
      </c>
      <c r="J130" t="str">
        <f>_xlfn.XLOOKUP(A130,A129:A728,[1]Sheet3!M239:M838)</f>
        <v>Groceries</v>
      </c>
      <c r="K130" t="str">
        <f>_xlfn.XLOOKUP('Retail Sales'!A240,'Retail Sales'!A239:A838,[1]Sheet3!N239:N838)</f>
        <v>Flour</v>
      </c>
      <c r="L130" s="5">
        <f>_xlfn.XLOOKUP(A130,A129:A728,[1]Sheet3!P239:P838)</f>
        <v>7</v>
      </c>
      <c r="M130" s="7">
        <f>_xlfn.XLOOKUP(A130,A129:A728,[1]Sheet3!Q239:Q838)</f>
        <v>474.48</v>
      </c>
      <c r="N130" s="9">
        <f>_xlfn.XLOOKUP(A130,A129:A728,[1]Sheet3!S239:S838)</f>
        <v>0.26</v>
      </c>
      <c r="O130" s="7">
        <f>_xlfn.XLOOKUP(A130,A129:A728,[1]Sheet3!T239:T838)</f>
        <v>2258.19</v>
      </c>
      <c r="P130" s="7">
        <f>_xlfn.XLOOKUP(A130,A129:A728,[1]Sheet3!U239:U838)</f>
        <v>189.8</v>
      </c>
      <c r="Q130" s="11">
        <f>_xlfn.XLOOKUP(A130,A129:A728,[1]Sheet3!V239:V838)</f>
        <v>8.4049614957111676E-2</v>
      </c>
      <c r="R130" s="7">
        <f>_xlfn.XLOOKUP(A130,A129:A728,[1]Sheet3!W239:W838)</f>
        <v>40.18</v>
      </c>
      <c r="S130" t="str">
        <f>_xlfn.XLOOKUP(A130,A129:A728,[1]Sheet3!X239:X838)</f>
        <v>Debit Card</v>
      </c>
      <c r="T130" s="5">
        <f>_xlfn.XLOOKUP(A130,A129:A728,[1]Sheet3!Z239:Z838)</f>
        <v>1</v>
      </c>
      <c r="U130" t="b">
        <f>_xlfn.XLOOKUP(A130,A129:A728,[1]Sheet3!AA239:AA838)</f>
        <v>1</v>
      </c>
      <c r="V130" t="str">
        <f>_xlfn.XLOOKUP(A130,A129:A728,[1]Sheet3!AC239:AC838)</f>
        <v>Returned</v>
      </c>
      <c r="W130" s="5">
        <f>_xlfn.XLOOKUP(A130,A129:A728,[1]Sheet3!AE239:AE838)</f>
        <v>2</v>
      </c>
    </row>
    <row r="131" spans="1:23" x14ac:dyDescent="0.35">
      <c r="A131" t="s">
        <v>80</v>
      </c>
      <c r="B131" s="1">
        <f>_xlfn.XLOOKUP(A131,A130:A729,[1]Sheet3!C519:C1118)</f>
        <v>44231</v>
      </c>
      <c r="C131" t="str">
        <f>_xlfn.XLOOKUP(A131,A130:A729,[1]Sheet3!D519:D1118)</f>
        <v>CUST50029</v>
      </c>
      <c r="D131" t="str">
        <f>_xlfn.XLOOKUP(A131,A130:A729,[1]Sheet3!E519:E1118)</f>
        <v>Rohan Mehta</v>
      </c>
      <c r="E131" s="5">
        <f>_xlfn.XLOOKUP(A131,A130:A729,[1]Sheet3!G519:G1118)</f>
        <v>27</v>
      </c>
      <c r="F131" t="str">
        <f>_xlfn.XLOOKUP('Retail Sales'!A520,'Retail Sales'!A519:A1118,[1]Sheet3!H519:H1118)</f>
        <v>Young Adult</v>
      </c>
      <c r="G131" t="str">
        <f>_xlfn.XLOOKUP(A131,A130:A729,[1]Sheet3!J519:J1118)</f>
        <v>Other</v>
      </c>
      <c r="H131" t="str">
        <f>_xlfn.XLOOKUP(A131,A130:A729,[1]Sheet3!K519:K1118)</f>
        <v>West</v>
      </c>
      <c r="I131" t="str">
        <f>_xlfn.XLOOKUP(A131,A130:A729,[1]Sheet3!L519:L1118)</f>
        <v>Mumbai</v>
      </c>
      <c r="J131" t="str">
        <f>_xlfn.XLOOKUP(A131,A130:A729,[1]Sheet3!M519:M1118)</f>
        <v>Clothing</v>
      </c>
      <c r="K131" t="str">
        <f>_xlfn.XLOOKUP('Retail Sales'!A520,'Retail Sales'!A519:A1118,[1]Sheet3!N519:N1118)</f>
        <v>T-Shirt</v>
      </c>
      <c r="L131" s="5">
        <f>_xlfn.XLOOKUP(A131,A130:A729,[1]Sheet3!P519:P1118)</f>
        <v>10</v>
      </c>
      <c r="M131" s="7">
        <f>_xlfn.XLOOKUP(A131,A130:A729,[1]Sheet3!Q519:Q1118)</f>
        <v>1064.5</v>
      </c>
      <c r="N131" s="9">
        <f>_xlfn.XLOOKUP(A131,A130:A729,[1]Sheet3!S519:S1118)</f>
        <v>0.2</v>
      </c>
      <c r="O131" s="7">
        <f>_xlfn.XLOOKUP(A131,A130:A729,[1]Sheet3!T519:T1118)</f>
        <v>8259.5300000000007</v>
      </c>
      <c r="P131" s="7">
        <f>_xlfn.XLOOKUP(A131,A130:A729,[1]Sheet3!U519:U1118)</f>
        <v>3321.3</v>
      </c>
      <c r="Q131" s="11">
        <f>_xlfn.XLOOKUP(A131,A130:A729,[1]Sheet3!V519:V1118)</f>
        <v>0.40211731175987009</v>
      </c>
      <c r="R131" s="7">
        <f>_xlfn.XLOOKUP(A131,A130:A729,[1]Sheet3!W519:W1118)</f>
        <v>64.42</v>
      </c>
      <c r="S131" t="str">
        <f>_xlfn.XLOOKUP(A131,A130:A729,[1]Sheet3!X519:X1118)</f>
        <v>Cash on Delivery</v>
      </c>
      <c r="T131" s="5">
        <f>_xlfn.XLOOKUP(A131,A130:A729,[1]Sheet3!Z519:Z1118)</f>
        <v>4</v>
      </c>
      <c r="U131" t="b">
        <f>_xlfn.XLOOKUP(A131,A130:A729,[1]Sheet3!AA519:AA1118)</f>
        <v>0</v>
      </c>
      <c r="V131" t="str">
        <f>_xlfn.XLOOKUP(A131,A130:A729,[1]Sheet3!AC519:AC1118)</f>
        <v>Delivered</v>
      </c>
      <c r="W131" s="5">
        <f>_xlfn.XLOOKUP(A131,A130:A729,[1]Sheet3!AE519:AE1118)</f>
        <v>9</v>
      </c>
    </row>
    <row r="132" spans="1:23" x14ac:dyDescent="0.35">
      <c r="A132" t="s">
        <v>442</v>
      </c>
      <c r="B132" s="1">
        <f>_xlfn.XLOOKUP(A132,A131:A730,[1]Sheet3!C157:C756)</f>
        <v>44231</v>
      </c>
      <c r="C132" t="str">
        <f>_xlfn.XLOOKUP(A132,A131:A730,[1]Sheet3!D157:D756)</f>
        <v>CUST27547</v>
      </c>
      <c r="D132" t="str">
        <f>_xlfn.XLOOKUP(A132,A131:A730,[1]Sheet3!E157:E756)</f>
        <v>Shreya Gupta</v>
      </c>
      <c r="E132" s="5">
        <f>_xlfn.XLOOKUP(A132,A131:A730,[1]Sheet3!G157:G756)</f>
        <v>49</v>
      </c>
      <c r="F132" t="str">
        <f>_xlfn.XLOOKUP('Retail Sales'!A158,'Retail Sales'!A157:A756,[1]Sheet3!H157:H756)</f>
        <v>Adult</v>
      </c>
      <c r="G132" t="str">
        <f>_xlfn.XLOOKUP(A132,A131:A730,[1]Sheet3!J157:J756)</f>
        <v>Male</v>
      </c>
      <c r="H132" t="str">
        <f>_xlfn.XLOOKUP(A132,A131:A730,[1]Sheet3!K157:K756)</f>
        <v>South</v>
      </c>
      <c r="I132" t="str">
        <f>_xlfn.XLOOKUP(A132,A131:A730,[1]Sheet3!L157:L756)</f>
        <v>Chennai</v>
      </c>
      <c r="J132" t="str">
        <f>_xlfn.XLOOKUP(A132,A131:A730,[1]Sheet3!M157:M756)</f>
        <v>Electronics</v>
      </c>
      <c r="K132" t="str">
        <f>_xlfn.XLOOKUP('Retail Sales'!A158,'Retail Sales'!A157:A756,[1]Sheet3!N157:N756)</f>
        <v>Smartwatch</v>
      </c>
      <c r="L132" s="5">
        <f>_xlfn.XLOOKUP(A132,A131:A730,[1]Sheet3!P157:P756)</f>
        <v>10</v>
      </c>
      <c r="M132" s="7">
        <f>_xlfn.XLOOKUP(A132,A131:A730,[1]Sheet3!Q157:Q756)</f>
        <v>72812.39</v>
      </c>
      <c r="N132" s="9">
        <f>_xlfn.XLOOKUP(A132,A131:A730,[1]Sheet3!S157:S756)</f>
        <v>0.28999999999999998</v>
      </c>
      <c r="O132" s="7">
        <f>_xlfn.XLOOKUP(A132,A131:A730,[1]Sheet3!T157:T756)</f>
        <v>520084.41</v>
      </c>
      <c r="P132" s="7">
        <f>_xlfn.XLOOKUP(A132,A131:A730,[1]Sheet3!U157:U756)</f>
        <v>94437.03</v>
      </c>
      <c r="Q132" s="11">
        <f>_xlfn.XLOOKUP(A132,A131:A730,[1]Sheet3!V157:V756)</f>
        <v>0.18158019772213516</v>
      </c>
      <c r="R132" s="7">
        <f>_xlfn.XLOOKUP(A132,A131:A730,[1]Sheet3!W157:W756)</f>
        <v>76.77</v>
      </c>
      <c r="S132" t="str">
        <f>_xlfn.XLOOKUP(A132,A131:A730,[1]Sheet3!X157:X756)</f>
        <v>Net Banking</v>
      </c>
      <c r="T132" s="5">
        <f>_xlfn.XLOOKUP(A132,A131:A730,[1]Sheet3!Z157:Z756)</f>
        <v>2</v>
      </c>
      <c r="U132" t="b">
        <f>_xlfn.XLOOKUP(A132,A131:A730,[1]Sheet3!AA157:AA756)</f>
        <v>1</v>
      </c>
      <c r="V132" t="str">
        <f>_xlfn.XLOOKUP(A132,A131:A730,[1]Sheet3!AC157:AC756)</f>
        <v>Returned</v>
      </c>
      <c r="W132" s="5">
        <f>_xlfn.XLOOKUP(A132,A131:A730,[1]Sheet3!AE157:AE756)</f>
        <v>10</v>
      </c>
    </row>
    <row r="133" spans="1:23" x14ac:dyDescent="0.35">
      <c r="A133" t="s">
        <v>225</v>
      </c>
      <c r="B133" s="1">
        <f>_xlfn.XLOOKUP(A133,A132:A731,[1]Sheet3!C374:C973)</f>
        <v>44243</v>
      </c>
      <c r="C133" t="str">
        <f>_xlfn.XLOOKUP(A133,A132:A731,[1]Sheet3!D374:D973)</f>
        <v>CUST76268</v>
      </c>
      <c r="D133" t="str">
        <f>_xlfn.XLOOKUP(A133,A132:A731,[1]Sheet3!E374:E973)</f>
        <v>Arjun Patel</v>
      </c>
      <c r="E133" s="5">
        <f>_xlfn.XLOOKUP(A133,A132:A731,[1]Sheet3!G374:G973)</f>
        <v>36</v>
      </c>
      <c r="F133" t="str">
        <f>_xlfn.XLOOKUP('Retail Sales'!A375,'Retail Sales'!A374:A973,[1]Sheet3!H374:H973)</f>
        <v>Adult</v>
      </c>
      <c r="G133" t="str">
        <f>_xlfn.XLOOKUP(A133,A132:A731,[1]Sheet3!J374:J973)</f>
        <v>Other</v>
      </c>
      <c r="H133" t="str">
        <f>_xlfn.XLOOKUP(A133,A132:A731,[1]Sheet3!K374:K973)</f>
        <v>North</v>
      </c>
      <c r="I133" t="str">
        <f>_xlfn.XLOOKUP(A133,A132:A731,[1]Sheet3!L374:L973)</f>
        <v>Amritsar</v>
      </c>
      <c r="J133" t="str">
        <f>_xlfn.XLOOKUP(A133,A132:A731,[1]Sheet3!M374:M973)</f>
        <v>Electronics</v>
      </c>
      <c r="K133" t="str">
        <f>_xlfn.XLOOKUP('Retail Sales'!A375,'Retail Sales'!A374:A973,[1]Sheet3!N374:N973)</f>
        <v>Smartwatch</v>
      </c>
      <c r="L133" s="5">
        <f>_xlfn.XLOOKUP(A133,A132:A731,[1]Sheet3!P374:P973)</f>
        <v>3</v>
      </c>
      <c r="M133" s="7">
        <f>_xlfn.XLOOKUP(A133,A132:A731,[1]Sheet3!Q374:Q973)</f>
        <v>48921.59</v>
      </c>
      <c r="N133" s="9">
        <f>_xlfn.XLOOKUP(A133,A132:A731,[1]Sheet3!S374:S973)</f>
        <v>0.19</v>
      </c>
      <c r="O133" s="7">
        <f>_xlfn.XLOOKUP(A133,A132:A731,[1]Sheet3!T374:T973)</f>
        <v>107608.01</v>
      </c>
      <c r="P133" s="7">
        <f>_xlfn.XLOOKUP(A133,A132:A731,[1]Sheet3!U374:U973)</f>
        <v>16935.060000000001</v>
      </c>
      <c r="Q133" s="11">
        <f>_xlfn.XLOOKUP(A133,A132:A731,[1]Sheet3!V374:V973)</f>
        <v>0.15737731791527418</v>
      </c>
      <c r="R133" s="7">
        <f>_xlfn.XLOOKUP(A133,A132:A731,[1]Sheet3!W374:W973)</f>
        <v>46.65</v>
      </c>
      <c r="S133" t="str">
        <f>_xlfn.XLOOKUP(A133,A132:A731,[1]Sheet3!X374:X973)</f>
        <v>Credit Card</v>
      </c>
      <c r="T133" s="5">
        <f>_xlfn.XLOOKUP(A133,A132:A731,[1]Sheet3!Z374:Z973)</f>
        <v>1</v>
      </c>
      <c r="U133" t="b">
        <f>_xlfn.XLOOKUP(A133,A132:A731,[1]Sheet3!AA374:AA973)</f>
        <v>0</v>
      </c>
      <c r="V133" t="str">
        <f>_xlfn.XLOOKUP(A133,A132:A731,[1]Sheet3!AC374:AC973)</f>
        <v>Delivered</v>
      </c>
      <c r="W133" s="5">
        <f>_xlfn.XLOOKUP(A133,A132:A731,[1]Sheet3!AE374:AE973)</f>
        <v>3</v>
      </c>
    </row>
    <row r="134" spans="1:23" x14ac:dyDescent="0.35">
      <c r="A134" t="s">
        <v>482</v>
      </c>
      <c r="B134" s="1">
        <f>_xlfn.XLOOKUP(A134,A133:A732,[1]Sheet3!C117:C716)</f>
        <v>44244</v>
      </c>
      <c r="C134" t="str">
        <f>_xlfn.XLOOKUP(A134,A133:A732,[1]Sheet3!D117:D716)</f>
        <v>CUST67405</v>
      </c>
      <c r="D134" t="str">
        <f>_xlfn.XLOOKUP(A134,A133:A732,[1]Sheet3!E117:E716)</f>
        <v>Meera Pillai</v>
      </c>
      <c r="E134" s="5">
        <f>_xlfn.XLOOKUP(A134,A133:A732,[1]Sheet3!G117:G716)</f>
        <v>48</v>
      </c>
      <c r="F134" t="str">
        <f>_xlfn.XLOOKUP('Retail Sales'!A118,'Retail Sales'!A117:A716,[1]Sheet3!H117:H716)</f>
        <v>Adult</v>
      </c>
      <c r="G134" t="str">
        <f>_xlfn.XLOOKUP(A134,A133:A732,[1]Sheet3!J117:J716)</f>
        <v>Male</v>
      </c>
      <c r="H134" t="str">
        <f>_xlfn.XLOOKUP(A134,A133:A732,[1]Sheet3!K117:K716)</f>
        <v>Central</v>
      </c>
      <c r="I134" t="str">
        <f>_xlfn.XLOOKUP(A134,A133:A732,[1]Sheet3!L117:L716)</f>
        <v>Indore</v>
      </c>
      <c r="J134" t="str">
        <f>_xlfn.XLOOKUP(A134,A133:A732,[1]Sheet3!M117:M716)</f>
        <v>Sports</v>
      </c>
      <c r="K134" t="str">
        <f>_xlfn.XLOOKUP('Retail Sales'!A118,'Retail Sales'!A117:A716,[1]Sheet3!N117:N716)</f>
        <v>Cycle</v>
      </c>
      <c r="L134" s="5">
        <f>_xlfn.XLOOKUP(A134,A133:A732,[1]Sheet3!P117:P716)</f>
        <v>3</v>
      </c>
      <c r="M134" s="7">
        <f>_xlfn.XLOOKUP(A134,A133:A732,[1]Sheet3!Q117:Q716)</f>
        <v>11359.59</v>
      </c>
      <c r="N134" s="9">
        <f>_xlfn.XLOOKUP(A134,A133:A732,[1]Sheet3!S117:S716)</f>
        <v>0.01</v>
      </c>
      <c r="O134" s="7">
        <f>_xlfn.XLOOKUP(A134,A133:A732,[1]Sheet3!T117:T716)</f>
        <v>30752.81</v>
      </c>
      <c r="P134" s="7">
        <f>_xlfn.XLOOKUP(A134,A133:A732,[1]Sheet3!U117:U716)</f>
        <v>7374.96</v>
      </c>
      <c r="Q134" s="11">
        <f>_xlfn.XLOOKUP(A134,A133:A732,[1]Sheet3!V117:V716)</f>
        <v>0.23981418283402395</v>
      </c>
      <c r="R134" s="7">
        <f>_xlfn.XLOOKUP(A134,A133:A732,[1]Sheet3!W117:W716)</f>
        <v>41.65</v>
      </c>
      <c r="S134" t="str">
        <f>_xlfn.XLOOKUP(A134,A133:A732,[1]Sheet3!X117:X716)</f>
        <v>Debit Card</v>
      </c>
      <c r="T134" s="5">
        <f>_xlfn.XLOOKUP(A134,A133:A732,[1]Sheet3!Z117:Z716)</f>
        <v>1</v>
      </c>
      <c r="U134" t="b">
        <f>_xlfn.XLOOKUP(A134,A133:A732,[1]Sheet3!AA117:AA716)</f>
        <v>0</v>
      </c>
      <c r="V134" t="str">
        <f>_xlfn.XLOOKUP(A134,A133:A732,[1]Sheet3!AC117:AC716)</f>
        <v>Delivered</v>
      </c>
      <c r="W134" s="5">
        <f>_xlfn.XLOOKUP(A134,A133:A732,[1]Sheet3!AE117:AE716)</f>
        <v>8</v>
      </c>
    </row>
    <row r="135" spans="1:23" x14ac:dyDescent="0.35">
      <c r="A135" t="s">
        <v>343</v>
      </c>
      <c r="B135" s="1">
        <f>_xlfn.XLOOKUP(A135,A134:A733,[1]Sheet3!C256:C855)</f>
        <v>44249</v>
      </c>
      <c r="C135" t="str">
        <f>_xlfn.XLOOKUP(A135,A134:A733,[1]Sheet3!D256:D855)</f>
        <v>CUST41859</v>
      </c>
      <c r="D135" t="str">
        <f>_xlfn.XLOOKUP(A135,A134:A733,[1]Sheet3!E256:E855)</f>
        <v>Deepa Kumar</v>
      </c>
      <c r="E135" s="5">
        <f>_xlfn.XLOOKUP(A135,A134:A733,[1]Sheet3!G256:G855)</f>
        <v>38</v>
      </c>
      <c r="F135" t="str">
        <f>_xlfn.XLOOKUP('Retail Sales'!A257,'Retail Sales'!A256:A855,[1]Sheet3!H256:H855)</f>
        <v>Adult</v>
      </c>
      <c r="G135" t="str">
        <f>_xlfn.XLOOKUP(A135,A134:A733,[1]Sheet3!J256:J855)</f>
        <v>Other</v>
      </c>
      <c r="H135" t="str">
        <f>_xlfn.XLOOKUP(A135,A134:A733,[1]Sheet3!K256:K855)</f>
        <v>Central</v>
      </c>
      <c r="I135" t="str">
        <f>_xlfn.XLOOKUP(A135,A134:A733,[1]Sheet3!L256:L855)</f>
        <v>Nagpur</v>
      </c>
      <c r="J135" t="str">
        <f>_xlfn.XLOOKUP(A135,A134:A733,[1]Sheet3!M256:M855)</f>
        <v>Beauty</v>
      </c>
      <c r="K135" t="str">
        <f>_xlfn.XLOOKUP('Retail Sales'!A257,'Retail Sales'!A256:A855,[1]Sheet3!N256:N855)</f>
        <v>Shampoo</v>
      </c>
      <c r="L135" s="5">
        <f>_xlfn.XLOOKUP(A135,A134:A733,[1]Sheet3!P256:P855)</f>
        <v>7</v>
      </c>
      <c r="M135" s="7">
        <f>_xlfn.XLOOKUP(A135,A134:A733,[1]Sheet3!Q256:Q855)</f>
        <v>322.75</v>
      </c>
      <c r="N135" s="9">
        <f>_xlfn.XLOOKUP(A135,A134:A733,[1]Sheet3!S256:S855)</f>
        <v>0.15</v>
      </c>
      <c r="O135" s="7">
        <f>_xlfn.XLOOKUP(A135,A134:A733,[1]Sheet3!T256:T855)</f>
        <v>1684.8</v>
      </c>
      <c r="P135" s="7">
        <f>_xlfn.XLOOKUP(A135,A134:A733,[1]Sheet3!U256:U855)</f>
        <v>760.63</v>
      </c>
      <c r="Q135" s="11">
        <f>_xlfn.XLOOKUP(A135,A134:A733,[1]Sheet3!V256:V855)</f>
        <v>0.45146604938271606</v>
      </c>
      <c r="R135" s="7">
        <f>_xlfn.XLOOKUP(A135,A134:A733,[1]Sheet3!W256:W855)</f>
        <v>28.86</v>
      </c>
      <c r="S135" t="str">
        <f>_xlfn.XLOOKUP(A135,A134:A733,[1]Sheet3!X256:X855)</f>
        <v>Cash on Delivery</v>
      </c>
      <c r="T135" s="5">
        <f>_xlfn.XLOOKUP(A135,A134:A733,[1]Sheet3!Z256:Z855)</f>
        <v>1</v>
      </c>
      <c r="U135" t="b">
        <f>_xlfn.XLOOKUP(A135,A134:A733,[1]Sheet3!AA256:AA855)</f>
        <v>1</v>
      </c>
      <c r="V135" t="str">
        <f>_xlfn.XLOOKUP(A135,A134:A733,[1]Sheet3!AC256:AC855)</f>
        <v>Returned</v>
      </c>
      <c r="W135" s="5">
        <f>_xlfn.XLOOKUP(A135,A134:A733,[1]Sheet3!AE256:AE855)</f>
        <v>5</v>
      </c>
    </row>
    <row r="136" spans="1:23" x14ac:dyDescent="0.35">
      <c r="A136" t="s">
        <v>426</v>
      </c>
      <c r="B136" s="1">
        <f>_xlfn.XLOOKUP(A136,A135:A734,[1]Sheet3!C173:C772)</f>
        <v>44250</v>
      </c>
      <c r="C136" t="str">
        <f>_xlfn.XLOOKUP(A136,A135:A734,[1]Sheet3!D173:D772)</f>
        <v>CUST88225</v>
      </c>
      <c r="D136" t="str">
        <f>_xlfn.XLOOKUP(A136,A135:A734,[1]Sheet3!E173:E772)</f>
        <v>Pooja Mishra</v>
      </c>
      <c r="E136" s="5">
        <f>_xlfn.XLOOKUP(A136,A135:A734,[1]Sheet3!G173:G772)</f>
        <v>37</v>
      </c>
      <c r="F136" t="str">
        <f>_xlfn.XLOOKUP('Retail Sales'!A174,'Retail Sales'!A173:A772,[1]Sheet3!H173:H772)</f>
        <v>Adult</v>
      </c>
      <c r="G136" t="str">
        <f>_xlfn.XLOOKUP(A136,A135:A734,[1]Sheet3!J173:J772)</f>
        <v>Female</v>
      </c>
      <c r="H136" t="str">
        <f>_xlfn.XLOOKUP(A136,A135:A734,[1]Sheet3!K173:K772)</f>
        <v>South</v>
      </c>
      <c r="I136" t="str">
        <f>_xlfn.XLOOKUP(A136,A135:A734,[1]Sheet3!L173:L772)</f>
        <v>Hyderabad</v>
      </c>
      <c r="J136" t="str">
        <f>_xlfn.XLOOKUP(A136,A135:A734,[1]Sheet3!M173:M772)</f>
        <v>Clothing</v>
      </c>
      <c r="K136" t="str">
        <f>_xlfn.XLOOKUP('Retail Sales'!A174,'Retail Sales'!A173:A772,[1]Sheet3!N173:N772)</f>
        <v>Dress</v>
      </c>
      <c r="L136" s="5">
        <f>_xlfn.XLOOKUP(A136,A135:A734,[1]Sheet3!P173:P772)</f>
        <v>2</v>
      </c>
      <c r="M136" s="7">
        <f>_xlfn.XLOOKUP(A136,A135:A734,[1]Sheet3!Q173:Q772)</f>
        <v>2323.11</v>
      </c>
      <c r="N136" s="9">
        <f>_xlfn.XLOOKUP(A136,A135:A734,[1]Sheet3!S173:S772)</f>
        <v>0.1</v>
      </c>
      <c r="O136" s="7">
        <f>_xlfn.XLOOKUP(A136,A135:A734,[1]Sheet3!T173:T772)</f>
        <v>3708.79</v>
      </c>
      <c r="P136" s="7">
        <f>_xlfn.XLOOKUP(A136,A135:A734,[1]Sheet3!U173:U772)</f>
        <v>1138.78</v>
      </c>
      <c r="Q136" s="11">
        <f>_xlfn.XLOOKUP(A136,A135:A734,[1]Sheet3!V173:V772)</f>
        <v>0.30704892970483633</v>
      </c>
      <c r="R136" s="7">
        <f>_xlfn.XLOOKUP(A136,A135:A734,[1]Sheet3!W173:W772)</f>
        <v>85.32</v>
      </c>
      <c r="S136" t="str">
        <f>_xlfn.XLOOKUP(A136,A135:A734,[1]Sheet3!X173:X772)</f>
        <v>Net Banking</v>
      </c>
      <c r="T136" s="5">
        <f>_xlfn.XLOOKUP(A136,A135:A734,[1]Sheet3!Z173:Z772)</f>
        <v>2</v>
      </c>
      <c r="U136" t="b">
        <f>_xlfn.XLOOKUP(A136,A135:A734,[1]Sheet3!AA173:AA772)</f>
        <v>0</v>
      </c>
      <c r="V136" t="str">
        <f>_xlfn.XLOOKUP(A136,A135:A734,[1]Sheet3!AC173:AC772)</f>
        <v>Delivered</v>
      </c>
      <c r="W136" s="5">
        <f>_xlfn.XLOOKUP(A136,A135:A734,[1]Sheet3!AE173:AE772)</f>
        <v>7</v>
      </c>
    </row>
    <row r="137" spans="1:23" x14ac:dyDescent="0.35">
      <c r="A137" t="s">
        <v>566</v>
      </c>
      <c r="B137" s="1">
        <f>_xlfn.XLOOKUP(A137,A136:A735,[1]Sheet3!C33:C632)</f>
        <v>44254</v>
      </c>
      <c r="C137" t="str">
        <f>_xlfn.XLOOKUP(A137,A136:A735,[1]Sheet3!D33:D632)</f>
        <v>CUST82575</v>
      </c>
      <c r="D137" t="str">
        <f>_xlfn.XLOOKUP(A137,A136:A735,[1]Sheet3!E33:E632)</f>
        <v>Kavya Pillai</v>
      </c>
      <c r="E137" s="5">
        <f>_xlfn.XLOOKUP(A137,A136:A735,[1]Sheet3!G33:G632)</f>
        <v>29</v>
      </c>
      <c r="F137" t="str">
        <f>_xlfn.XLOOKUP('Retail Sales'!A34,'Retail Sales'!A33:A632,[1]Sheet3!H33:H632)</f>
        <v>Young Adult</v>
      </c>
      <c r="G137" t="str">
        <f>_xlfn.XLOOKUP(A137,A136:A735,[1]Sheet3!J33:J632)</f>
        <v>Female</v>
      </c>
      <c r="H137" t="str">
        <f>_xlfn.XLOOKUP(A137,A136:A735,[1]Sheet3!K33:K632)</f>
        <v>Central</v>
      </c>
      <c r="I137" t="str">
        <f>_xlfn.XLOOKUP(A137,A136:A735,[1]Sheet3!L33:L632)</f>
        <v>Nagpur</v>
      </c>
      <c r="J137" t="str">
        <f>_xlfn.XLOOKUP(A137,A136:A735,[1]Sheet3!M33:M632)</f>
        <v>Furniture</v>
      </c>
      <c r="K137" t="str">
        <f>_xlfn.XLOOKUP('Retail Sales'!A34,'Retail Sales'!A33:A632,[1]Sheet3!N33:N632)</f>
        <v>Bookshelf</v>
      </c>
      <c r="L137" s="5">
        <f>_xlfn.XLOOKUP(A137,A136:A735,[1]Sheet3!P33:P632)</f>
        <v>1</v>
      </c>
      <c r="M137" s="7">
        <f>_xlfn.XLOOKUP(A137,A136:A735,[1]Sheet3!Q33:Q632)</f>
        <v>33537.06</v>
      </c>
      <c r="N137" s="9">
        <f>_xlfn.XLOOKUP(A137,A136:A735,[1]Sheet3!S33:S632)</f>
        <v>0.25</v>
      </c>
      <c r="O137" s="7">
        <f>_xlfn.XLOOKUP(A137,A136:A735,[1]Sheet3!T33:T632)</f>
        <v>24565.06</v>
      </c>
      <c r="P137" s="7">
        <f>_xlfn.XLOOKUP(A137,A136:A735,[1]Sheet3!U33:U632)</f>
        <v>5814.79</v>
      </c>
      <c r="Q137" s="11">
        <f>_xlfn.XLOOKUP(A137,A136:A735,[1]Sheet3!V33:V632)</f>
        <v>0.23670978210515259</v>
      </c>
      <c r="R137" s="7">
        <f>_xlfn.XLOOKUP(A137,A136:A735,[1]Sheet3!W33:W632)</f>
        <v>56.47</v>
      </c>
      <c r="S137" t="str">
        <f>_xlfn.XLOOKUP(A137,A136:A735,[1]Sheet3!X33:X632)</f>
        <v>Debit Card</v>
      </c>
      <c r="T137" s="5">
        <f>_xlfn.XLOOKUP(A137,A136:A735,[1]Sheet3!Z33:Z632)</f>
        <v>4</v>
      </c>
      <c r="U137" t="b">
        <f>_xlfn.XLOOKUP(A137,A136:A735,[1]Sheet3!AA33:AA632)</f>
        <v>0</v>
      </c>
      <c r="V137" t="str">
        <f>_xlfn.XLOOKUP(A137,A136:A735,[1]Sheet3!AC33:AC632)</f>
        <v>Delivered</v>
      </c>
      <c r="W137" s="5">
        <f>_xlfn.XLOOKUP(A137,A136:A735,[1]Sheet3!AE33:AE632)</f>
        <v>2</v>
      </c>
    </row>
    <row r="138" spans="1:23" x14ac:dyDescent="0.35">
      <c r="A138" t="s">
        <v>76</v>
      </c>
      <c r="B138" s="1">
        <f>_xlfn.XLOOKUP(A138,A137:A736,[1]Sheet3!C523:C1122)</f>
        <v>44256</v>
      </c>
      <c r="C138" t="str">
        <f>_xlfn.XLOOKUP(A138,A137:A736,[1]Sheet3!D523:D1122)</f>
        <v>CUST76016</v>
      </c>
      <c r="D138" t="str">
        <f>_xlfn.XLOOKUP(A138,A137:A736,[1]Sheet3!E523:E1122)</f>
        <v>Sanjay Gupta</v>
      </c>
      <c r="E138" s="5">
        <f>_xlfn.XLOOKUP(A138,A137:A736,[1]Sheet3!G523:G1122)</f>
        <v>27</v>
      </c>
      <c r="F138" t="str">
        <f>_xlfn.XLOOKUP('Retail Sales'!A524,'Retail Sales'!A523:A1122,[1]Sheet3!H523:H1122)</f>
        <v>Young Adult</v>
      </c>
      <c r="G138" t="str">
        <f>_xlfn.XLOOKUP(A138,A137:A736,[1]Sheet3!J523:J1122)</f>
        <v>Other</v>
      </c>
      <c r="H138" t="str">
        <f>_xlfn.XLOOKUP(A138,A137:A736,[1]Sheet3!K523:K1122)</f>
        <v>South</v>
      </c>
      <c r="I138" t="str">
        <f>_xlfn.XLOOKUP(A138,A137:A736,[1]Sheet3!L523:L1122)</f>
        <v>Hyderabad</v>
      </c>
      <c r="J138" t="str">
        <f>_xlfn.XLOOKUP(A138,A137:A736,[1]Sheet3!M523:M1122)</f>
        <v>Sports</v>
      </c>
      <c r="K138" t="str">
        <f>_xlfn.XLOOKUP('Retail Sales'!A524,'Retail Sales'!A523:A1122,[1]Sheet3!N523:N1122)</f>
        <v>Tennis Racket</v>
      </c>
      <c r="L138" s="5">
        <f>_xlfn.XLOOKUP(A138,A137:A736,[1]Sheet3!P523:P1122)</f>
        <v>1</v>
      </c>
      <c r="M138" s="7">
        <f>_xlfn.XLOOKUP(A138,A137:A736,[1]Sheet3!Q523:Q1122)</f>
        <v>10397.719999999999</v>
      </c>
      <c r="N138" s="9">
        <f>_xlfn.XLOOKUP(A138,A137:A736,[1]Sheet3!S523:S1122)</f>
        <v>0.19793402777777783</v>
      </c>
      <c r="O138" s="7">
        <f>_xlfn.XLOOKUP(A138,A137:A736,[1]Sheet3!T523:T1122)</f>
        <v>10108.14</v>
      </c>
      <c r="P138" s="7">
        <f>_xlfn.XLOOKUP(A138,A137:A736,[1]Sheet3!U523:U1122)</f>
        <v>2948.56</v>
      </c>
      <c r="Q138" s="11">
        <f>_xlfn.XLOOKUP(A138,A137:A736,[1]Sheet3!V523:V1122)</f>
        <v>0.29170153955129235</v>
      </c>
      <c r="R138" s="7">
        <f>_xlfn.XLOOKUP(A138,A137:A736,[1]Sheet3!W523:W1122)</f>
        <v>88.19</v>
      </c>
      <c r="S138" t="str">
        <f>_xlfn.XLOOKUP(A138,A137:A736,[1]Sheet3!X523:X1122)</f>
        <v>Net Banking</v>
      </c>
      <c r="T138" s="5">
        <f>_xlfn.XLOOKUP(A138,A137:A736,[1]Sheet3!Z523:Z1122)</f>
        <v>1</v>
      </c>
      <c r="U138" t="b">
        <f>_xlfn.XLOOKUP(A138,A137:A736,[1]Sheet3!AA523:AA1122)</f>
        <v>0</v>
      </c>
      <c r="V138" t="str">
        <f>_xlfn.XLOOKUP(A138,A137:A736,[1]Sheet3!AC523:AC1122)</f>
        <v>Shipped</v>
      </c>
      <c r="W138" s="5">
        <f>_xlfn.XLOOKUP(A138,A137:A736,[1]Sheet3!AE523:AE1122)</f>
        <v>2</v>
      </c>
    </row>
    <row r="139" spans="1:23" x14ac:dyDescent="0.35">
      <c r="A139" t="s">
        <v>493</v>
      </c>
      <c r="B139" s="1">
        <f>_xlfn.XLOOKUP(A139,A138:A737,[1]Sheet3!C106:C705)</f>
        <v>44257</v>
      </c>
      <c r="C139" t="str">
        <f>_xlfn.XLOOKUP(A139,A138:A737,[1]Sheet3!D106:D705)</f>
        <v>CUST48937</v>
      </c>
      <c r="D139" t="str">
        <f>_xlfn.XLOOKUP(A139,A138:A737,[1]Sheet3!E106:E705)</f>
        <v>Nisha Iyer</v>
      </c>
      <c r="E139" s="5">
        <f>_xlfn.XLOOKUP(A139,A138:A737,[1]Sheet3!G106:G705)</f>
        <v>14</v>
      </c>
      <c r="F139" t="str">
        <f>_xlfn.XLOOKUP('Retail Sales'!A107,'Retail Sales'!A106:A705,[1]Sheet3!H106:H705)</f>
        <v>Teen</v>
      </c>
      <c r="G139" t="str">
        <f>_xlfn.XLOOKUP(A139,A138:A737,[1]Sheet3!J106:J705)</f>
        <v>Female</v>
      </c>
      <c r="H139" t="str">
        <f>_xlfn.XLOOKUP(A139,A138:A737,[1]Sheet3!K106:K705)</f>
        <v>Central</v>
      </c>
      <c r="I139" t="str">
        <f>_xlfn.XLOOKUP(A139,A138:A737,[1]Sheet3!L106:L705)</f>
        <v>Indore</v>
      </c>
      <c r="J139" t="str">
        <f>_xlfn.XLOOKUP(A139,A138:A737,[1]Sheet3!M106:M705)</f>
        <v>Clothing</v>
      </c>
      <c r="K139" t="str">
        <f>_xlfn.XLOOKUP('Retail Sales'!A107,'Retail Sales'!A106:A705,[1]Sheet3!N106:N705)</f>
        <v>Jeans</v>
      </c>
      <c r="L139" s="5">
        <f>_xlfn.XLOOKUP(A139,A138:A737,[1]Sheet3!P106:P705)</f>
        <v>3</v>
      </c>
      <c r="M139" s="7">
        <f>_xlfn.XLOOKUP(A139,A138:A737,[1]Sheet3!Q106:Q705)</f>
        <v>3314.25</v>
      </c>
      <c r="N139" s="9">
        <f>_xlfn.XLOOKUP(A139,A138:A737,[1]Sheet3!S106:S705)</f>
        <v>0.1</v>
      </c>
      <c r="O139" s="7">
        <f>_xlfn.XLOOKUP(A139,A138:A737,[1]Sheet3!T106:T705)</f>
        <v>9673.58</v>
      </c>
      <c r="P139" s="7">
        <f>_xlfn.XLOOKUP(A139,A138:A737,[1]Sheet3!U106:U705)</f>
        <v>3783</v>
      </c>
      <c r="Q139" s="11">
        <f>_xlfn.XLOOKUP(A139,A138:A737,[1]Sheet3!V106:V705)</f>
        <v>0.39106514857994662</v>
      </c>
      <c r="R139" s="7">
        <f>_xlfn.XLOOKUP(A139,A138:A737,[1]Sheet3!W106:W705)</f>
        <v>52.17</v>
      </c>
      <c r="S139" t="str">
        <f>_xlfn.XLOOKUP(A139,A138:A737,[1]Sheet3!X106:X705)</f>
        <v>UPI</v>
      </c>
      <c r="T139" s="5">
        <f>_xlfn.XLOOKUP(A139,A138:A737,[1]Sheet3!Z106:Z705)</f>
        <v>3</v>
      </c>
      <c r="U139" t="b">
        <f>_xlfn.XLOOKUP(A139,A138:A737,[1]Sheet3!AA106:AA705)</f>
        <v>0</v>
      </c>
      <c r="V139" t="str">
        <f>_xlfn.XLOOKUP(A139,A138:A737,[1]Sheet3!AC106:AC705)</f>
        <v>Shipped</v>
      </c>
      <c r="W139" s="5">
        <f>_xlfn.XLOOKUP(A139,A138:A737,[1]Sheet3!AE106:AE705)</f>
        <v>8</v>
      </c>
    </row>
    <row r="140" spans="1:23" x14ac:dyDescent="0.35">
      <c r="A140" t="s">
        <v>469</v>
      </c>
      <c r="B140" s="1">
        <f>_xlfn.XLOOKUP(A140,A139:A738,[1]Sheet3!C130:C729)</f>
        <v>44260</v>
      </c>
      <c r="C140" t="str">
        <f>_xlfn.XLOOKUP(A140,A139:A738,[1]Sheet3!D130:D729)</f>
        <v>CUST85939</v>
      </c>
      <c r="D140" t="str">
        <f>_xlfn.XLOOKUP(A140,A139:A738,[1]Sheet3!E130:E729)</f>
        <v>Nikhil Patel</v>
      </c>
      <c r="E140" s="5">
        <f>_xlfn.XLOOKUP(A140,A139:A738,[1]Sheet3!G130:G729)</f>
        <v>47</v>
      </c>
      <c r="F140" t="str">
        <f>_xlfn.XLOOKUP('Retail Sales'!A131,'Retail Sales'!A130:A729,[1]Sheet3!H130:H729)</f>
        <v>Adult</v>
      </c>
      <c r="G140" t="str">
        <f>_xlfn.XLOOKUP(A140,A139:A738,[1]Sheet3!J130:J729)</f>
        <v>Female</v>
      </c>
      <c r="H140" t="str">
        <f>_xlfn.XLOOKUP(A140,A139:A738,[1]Sheet3!K130:K729)</f>
        <v>North</v>
      </c>
      <c r="I140" t="str">
        <f>_xlfn.XLOOKUP(A140,A139:A738,[1]Sheet3!L130:L729)</f>
        <v>Amritsar</v>
      </c>
      <c r="J140" t="str">
        <f>_xlfn.XLOOKUP(A140,A139:A738,[1]Sheet3!M130:M729)</f>
        <v>Furniture</v>
      </c>
      <c r="K140" t="str">
        <f>_xlfn.XLOOKUP('Retail Sales'!A131,'Retail Sales'!A130:A729,[1]Sheet3!N130:N729)</f>
        <v>Chair</v>
      </c>
      <c r="L140" s="5">
        <f>_xlfn.XLOOKUP(A140,A139:A738,[1]Sheet3!P130:P729)</f>
        <v>6</v>
      </c>
      <c r="M140" s="7">
        <f>_xlfn.XLOOKUP(A140,A139:A738,[1]Sheet3!Q130:Q729)</f>
        <v>29194.28</v>
      </c>
      <c r="N140" s="9">
        <f>_xlfn.XLOOKUP(A140,A139:A738,[1]Sheet3!S130:S729)</f>
        <v>0.36</v>
      </c>
      <c r="O140" s="7">
        <f>_xlfn.XLOOKUP(A140,A139:A738,[1]Sheet3!T130:T729)</f>
        <v>144911.63</v>
      </c>
      <c r="P140" s="7">
        <f>_xlfn.XLOOKUP(A140,A139:A738,[1]Sheet3!U130:U729)</f>
        <v>54404.2</v>
      </c>
      <c r="Q140" s="11">
        <f>_xlfn.XLOOKUP(A140,A139:A738,[1]Sheet3!V130:V729)</f>
        <v>0.37543018458904914</v>
      </c>
      <c r="R140" s="7">
        <f>_xlfn.XLOOKUP(A140,A139:A738,[1]Sheet3!W130:W729)</f>
        <v>64.14</v>
      </c>
      <c r="S140" t="str">
        <f>_xlfn.XLOOKUP(A140,A139:A738,[1]Sheet3!X130:X729)</f>
        <v>Credit Card</v>
      </c>
      <c r="T140" s="5">
        <f>_xlfn.XLOOKUP(A140,A139:A738,[1]Sheet3!Z130:Z729)</f>
        <v>3</v>
      </c>
      <c r="U140" t="b">
        <f>_xlfn.XLOOKUP(A140,A139:A738,[1]Sheet3!AA130:AA729)</f>
        <v>0</v>
      </c>
      <c r="V140" t="str">
        <f>_xlfn.XLOOKUP(A140,A139:A738,[1]Sheet3!AC130:AC729)</f>
        <v>Delivered</v>
      </c>
      <c r="W140" s="5">
        <f>_xlfn.XLOOKUP(A140,A139:A738,[1]Sheet3!AE130:AE729)</f>
        <v>9</v>
      </c>
    </row>
    <row r="141" spans="1:23" x14ac:dyDescent="0.35">
      <c r="A141" t="s">
        <v>534</v>
      </c>
      <c r="B141" s="1">
        <f>_xlfn.XLOOKUP(A141,A140:A739,[1]Sheet3!C65:C664)</f>
        <v>44272</v>
      </c>
      <c r="C141" t="str">
        <f>_xlfn.XLOOKUP(A141,A140:A739,[1]Sheet3!D65:D664)</f>
        <v>CUST15832</v>
      </c>
      <c r="D141" t="str">
        <f>_xlfn.XLOOKUP(A141,A140:A739,[1]Sheet3!E65:E664)</f>
        <v>Aarav Pillai</v>
      </c>
      <c r="E141" s="5">
        <f>_xlfn.XLOOKUP(A141,A140:A739,[1]Sheet3!G65:G664)</f>
        <v>22</v>
      </c>
      <c r="F141" t="str">
        <f>_xlfn.XLOOKUP('Retail Sales'!A66,'Retail Sales'!A65:A664,[1]Sheet3!H65:H664)</f>
        <v>Young Adult</v>
      </c>
      <c r="G141" t="str">
        <f>_xlfn.XLOOKUP(A141,A140:A739,[1]Sheet3!J65:J664)</f>
        <v>Other</v>
      </c>
      <c r="H141" t="str">
        <f>_xlfn.XLOOKUP(A141,A140:A739,[1]Sheet3!K65:K664)</f>
        <v>East</v>
      </c>
      <c r="I141" t="str">
        <f>_xlfn.XLOOKUP(A141,A140:A739,[1]Sheet3!L65:L664)</f>
        <v>Kolkata</v>
      </c>
      <c r="J141" t="str">
        <f>_xlfn.XLOOKUP(A141,A140:A739,[1]Sheet3!M65:M664)</f>
        <v>Electronics</v>
      </c>
      <c r="K141" t="str">
        <f>_xlfn.XLOOKUP('Retail Sales'!A66,'Retail Sales'!A65:A664,[1]Sheet3!N65:N664)</f>
        <v>Laptop</v>
      </c>
      <c r="L141" s="5">
        <f>_xlfn.XLOOKUP(A141,A140:A739,[1]Sheet3!P65:P664)</f>
        <v>4</v>
      </c>
      <c r="M141" s="7">
        <f>_xlfn.XLOOKUP(A141,A140:A739,[1]Sheet3!Q65:Q664)</f>
        <v>11157.11</v>
      </c>
      <c r="N141" s="9">
        <f>_xlfn.XLOOKUP(A141,A140:A739,[1]Sheet3!S65:S664)</f>
        <v>0.38</v>
      </c>
      <c r="O141" s="7">
        <f>_xlfn.XLOOKUP(A141,A140:A739,[1]Sheet3!T65:T664)</f>
        <v>32774.69</v>
      </c>
      <c r="P141" s="7">
        <f>_xlfn.XLOOKUP(A141,A140:A739,[1]Sheet3!U65:U664)</f>
        <v>3797.24</v>
      </c>
      <c r="Q141" s="11">
        <f>_xlfn.XLOOKUP(A141,A140:A739,[1]Sheet3!V65:V664)</f>
        <v>0.11585891430246936</v>
      </c>
      <c r="R141" s="7">
        <f>_xlfn.XLOOKUP(A141,A140:A739,[1]Sheet3!W65:W664)</f>
        <v>55.14</v>
      </c>
      <c r="S141" t="str">
        <f>_xlfn.XLOOKUP(A141,A140:A739,[1]Sheet3!X65:X664)</f>
        <v>Credit Card</v>
      </c>
      <c r="T141" s="5">
        <f>_xlfn.XLOOKUP(A141,A140:A739,[1]Sheet3!Z65:Z664)</f>
        <v>1</v>
      </c>
      <c r="U141" t="b">
        <f>_xlfn.XLOOKUP(A141,A140:A739,[1]Sheet3!AA65:AA664)</f>
        <v>1</v>
      </c>
      <c r="V141" t="str">
        <f>_xlfn.XLOOKUP(A141,A140:A739,[1]Sheet3!AC65:AC664)</f>
        <v>Returned</v>
      </c>
      <c r="W141" s="5">
        <f>_xlfn.XLOOKUP(A141,A140:A739,[1]Sheet3!AE65:AE664)</f>
        <v>8</v>
      </c>
    </row>
    <row r="142" spans="1:23" x14ac:dyDescent="0.35">
      <c r="A142" t="s">
        <v>577</v>
      </c>
      <c r="B142" s="1">
        <f>_xlfn.XLOOKUP(A142,A141:A740,[1]Sheet3!C22:C621)</f>
        <v>44272</v>
      </c>
      <c r="C142" t="str">
        <f>_xlfn.XLOOKUP(A142,A141:A740,[1]Sheet3!D22:D621)</f>
        <v>CUST41573</v>
      </c>
      <c r="D142" t="str">
        <f>_xlfn.XLOOKUP(A142,A141:A740,[1]Sheet3!E22:E621)</f>
        <v>Sanjay Mishra</v>
      </c>
      <c r="E142" s="5">
        <f>_xlfn.XLOOKUP(A142,A141:A740,[1]Sheet3!G22:G621)</f>
        <v>35</v>
      </c>
      <c r="F142" t="str">
        <f>_xlfn.XLOOKUP('Retail Sales'!A23,'Retail Sales'!A22:A621,[1]Sheet3!H22:H621)</f>
        <v>Young Adult</v>
      </c>
      <c r="G142" t="str">
        <f>_xlfn.XLOOKUP(A142,A141:A740,[1]Sheet3!J22:J621)</f>
        <v>Female</v>
      </c>
      <c r="H142" t="str">
        <f>_xlfn.XLOOKUP(A142,A141:A740,[1]Sheet3!K22:K621)</f>
        <v>South</v>
      </c>
      <c r="I142" t="str">
        <f>_xlfn.XLOOKUP(A142,A141:A740,[1]Sheet3!L22:L621)</f>
        <v>Kochi</v>
      </c>
      <c r="J142" t="str">
        <f>_xlfn.XLOOKUP(A142,A141:A740,[1]Sheet3!M22:M621)</f>
        <v>Sports</v>
      </c>
      <c r="K142" t="str">
        <f>_xlfn.XLOOKUP('Retail Sales'!A23,'Retail Sales'!A22:A621,[1]Sheet3!N22:N621)</f>
        <v>Dumbbells</v>
      </c>
      <c r="L142" s="5">
        <f>_xlfn.XLOOKUP(A142,A141:A740,[1]Sheet3!P22:P621)</f>
        <v>8</v>
      </c>
      <c r="M142" s="7">
        <f>_xlfn.XLOOKUP(A142,A141:A740,[1]Sheet3!Q22:Q621)</f>
        <v>7643.4</v>
      </c>
      <c r="N142" s="9">
        <f>_xlfn.XLOOKUP(A142,A141:A740,[1]Sheet3!S22:S621)</f>
        <v>0.09</v>
      </c>
      <c r="O142" s="7">
        <f>_xlfn.XLOOKUP(A142,A141:A740,[1]Sheet3!T22:T621)</f>
        <v>61783.199999999997</v>
      </c>
      <c r="P142" s="7">
        <f>_xlfn.XLOOKUP(A142,A141:A740,[1]Sheet3!U22:U621)</f>
        <v>10099.620000000001</v>
      </c>
      <c r="Q142" s="11">
        <f>_xlfn.XLOOKUP(A142,A141:A740,[1]Sheet3!V22:V621)</f>
        <v>0.16346870994056639</v>
      </c>
      <c r="R142" s="7">
        <f>_xlfn.XLOOKUP(A142,A141:A740,[1]Sheet3!W22:W621)</f>
        <v>65.760000000000005</v>
      </c>
      <c r="S142" t="str">
        <f>_xlfn.XLOOKUP(A142,A141:A740,[1]Sheet3!X22:X621)</f>
        <v>Credit Card</v>
      </c>
      <c r="T142" s="5">
        <f>_xlfn.XLOOKUP(A142,A141:A740,[1]Sheet3!Z22:Z621)</f>
        <v>3</v>
      </c>
      <c r="U142" t="b">
        <f>_xlfn.XLOOKUP(A142,A141:A740,[1]Sheet3!AA22:AA621)</f>
        <v>0</v>
      </c>
      <c r="V142" t="str">
        <f>_xlfn.XLOOKUP(A142,A141:A740,[1]Sheet3!AC22:AC621)</f>
        <v>Delivered</v>
      </c>
      <c r="W142" s="5">
        <f>_xlfn.XLOOKUP(A142,A141:A740,[1]Sheet3!AE22:AE621)</f>
        <v>8</v>
      </c>
    </row>
    <row r="143" spans="1:23" x14ac:dyDescent="0.35">
      <c r="A143" t="s">
        <v>98</v>
      </c>
      <c r="B143" s="1">
        <f>_xlfn.XLOOKUP(A143,A142:A741,[1]Sheet3!C501:C1100)</f>
        <v>44275</v>
      </c>
      <c r="C143" t="str">
        <f>_xlfn.XLOOKUP(A143,A142:A741,[1]Sheet3!D501:D1100)</f>
        <v>CUST18672</v>
      </c>
      <c r="D143" t="str">
        <f>_xlfn.XLOOKUP(A143,A142:A741,[1]Sheet3!E501:E1100)</f>
        <v>Rahul Rao</v>
      </c>
      <c r="E143" s="5">
        <f>_xlfn.XLOOKUP(A143,A142:A741,[1]Sheet3!G501:G1100)</f>
        <v>12</v>
      </c>
      <c r="F143" t="str">
        <f>_xlfn.XLOOKUP('Retail Sales'!A502,'Retail Sales'!A501:A1100,[1]Sheet3!H501:H1100)</f>
        <v>Child</v>
      </c>
      <c r="G143" t="str">
        <f>_xlfn.XLOOKUP(A143,A142:A741,[1]Sheet3!J501:J1100)</f>
        <v>Other</v>
      </c>
      <c r="H143" t="str">
        <f>_xlfn.XLOOKUP(A143,A142:A741,[1]Sheet3!K501:K1100)</f>
        <v>West</v>
      </c>
      <c r="I143" t="str">
        <f>_xlfn.XLOOKUP(A143,A142:A741,[1]Sheet3!L501:L1100)</f>
        <v>Mumbai</v>
      </c>
      <c r="J143" t="str">
        <f>_xlfn.XLOOKUP(A143,A142:A741,[1]Sheet3!M501:M1100)</f>
        <v>Beauty</v>
      </c>
      <c r="K143" t="str">
        <f>_xlfn.XLOOKUP('Retail Sales'!A502,'Retail Sales'!A501:A1100,[1]Sheet3!N501:N1100)</f>
        <v>Hair Oil</v>
      </c>
      <c r="L143" s="5">
        <f>_xlfn.XLOOKUP(A143,A142:A741,[1]Sheet3!P501:P1100)</f>
        <v>3</v>
      </c>
      <c r="M143" s="7">
        <f>_xlfn.XLOOKUP(A143,A142:A741,[1]Sheet3!Q501:Q1100)</f>
        <v>956.76</v>
      </c>
      <c r="N143" s="9">
        <f>_xlfn.XLOOKUP(A143,A142:A741,[1]Sheet3!S501:S1100)</f>
        <v>0.28000000000000003</v>
      </c>
      <c r="O143" s="7">
        <f>_xlfn.XLOOKUP(A143,A142:A741,[1]Sheet3!T501:T1100)</f>
        <v>2408.87</v>
      </c>
      <c r="P143" s="7">
        <f>_xlfn.XLOOKUP(A143,A142:A741,[1]Sheet3!U501:U1100)</f>
        <v>1153.68</v>
      </c>
      <c r="Q143" s="11">
        <f>_xlfn.XLOOKUP(A143,A142:A741,[1]Sheet3!V501:V1100)</f>
        <v>0.47892995470905453</v>
      </c>
      <c r="R143" s="7">
        <f>_xlfn.XLOOKUP(A143,A142:A741,[1]Sheet3!W501:W1100)</f>
        <v>89.77</v>
      </c>
      <c r="S143" t="str">
        <f>_xlfn.XLOOKUP(A143,A142:A741,[1]Sheet3!X501:X1100)</f>
        <v>Credit Card</v>
      </c>
      <c r="T143" s="5">
        <f>_xlfn.XLOOKUP(A143,A142:A741,[1]Sheet3!Z501:Z1100)</f>
        <v>3</v>
      </c>
      <c r="U143" t="b">
        <f>_xlfn.XLOOKUP(A143,A142:A741,[1]Sheet3!AA501:AA1100)</f>
        <v>0</v>
      </c>
      <c r="V143" t="str">
        <f>_xlfn.XLOOKUP(A143,A142:A741,[1]Sheet3!AC501:AC1100)</f>
        <v>Delivered</v>
      </c>
      <c r="W143" s="5">
        <f>_xlfn.XLOOKUP(A143,A142:A741,[1]Sheet3!AE501:AE1100)</f>
        <v>9</v>
      </c>
    </row>
    <row r="144" spans="1:23" x14ac:dyDescent="0.35">
      <c r="A144" t="s">
        <v>326</v>
      </c>
      <c r="B144" s="1">
        <f>_xlfn.XLOOKUP(A144,A143:A742,[1]Sheet3!C273:C872)</f>
        <v>44275</v>
      </c>
      <c r="C144" t="str">
        <f>_xlfn.XLOOKUP(A144,A143:A742,[1]Sheet3!D273:D872)</f>
        <v>CUST76263</v>
      </c>
      <c r="D144" t="str">
        <f>_xlfn.XLOOKUP(A144,A143:A742,[1]Sheet3!E273:E872)</f>
        <v>Arjun Reddy</v>
      </c>
      <c r="E144" s="5">
        <f>_xlfn.XLOOKUP(A144,A143:A742,[1]Sheet3!G273:G872)</f>
        <v>20</v>
      </c>
      <c r="F144" t="str">
        <f>_xlfn.XLOOKUP('Retail Sales'!A274,'Retail Sales'!A273:A872,[1]Sheet3!H273:H872)</f>
        <v>Young Adult</v>
      </c>
      <c r="G144" t="str">
        <f>_xlfn.XLOOKUP(A144,A143:A742,[1]Sheet3!J273:J872)</f>
        <v>Male</v>
      </c>
      <c r="H144" t="str">
        <f>_xlfn.XLOOKUP(A144,A143:A742,[1]Sheet3!K273:K872)</f>
        <v>West</v>
      </c>
      <c r="I144" t="str">
        <f>_xlfn.XLOOKUP(A144,A143:A742,[1]Sheet3!L273:L872)</f>
        <v>Surat</v>
      </c>
      <c r="J144" t="str">
        <f>_xlfn.XLOOKUP(A144,A143:A742,[1]Sheet3!M273:M872)</f>
        <v>Furniture</v>
      </c>
      <c r="K144" t="str">
        <f>_xlfn.XLOOKUP('Retail Sales'!A274,'Retail Sales'!A273:A872,[1]Sheet3!N273:N872)</f>
        <v>Sofa</v>
      </c>
      <c r="L144" s="5">
        <f>_xlfn.XLOOKUP(A144,A143:A742,[1]Sheet3!P273:P872)</f>
        <v>6</v>
      </c>
      <c r="M144" s="7">
        <f>_xlfn.XLOOKUP(A144,A143:A742,[1]Sheet3!Q273:Q872)</f>
        <v>5299.05</v>
      </c>
      <c r="N144" s="9">
        <f>_xlfn.XLOOKUP(A144,A143:A742,[1]Sheet3!S273:S872)</f>
        <v>0.13</v>
      </c>
      <c r="O144" s="7">
        <f>_xlfn.XLOOKUP(A144,A143:A742,[1]Sheet3!T273:T872)</f>
        <v>28279.75</v>
      </c>
      <c r="P144" s="7">
        <f>_xlfn.XLOOKUP(A144,A143:A742,[1]Sheet3!U273:U872)</f>
        <v>5506.48</v>
      </c>
      <c r="Q144" s="11">
        <f>_xlfn.XLOOKUP(A144,A143:A742,[1]Sheet3!V273:V872)</f>
        <v>0.19471459259717641</v>
      </c>
      <c r="R144" s="7">
        <f>_xlfn.XLOOKUP(A144,A143:A742,[1]Sheet3!W273:W872)</f>
        <v>36.549999999999997</v>
      </c>
      <c r="S144" t="str">
        <f>_xlfn.XLOOKUP(A144,A143:A742,[1]Sheet3!X273:X872)</f>
        <v>Cash on Delivery</v>
      </c>
      <c r="T144" s="5">
        <f>_xlfn.XLOOKUP(A144,A143:A742,[1]Sheet3!Z273:Z872)</f>
        <v>4</v>
      </c>
      <c r="U144" t="b">
        <f>_xlfn.XLOOKUP(A144,A143:A742,[1]Sheet3!AA273:AA872)</f>
        <v>0</v>
      </c>
      <c r="V144" t="str">
        <f>_xlfn.XLOOKUP(A144,A143:A742,[1]Sheet3!AC273:AC872)</f>
        <v>Delivered</v>
      </c>
      <c r="W144" s="5">
        <f>_xlfn.XLOOKUP(A144,A143:A742,[1]Sheet3!AE273:AE872)</f>
        <v>7</v>
      </c>
    </row>
    <row r="145" spans="1:23" x14ac:dyDescent="0.35">
      <c r="A145" t="s">
        <v>262</v>
      </c>
      <c r="B145" s="1">
        <f>_xlfn.XLOOKUP(A145,A144:A743,[1]Sheet3!C337:C936)</f>
        <v>44278</v>
      </c>
      <c r="C145" t="str">
        <f>_xlfn.XLOOKUP(A145,A144:A743,[1]Sheet3!D337:D936)</f>
        <v>CUST31894</v>
      </c>
      <c r="D145" t="str">
        <f>_xlfn.XLOOKUP(A145,A144:A743,[1]Sheet3!E337:E936)</f>
        <v>Amit Joshi</v>
      </c>
      <c r="E145" s="5">
        <f>_xlfn.XLOOKUP(A145,A144:A743,[1]Sheet3!G337:G936)</f>
        <v>44</v>
      </c>
      <c r="F145" t="str">
        <f>_xlfn.XLOOKUP('Retail Sales'!A338,'Retail Sales'!A337:A936,[1]Sheet3!H337:H936)</f>
        <v>Adult</v>
      </c>
      <c r="G145" t="str">
        <f>_xlfn.XLOOKUP(A145,A144:A743,[1]Sheet3!J337:J936)</f>
        <v>Other</v>
      </c>
      <c r="H145" t="str">
        <f>_xlfn.XLOOKUP(A145,A144:A743,[1]Sheet3!K337:K936)</f>
        <v>North</v>
      </c>
      <c r="I145" t="str">
        <f>_xlfn.XLOOKUP(A145,A144:A743,[1]Sheet3!L337:L936)</f>
        <v>Ludhiana</v>
      </c>
      <c r="J145" t="str">
        <f>_xlfn.XLOOKUP(A145,A144:A743,[1]Sheet3!M337:M936)</f>
        <v>Furniture</v>
      </c>
      <c r="K145" t="str">
        <f>_xlfn.XLOOKUP('Retail Sales'!A338,'Retail Sales'!A337:A936,[1]Sheet3!N337:N936)</f>
        <v>Desk</v>
      </c>
      <c r="L145" s="5">
        <f>_xlfn.XLOOKUP(A145,A144:A743,[1]Sheet3!P337:P936)</f>
        <v>2</v>
      </c>
      <c r="M145" s="7">
        <f>_xlfn.XLOOKUP(A145,A144:A743,[1]Sheet3!Q337:Q936)</f>
        <v>4143.1000000000004</v>
      </c>
      <c r="N145" s="9">
        <f>_xlfn.XLOOKUP(A145,A144:A743,[1]Sheet3!S337:S936)</f>
        <v>0.19793402777777783</v>
      </c>
      <c r="O145" s="7">
        <f>_xlfn.XLOOKUP(A145,A144:A743,[1]Sheet3!T337:T936)</f>
        <v>9554.34</v>
      </c>
      <c r="P145" s="7">
        <f>_xlfn.XLOOKUP(A145,A144:A743,[1]Sheet3!U337:U936)</f>
        <v>2463.9499999999998</v>
      </c>
      <c r="Q145" s="11">
        <f>_xlfn.XLOOKUP(A145,A144:A743,[1]Sheet3!V337:V936)</f>
        <v>0.25788803831557172</v>
      </c>
      <c r="R145" s="7">
        <f>_xlfn.XLOOKUP(A145,A144:A743,[1]Sheet3!W337:W936)</f>
        <v>56.97</v>
      </c>
      <c r="S145" t="str">
        <f>_xlfn.XLOOKUP(A145,A144:A743,[1]Sheet3!X337:X936)</f>
        <v>Net Banking</v>
      </c>
      <c r="T145" s="5">
        <f>_xlfn.XLOOKUP(A145,A144:A743,[1]Sheet3!Z337:Z936)</f>
        <v>5</v>
      </c>
      <c r="U145" t="b">
        <f>_xlfn.XLOOKUP(A145,A144:A743,[1]Sheet3!AA337:AA936)</f>
        <v>0</v>
      </c>
      <c r="V145" t="str">
        <f>_xlfn.XLOOKUP(A145,A144:A743,[1]Sheet3!AC337:AC936)</f>
        <v>Delivered</v>
      </c>
      <c r="W145" s="5">
        <f>_xlfn.XLOOKUP(A145,A144:A743,[1]Sheet3!AE337:AE936)</f>
        <v>5</v>
      </c>
    </row>
    <row r="146" spans="1:23" x14ac:dyDescent="0.35">
      <c r="A146" t="s">
        <v>121</v>
      </c>
      <c r="B146" s="1">
        <f>_xlfn.XLOOKUP(A146,A145:A744,[1]Sheet3!C478:C1077)</f>
        <v>44279</v>
      </c>
      <c r="C146" t="str">
        <f>_xlfn.XLOOKUP(A146,A145:A744,[1]Sheet3!D478:D1077)</f>
        <v>CUST01477</v>
      </c>
      <c r="D146" t="str">
        <f>_xlfn.XLOOKUP(A146,A145:A744,[1]Sheet3!E478:E1077)</f>
        <v>Karan Mishra</v>
      </c>
      <c r="E146" s="5">
        <f>_xlfn.XLOOKUP(A146,A145:A744,[1]Sheet3!G478:G1077)</f>
        <v>49</v>
      </c>
      <c r="F146" t="str">
        <f>_xlfn.XLOOKUP('Retail Sales'!A479,'Retail Sales'!A478:A1077,[1]Sheet3!H478:H1077)</f>
        <v>Adult</v>
      </c>
      <c r="G146" t="str">
        <f>_xlfn.XLOOKUP(A146,A145:A744,[1]Sheet3!J478:J1077)</f>
        <v>Female</v>
      </c>
      <c r="H146" t="str">
        <f>_xlfn.XLOOKUP(A146,A145:A744,[1]Sheet3!K478:K1077)</f>
        <v>North</v>
      </c>
      <c r="I146" t="str">
        <f>_xlfn.XLOOKUP(A146,A145:A744,[1]Sheet3!L478:L1077)</f>
        <v>Delhi</v>
      </c>
      <c r="J146" t="str">
        <f>_xlfn.XLOOKUP(A146,A145:A744,[1]Sheet3!M478:M1077)</f>
        <v>Sports</v>
      </c>
      <c r="K146" t="str">
        <f>_xlfn.XLOOKUP('Retail Sales'!A479,'Retail Sales'!A478:A1077,[1]Sheet3!N478:N1077)</f>
        <v>Yoga Mat</v>
      </c>
      <c r="L146" s="5">
        <f>_xlfn.XLOOKUP(A146,A145:A744,[1]Sheet3!P478:P1077)</f>
        <v>7</v>
      </c>
      <c r="M146" s="7">
        <f>_xlfn.XLOOKUP(A146,A145:A744,[1]Sheet3!Q478:Q1077)</f>
        <v>2782.21</v>
      </c>
      <c r="N146" s="9">
        <f>_xlfn.XLOOKUP(A146,A145:A744,[1]Sheet3!S478:S1077)</f>
        <v>0.21</v>
      </c>
      <c r="O146" s="7">
        <f>_xlfn.XLOOKUP(A146,A145:A744,[1]Sheet3!T478:T1077)</f>
        <v>13694.75</v>
      </c>
      <c r="P146" s="7">
        <f>_xlfn.XLOOKUP(A146,A145:A744,[1]Sheet3!U478:U1077)</f>
        <v>1856.34</v>
      </c>
      <c r="Q146" s="11">
        <f>_xlfn.XLOOKUP(A146,A145:A744,[1]Sheet3!V478:V1077)</f>
        <v>0.1355512148816152</v>
      </c>
      <c r="R146" s="7">
        <f>_xlfn.XLOOKUP(A146,A145:A744,[1]Sheet3!W478:W1077)</f>
        <v>60.88</v>
      </c>
      <c r="S146" t="str">
        <f>_xlfn.XLOOKUP(A146,A145:A744,[1]Sheet3!X478:X1077)</f>
        <v>Net Banking</v>
      </c>
      <c r="T146" s="5">
        <f>_xlfn.XLOOKUP(A146,A145:A744,[1]Sheet3!Z478:Z1077)</f>
        <v>3</v>
      </c>
      <c r="U146" t="b">
        <f>_xlfn.XLOOKUP(A146,A145:A744,[1]Sheet3!AA478:AA1077)</f>
        <v>0</v>
      </c>
      <c r="V146" t="str">
        <f>_xlfn.XLOOKUP(A146,A145:A744,[1]Sheet3!AC478:AC1077)</f>
        <v>Delivered</v>
      </c>
      <c r="W146" s="5">
        <f>_xlfn.XLOOKUP(A146,A145:A744,[1]Sheet3!AE478:AE1077)</f>
        <v>4</v>
      </c>
    </row>
    <row r="147" spans="1:23" x14ac:dyDescent="0.35">
      <c r="A147" t="s">
        <v>345</v>
      </c>
      <c r="B147" s="1">
        <f>_xlfn.XLOOKUP(A147,A146:A745,[1]Sheet3!C254:C853)</f>
        <v>44284</v>
      </c>
      <c r="C147" t="str">
        <f>_xlfn.XLOOKUP(A147,A146:A745,[1]Sheet3!D254:D853)</f>
        <v>CUST13598</v>
      </c>
      <c r="D147" t="str">
        <f>_xlfn.XLOOKUP(A147,A146:A745,[1]Sheet3!E254:E853)</f>
        <v>Sanjay Chatterjee</v>
      </c>
      <c r="E147" s="5">
        <f>_xlfn.XLOOKUP(A147,A146:A745,[1]Sheet3!G254:G853)</f>
        <v>31</v>
      </c>
      <c r="F147" t="str">
        <f>_xlfn.XLOOKUP('Retail Sales'!A255,'Retail Sales'!A254:A853,[1]Sheet3!H254:H853)</f>
        <v>Young Adult</v>
      </c>
      <c r="G147" t="str">
        <f>_xlfn.XLOOKUP(A147,A146:A745,[1]Sheet3!J254:J853)</f>
        <v>Male</v>
      </c>
      <c r="H147" t="str">
        <f>_xlfn.XLOOKUP(A147,A146:A745,[1]Sheet3!K254:K853)</f>
        <v>South</v>
      </c>
      <c r="I147" t="str">
        <f>_xlfn.XLOOKUP(A147,A146:A745,[1]Sheet3!L254:L853)</f>
        <v>Chennai</v>
      </c>
      <c r="J147" t="str">
        <f>_xlfn.XLOOKUP(A147,A146:A745,[1]Sheet3!M254:M853)</f>
        <v>Electronics</v>
      </c>
      <c r="K147" t="str">
        <f>_xlfn.XLOOKUP('Retail Sales'!A255,'Retail Sales'!A254:A853,[1]Sheet3!N254:N853)</f>
        <v>Smartwatch</v>
      </c>
      <c r="L147" s="5">
        <f>_xlfn.XLOOKUP(A147,A146:A745,[1]Sheet3!P254:P853)</f>
        <v>4</v>
      </c>
      <c r="M147" s="7">
        <f>_xlfn.XLOOKUP(A147,A146:A745,[1]Sheet3!Q254:Q853)</f>
        <v>70635.62</v>
      </c>
      <c r="N147" s="9">
        <f>_xlfn.XLOOKUP(A147,A146:A745,[1]Sheet3!S254:S853)</f>
        <v>0.32</v>
      </c>
      <c r="O147" s="7">
        <f>_xlfn.XLOOKUP(A147,A146:A745,[1]Sheet3!T254:T853)</f>
        <v>207766.8</v>
      </c>
      <c r="P147" s="7">
        <f>_xlfn.XLOOKUP(A147,A146:A745,[1]Sheet3!U254:U853)</f>
        <v>19874.73</v>
      </c>
      <c r="Q147" s="11">
        <f>_xlfn.XLOOKUP(A147,A146:A745,[1]Sheet3!V254:V853)</f>
        <v>9.5658834809026275E-2</v>
      </c>
      <c r="R147" s="7">
        <f>_xlfn.XLOOKUP(A147,A146:A745,[1]Sheet3!W254:W853)</f>
        <v>73.83</v>
      </c>
      <c r="S147" t="str">
        <f>_xlfn.XLOOKUP(A147,A146:A745,[1]Sheet3!X254:X853)</f>
        <v>UPI</v>
      </c>
      <c r="T147" s="5">
        <f>_xlfn.XLOOKUP(A147,A146:A745,[1]Sheet3!Z254:Z853)</f>
        <v>2</v>
      </c>
      <c r="U147" t="b">
        <f>_xlfn.XLOOKUP(A147,A146:A745,[1]Sheet3!AA254:AA853)</f>
        <v>0</v>
      </c>
      <c r="V147" t="str">
        <f>_xlfn.XLOOKUP(A147,A146:A745,[1]Sheet3!AC254:AC853)</f>
        <v>Pending</v>
      </c>
      <c r="W147" s="5">
        <f>_xlfn.XLOOKUP(A147,A146:A745,[1]Sheet3!AE254:AE853)</f>
        <v>1</v>
      </c>
    </row>
    <row r="148" spans="1:23" x14ac:dyDescent="0.35">
      <c r="A148" t="s">
        <v>107</v>
      </c>
      <c r="B148" s="1">
        <f>_xlfn.XLOOKUP(A148,A147:A746,[1]Sheet3!C492:C1091)</f>
        <v>44287</v>
      </c>
      <c r="C148" t="str">
        <f>_xlfn.XLOOKUP(A148,A147:A746,[1]Sheet3!D492:D1091)</f>
        <v>CUST58835</v>
      </c>
      <c r="D148" t="str">
        <f>_xlfn.XLOOKUP(A148,A147:A746,[1]Sheet3!E492:E1091)</f>
        <v>Meera Iyer</v>
      </c>
      <c r="E148" s="5">
        <f>_xlfn.XLOOKUP(A148,A147:A746,[1]Sheet3!G492:G1091)</f>
        <v>45</v>
      </c>
      <c r="F148" t="str">
        <f>_xlfn.XLOOKUP('Retail Sales'!A493,'Retail Sales'!A492:A1091,[1]Sheet3!H492:H1091)</f>
        <v>Adult</v>
      </c>
      <c r="G148" t="str">
        <f>_xlfn.XLOOKUP(A148,A147:A746,[1]Sheet3!J492:J1091)</f>
        <v>Male</v>
      </c>
      <c r="H148" t="str">
        <f>_xlfn.XLOOKUP(A148,A147:A746,[1]Sheet3!K492:K1091)</f>
        <v>Central</v>
      </c>
      <c r="I148" t="str">
        <f>_xlfn.XLOOKUP(A148,A147:A746,[1]Sheet3!L492:L1091)</f>
        <v>Bhopal</v>
      </c>
      <c r="J148" t="str">
        <f>_xlfn.XLOOKUP(A148,A147:A746,[1]Sheet3!M492:M1091)</f>
        <v>Groceries</v>
      </c>
      <c r="K148" t="str">
        <f>_xlfn.XLOOKUP('Retail Sales'!A493,'Retail Sales'!A492:A1091,[1]Sheet3!N492:N1091)</f>
        <v>Flour</v>
      </c>
      <c r="L148" s="5">
        <f>_xlfn.XLOOKUP(A148,A147:A746,[1]Sheet3!P492:P1091)</f>
        <v>2</v>
      </c>
      <c r="M148" s="7">
        <f>_xlfn.XLOOKUP(A148,A147:A746,[1]Sheet3!Q492:Q1091)</f>
        <v>438.16</v>
      </c>
      <c r="N148" s="9">
        <f>_xlfn.XLOOKUP(A148,A147:A746,[1]Sheet3!S492:S1091)</f>
        <v>0.25</v>
      </c>
      <c r="O148" s="7">
        <f>_xlfn.XLOOKUP(A148,A147:A746,[1]Sheet3!T492:T1091)</f>
        <v>855.21</v>
      </c>
      <c r="P148" s="7">
        <f>_xlfn.XLOOKUP(A148,A147:A746,[1]Sheet3!U492:U1091)</f>
        <v>70.3</v>
      </c>
      <c r="Q148" s="11">
        <f>_xlfn.XLOOKUP(A148,A147:A746,[1]Sheet3!V492:V1091)</f>
        <v>8.2202032249389032E-2</v>
      </c>
      <c r="R148" s="7">
        <f>_xlfn.XLOOKUP(A148,A147:A746,[1]Sheet3!W492:W1091)</f>
        <v>76.819999999999993</v>
      </c>
      <c r="S148" t="str">
        <f>_xlfn.XLOOKUP(A148,A147:A746,[1]Sheet3!X492:X1091)</f>
        <v>Debit Card</v>
      </c>
      <c r="T148" s="5">
        <f>_xlfn.XLOOKUP(A148,A147:A746,[1]Sheet3!Z492:Z1091)</f>
        <v>5</v>
      </c>
      <c r="U148" t="b">
        <f>_xlfn.XLOOKUP(A148,A147:A746,[1]Sheet3!AA492:AA1091)</f>
        <v>0</v>
      </c>
      <c r="V148" t="str">
        <f>_xlfn.XLOOKUP(A148,A147:A746,[1]Sheet3!AC492:AC1091)</f>
        <v>Delivered</v>
      </c>
      <c r="W148" s="5">
        <f>_xlfn.XLOOKUP(A148,A147:A746,[1]Sheet3!AE492:AE1091)</f>
        <v>2</v>
      </c>
    </row>
    <row r="149" spans="1:23" x14ac:dyDescent="0.35">
      <c r="A149" t="s">
        <v>235</v>
      </c>
      <c r="B149" s="1">
        <f>_xlfn.XLOOKUP(A149,A148:A747,[1]Sheet3!C364:C963)</f>
        <v>44289</v>
      </c>
      <c r="C149" t="str">
        <f>_xlfn.XLOOKUP(A149,A148:A747,[1]Sheet3!D364:D963)</f>
        <v>CUST39675</v>
      </c>
      <c r="D149" t="str">
        <f>_xlfn.XLOOKUP(A149,A148:A747,[1]Sheet3!E364:E963)</f>
        <v>Priya Kapoor</v>
      </c>
      <c r="E149" s="5">
        <f>_xlfn.XLOOKUP(A149,A148:A747,[1]Sheet3!G364:G963)</f>
        <v>24</v>
      </c>
      <c r="F149" t="str">
        <f>_xlfn.XLOOKUP('Retail Sales'!A365,'Retail Sales'!A364:A963,[1]Sheet3!H364:H963)</f>
        <v>Young Adult</v>
      </c>
      <c r="G149" t="str">
        <f>_xlfn.XLOOKUP(A149,A148:A747,[1]Sheet3!J364:J963)</f>
        <v>Other</v>
      </c>
      <c r="H149" t="str">
        <f>_xlfn.XLOOKUP(A149,A148:A747,[1]Sheet3!K364:K963)</f>
        <v>East</v>
      </c>
      <c r="I149" t="str">
        <f>_xlfn.XLOOKUP(A149,A148:A747,[1]Sheet3!L364:L963)</f>
        <v>Bhubaneswar</v>
      </c>
      <c r="J149" t="str">
        <f>_xlfn.XLOOKUP(A149,A148:A747,[1]Sheet3!M364:M963)</f>
        <v>Clothing</v>
      </c>
      <c r="K149" t="str">
        <f>_xlfn.XLOOKUP('Retail Sales'!A365,'Retail Sales'!A364:A963,[1]Sheet3!N364:N963)</f>
        <v>Jacket</v>
      </c>
      <c r="L149" s="5">
        <f>_xlfn.XLOOKUP(A149,A148:A747,[1]Sheet3!P364:P963)</f>
        <v>8</v>
      </c>
      <c r="M149" s="7">
        <f>_xlfn.XLOOKUP(A149,A148:A747,[1]Sheet3!Q364:Q963)</f>
        <v>1837.46</v>
      </c>
      <c r="N149" s="9">
        <f>_xlfn.XLOOKUP(A149,A148:A747,[1]Sheet3!S364:S963)</f>
        <v>0.26</v>
      </c>
      <c r="O149" s="7">
        <f>_xlfn.XLOOKUP(A149,A148:A747,[1]Sheet3!T364:T963)</f>
        <v>13934.11</v>
      </c>
      <c r="P149" s="7">
        <f>_xlfn.XLOOKUP(A149,A148:A747,[1]Sheet3!U364:U963)</f>
        <v>4142.9399999999996</v>
      </c>
      <c r="Q149" s="11">
        <f>_xlfn.XLOOKUP(A149,A148:A747,[1]Sheet3!V364:V963)</f>
        <v>0.29732361808540331</v>
      </c>
      <c r="R149" s="7">
        <f>_xlfn.XLOOKUP(A149,A148:A747,[1]Sheet3!W364:W963)</f>
        <v>81.400000000000006</v>
      </c>
      <c r="S149" t="str">
        <f>_xlfn.XLOOKUP(A149,A148:A747,[1]Sheet3!X364:X963)</f>
        <v>EMI</v>
      </c>
      <c r="T149" s="5">
        <f>_xlfn.XLOOKUP(A149,A148:A747,[1]Sheet3!Z364:Z963)</f>
        <v>1</v>
      </c>
      <c r="U149" t="b">
        <f>_xlfn.XLOOKUP(A149,A148:A747,[1]Sheet3!AA364:AA963)</f>
        <v>0</v>
      </c>
      <c r="V149" t="str">
        <f>_xlfn.XLOOKUP(A149,A148:A747,[1]Sheet3!AC364:AC963)</f>
        <v>Cancelled</v>
      </c>
      <c r="W149" s="5">
        <f>_xlfn.XLOOKUP(A149,A148:A747,[1]Sheet3!AE364:AE963)</f>
        <v>8</v>
      </c>
    </row>
    <row r="150" spans="1:23" x14ac:dyDescent="0.35">
      <c r="A150" t="s">
        <v>496</v>
      </c>
      <c r="B150" s="1">
        <f>_xlfn.XLOOKUP(A150,A149:A748,[1]Sheet3!C103:C702)</f>
        <v>44290</v>
      </c>
      <c r="C150" t="str">
        <f>_xlfn.XLOOKUP(A150,A149:A748,[1]Sheet3!D103:D702)</f>
        <v>CUST62653</v>
      </c>
      <c r="D150" t="str">
        <f>_xlfn.XLOOKUP(A150,A149:A748,[1]Sheet3!E103:E702)</f>
        <v>Nikhil Mishra</v>
      </c>
      <c r="E150" s="5">
        <f>_xlfn.XLOOKUP(A150,A149:A748,[1]Sheet3!G103:G702)</f>
        <v>26</v>
      </c>
      <c r="F150" t="str">
        <f>_xlfn.XLOOKUP('Retail Sales'!A104,'Retail Sales'!A103:A702,[1]Sheet3!H103:H702)</f>
        <v>Young Adult</v>
      </c>
      <c r="G150" t="str">
        <f>_xlfn.XLOOKUP(A150,A149:A748,[1]Sheet3!J103:J702)</f>
        <v>Male</v>
      </c>
      <c r="H150" t="str">
        <f>_xlfn.XLOOKUP(A150,A149:A748,[1]Sheet3!K103:K702)</f>
        <v>North</v>
      </c>
      <c r="I150" t="str">
        <f>_xlfn.XLOOKUP(A150,A149:A748,[1]Sheet3!L103:L702)</f>
        <v>Amritsar</v>
      </c>
      <c r="J150" t="str">
        <f>_xlfn.XLOOKUP(A150,A149:A748,[1]Sheet3!M103:M702)</f>
        <v>Groceries</v>
      </c>
      <c r="K150" t="str">
        <f>_xlfn.XLOOKUP('Retail Sales'!A104,'Retail Sales'!A103:A702,[1]Sheet3!N103:N702)</f>
        <v>Cooking Oil</v>
      </c>
      <c r="L150" s="5">
        <f>_xlfn.XLOOKUP(A150,A149:A748,[1]Sheet3!P103:P702)</f>
        <v>1</v>
      </c>
      <c r="M150" s="7">
        <f>_xlfn.XLOOKUP(A150,A149:A748,[1]Sheet3!Q103:Q702)</f>
        <v>116.68</v>
      </c>
      <c r="N150" s="9">
        <f>_xlfn.XLOOKUP(A150,A149:A748,[1]Sheet3!S103:S702)</f>
        <v>0.06</v>
      </c>
      <c r="O150" s="7">
        <f>_xlfn.XLOOKUP(A150,A149:A748,[1]Sheet3!T103:T702)</f>
        <v>118.23</v>
      </c>
      <c r="P150" s="7">
        <f>_xlfn.XLOOKUP(A150,A149:A748,[1]Sheet3!U103:U702)</f>
        <v>9.75</v>
      </c>
      <c r="Q150" s="11">
        <f>_xlfn.XLOOKUP(A150,A149:A748,[1]Sheet3!V103:V702)</f>
        <v>8.2466379091601108E-2</v>
      </c>
      <c r="R150" s="7">
        <f>_xlfn.XLOOKUP(A150,A149:A748,[1]Sheet3!W103:W702)</f>
        <v>47.55</v>
      </c>
      <c r="S150" t="str">
        <f>_xlfn.XLOOKUP(A150,A149:A748,[1]Sheet3!X103:X702)</f>
        <v>Credit Card</v>
      </c>
      <c r="T150" s="5">
        <f>_xlfn.XLOOKUP(A150,A149:A748,[1]Sheet3!Z103:Z702)</f>
        <v>1</v>
      </c>
      <c r="U150" t="b">
        <f>_xlfn.XLOOKUP(A150,A149:A748,[1]Sheet3!AA103:AA702)</f>
        <v>0</v>
      </c>
      <c r="V150" t="str">
        <f>_xlfn.XLOOKUP(A150,A149:A748,[1]Sheet3!AC103:AC702)</f>
        <v>Delivered</v>
      </c>
      <c r="W150" s="5">
        <f>_xlfn.XLOOKUP(A150,A149:A748,[1]Sheet3!AE103:AE702)</f>
        <v>8</v>
      </c>
    </row>
    <row r="151" spans="1:23" x14ac:dyDescent="0.35">
      <c r="A151" t="s">
        <v>462</v>
      </c>
      <c r="B151" s="1">
        <f>_xlfn.XLOOKUP(A151,A150:A749,[1]Sheet3!C137:C736)</f>
        <v>44295</v>
      </c>
      <c r="C151" t="str">
        <f>_xlfn.XLOOKUP(A151,A150:A749,[1]Sheet3!D137:D736)</f>
        <v>CUST78889</v>
      </c>
      <c r="D151" t="str">
        <f>_xlfn.XLOOKUP(A151,A150:A749,[1]Sheet3!E137:E736)</f>
        <v>Nikhil Joshi</v>
      </c>
      <c r="E151" s="5">
        <f>_xlfn.XLOOKUP(A151,A150:A749,[1]Sheet3!G137:G736)</f>
        <v>24</v>
      </c>
      <c r="F151" t="str">
        <f>_xlfn.XLOOKUP('Retail Sales'!A138,'Retail Sales'!A137:A736,[1]Sheet3!H137:H736)</f>
        <v>Young Adult</v>
      </c>
      <c r="G151" t="str">
        <f>_xlfn.XLOOKUP(A151,A150:A749,[1]Sheet3!J137:J736)</f>
        <v>Other</v>
      </c>
      <c r="H151" t="str">
        <f>_xlfn.XLOOKUP(A151,A150:A749,[1]Sheet3!K137:K736)</f>
        <v>South</v>
      </c>
      <c r="I151" t="str">
        <f>_xlfn.XLOOKUP(A151,A150:A749,[1]Sheet3!L137:L736)</f>
        <v>Chennai</v>
      </c>
      <c r="J151" t="str">
        <f>_xlfn.XLOOKUP(A151,A150:A749,[1]Sheet3!M137:M736)</f>
        <v>Sports</v>
      </c>
      <c r="K151" t="str">
        <f>_xlfn.XLOOKUP('Retail Sales'!A138,'Retail Sales'!A137:A736,[1]Sheet3!N137:N736)</f>
        <v>Football</v>
      </c>
      <c r="L151" s="5">
        <f>_xlfn.XLOOKUP(A151,A150:A749,[1]Sheet3!P137:P736)</f>
        <v>10</v>
      </c>
      <c r="M151" s="7">
        <f>_xlfn.XLOOKUP(A151,A150:A749,[1]Sheet3!Q137:Q736)</f>
        <v>6806.6</v>
      </c>
      <c r="N151" s="9">
        <f>_xlfn.XLOOKUP(A151,A150:A749,[1]Sheet3!S137:S736)</f>
        <v>0.36</v>
      </c>
      <c r="O151" s="7">
        <f>_xlfn.XLOOKUP(A151,A150:A749,[1]Sheet3!T137:T736)</f>
        <v>39614.949999999997</v>
      </c>
      <c r="P151" s="7">
        <f>_xlfn.XLOOKUP(A151,A150:A749,[1]Sheet3!U137:U736)</f>
        <v>7458.02</v>
      </c>
      <c r="Q151" s="11">
        <f>_xlfn.XLOOKUP(A151,A150:A749,[1]Sheet3!V137:V736)</f>
        <v>0.18826276443615356</v>
      </c>
      <c r="R151" s="7">
        <f>_xlfn.XLOOKUP(A151,A150:A749,[1]Sheet3!W137:W736)</f>
        <v>66.290000000000006</v>
      </c>
      <c r="S151" t="str">
        <f>_xlfn.XLOOKUP(A151,A150:A749,[1]Sheet3!X137:X736)</f>
        <v>Credit Card</v>
      </c>
      <c r="T151" s="5">
        <f>_xlfn.XLOOKUP(A151,A150:A749,[1]Sheet3!Z137:Z736)</f>
        <v>5</v>
      </c>
      <c r="U151" t="b">
        <f>_xlfn.XLOOKUP(A151,A150:A749,[1]Sheet3!AA137:AA736)</f>
        <v>0</v>
      </c>
      <c r="V151" t="str">
        <f>_xlfn.XLOOKUP(A151,A150:A749,[1]Sheet3!AC137:AC736)</f>
        <v>Delivered</v>
      </c>
      <c r="W151" s="5">
        <f>_xlfn.XLOOKUP(A151,A150:A749,[1]Sheet3!AE137:AE736)</f>
        <v>7</v>
      </c>
    </row>
    <row r="152" spans="1:23" x14ac:dyDescent="0.35">
      <c r="A152" t="s">
        <v>435</v>
      </c>
      <c r="B152" s="1">
        <f>_xlfn.XLOOKUP(A152,A151:A750,[1]Sheet3!C164:C763)</f>
        <v>44297</v>
      </c>
      <c r="C152" t="str">
        <f>_xlfn.XLOOKUP(A152,A151:A750,[1]Sheet3!D164:D763)</f>
        <v>CUST25835</v>
      </c>
      <c r="D152" t="str">
        <f>_xlfn.XLOOKUP(A152,A151:A750,[1]Sheet3!E164:E763)</f>
        <v>Pooja Shah</v>
      </c>
      <c r="E152" s="5">
        <f>_xlfn.XLOOKUP(A152,A151:A750,[1]Sheet3!G164:G763)</f>
        <v>26</v>
      </c>
      <c r="F152" t="str">
        <f>_xlfn.XLOOKUP('Retail Sales'!A165,'Retail Sales'!A164:A763,[1]Sheet3!H164:H763)</f>
        <v>Young Adult</v>
      </c>
      <c r="G152" t="str">
        <f>_xlfn.XLOOKUP(A152,A151:A750,[1]Sheet3!J164:J763)</f>
        <v>Male</v>
      </c>
      <c r="H152" t="str">
        <f>_xlfn.XLOOKUP(A152,A151:A750,[1]Sheet3!K164:K763)</f>
        <v>South</v>
      </c>
      <c r="I152" t="str">
        <f>_xlfn.XLOOKUP(A152,A151:A750,[1]Sheet3!L164:L763)</f>
        <v>Bangalore</v>
      </c>
      <c r="J152" t="str">
        <f>_xlfn.XLOOKUP(A152,A151:A750,[1]Sheet3!M164:M763)</f>
        <v>Books</v>
      </c>
      <c r="K152" t="str">
        <f>_xlfn.XLOOKUP('Retail Sales'!A165,'Retail Sales'!A164:A763,[1]Sheet3!N164:N763)</f>
        <v>Fiction Novel</v>
      </c>
      <c r="L152" s="5">
        <f>_xlfn.XLOOKUP(A152,A151:A750,[1]Sheet3!P164:P763)</f>
        <v>9</v>
      </c>
      <c r="M152" s="7">
        <f>_xlfn.XLOOKUP(A152,A151:A750,[1]Sheet3!Q164:Q763)</f>
        <v>816.35</v>
      </c>
      <c r="N152" s="9">
        <f>_xlfn.XLOOKUP(A152,A151:A750,[1]Sheet3!S164:S763)</f>
        <v>0.12</v>
      </c>
      <c r="O152" s="7">
        <f>_xlfn.XLOOKUP(A152,A151:A750,[1]Sheet3!T164:T763)</f>
        <v>7711.33</v>
      </c>
      <c r="P152" s="7">
        <f>_xlfn.XLOOKUP(A152,A151:A750,[1]Sheet3!U164:U763)</f>
        <v>3255</v>
      </c>
      <c r="Q152" s="11">
        <f>_xlfn.XLOOKUP(A152,A151:A750,[1]Sheet3!V164:V763)</f>
        <v>0.42210617364319775</v>
      </c>
      <c r="R152" s="7">
        <f>_xlfn.XLOOKUP(A152,A151:A750,[1]Sheet3!W164:W763)</f>
        <v>81.14</v>
      </c>
      <c r="S152" t="str">
        <f>_xlfn.XLOOKUP(A152,A151:A750,[1]Sheet3!X164:X763)</f>
        <v>UPI</v>
      </c>
      <c r="T152" s="5">
        <f>_xlfn.XLOOKUP(A152,A151:A750,[1]Sheet3!Z164:Z763)</f>
        <v>5</v>
      </c>
      <c r="U152" t="b">
        <f>_xlfn.XLOOKUP(A152,A151:A750,[1]Sheet3!AA164:AA763)</f>
        <v>1</v>
      </c>
      <c r="V152" t="str">
        <f>_xlfn.XLOOKUP(A152,A151:A750,[1]Sheet3!AC164:AC763)</f>
        <v>Returned</v>
      </c>
      <c r="W152" s="5">
        <f>_xlfn.XLOOKUP(A152,A151:A750,[1]Sheet3!AE164:AE763)</f>
        <v>3</v>
      </c>
    </row>
    <row r="153" spans="1:23" x14ac:dyDescent="0.35">
      <c r="A153" t="s">
        <v>81</v>
      </c>
      <c r="B153" s="1">
        <f>_xlfn.XLOOKUP(A153,A152:A751,[1]Sheet3!C518:C1117)</f>
        <v>44301</v>
      </c>
      <c r="C153" t="str">
        <f>_xlfn.XLOOKUP(A153,A152:A751,[1]Sheet3!D518:D1117)</f>
        <v>CUST91204</v>
      </c>
      <c r="D153" t="str">
        <f>_xlfn.XLOOKUP(A153,A152:A751,[1]Sheet3!E518:E1117)</f>
        <v>Ananya Mishra</v>
      </c>
      <c r="E153" s="5">
        <f>_xlfn.XLOOKUP(A153,A152:A751,[1]Sheet3!G518:G1117)</f>
        <v>43</v>
      </c>
      <c r="F153" t="str">
        <f>_xlfn.XLOOKUP('Retail Sales'!A519,'Retail Sales'!A518:A1117,[1]Sheet3!H518:H1117)</f>
        <v>Adult</v>
      </c>
      <c r="G153" t="str">
        <f>_xlfn.XLOOKUP(A153,A152:A751,[1]Sheet3!J518:J1117)</f>
        <v>Other</v>
      </c>
      <c r="H153" t="str">
        <f>_xlfn.XLOOKUP(A153,A152:A751,[1]Sheet3!K518:K1117)</f>
        <v>East</v>
      </c>
      <c r="I153" t="str">
        <f>_xlfn.XLOOKUP(A153,A152:A751,[1]Sheet3!L518:L1117)</f>
        <v>Patna</v>
      </c>
      <c r="J153" t="str">
        <f>_xlfn.XLOOKUP(A153,A152:A751,[1]Sheet3!M518:M1117)</f>
        <v>Furniture</v>
      </c>
      <c r="K153" t="str">
        <f>_xlfn.XLOOKUP('Retail Sales'!A519,'Retail Sales'!A518:A1117,[1]Sheet3!N518:N1117)</f>
        <v>Chair</v>
      </c>
      <c r="L153" s="5">
        <f>_xlfn.XLOOKUP(A153,A152:A751,[1]Sheet3!P518:P1117)</f>
        <v>9</v>
      </c>
      <c r="M153" s="7">
        <f>_xlfn.XLOOKUP(A153,A152:A751,[1]Sheet3!Q518:Q1117)</f>
        <v>19514.509999999998</v>
      </c>
      <c r="N153" s="9">
        <f>_xlfn.XLOOKUP(A153,A152:A751,[1]Sheet3!S518:S1117)</f>
        <v>0.19793402777777783</v>
      </c>
      <c r="O153" s="7">
        <f>_xlfn.XLOOKUP(A153,A152:A751,[1]Sheet3!T518:T1117)</f>
        <v>215673.94</v>
      </c>
      <c r="P153" s="7">
        <f>_xlfn.XLOOKUP(A153,A152:A751,[1]Sheet3!U518:U1117)</f>
        <v>71953.350000000006</v>
      </c>
      <c r="Q153" s="11">
        <f>_xlfn.XLOOKUP(A153,A152:A751,[1]Sheet3!V518:V1117)</f>
        <v>0.33362097432819193</v>
      </c>
      <c r="R153" s="7">
        <f>_xlfn.XLOOKUP(A153,A152:A751,[1]Sheet3!W518:W1117)</f>
        <v>87.81</v>
      </c>
      <c r="S153" t="str">
        <f>_xlfn.XLOOKUP(A153,A152:A751,[1]Sheet3!X518:X1117)</f>
        <v>Debit Card</v>
      </c>
      <c r="T153" s="5">
        <f>_xlfn.XLOOKUP(A153,A152:A751,[1]Sheet3!Z518:Z1117)</f>
        <v>1</v>
      </c>
      <c r="U153" t="b">
        <f>_xlfn.XLOOKUP(A153,A152:A751,[1]Sheet3!AA518:AA1117)</f>
        <v>1</v>
      </c>
      <c r="V153" t="str">
        <f>_xlfn.XLOOKUP(A153,A152:A751,[1]Sheet3!AC518:AC1117)</f>
        <v>Returned</v>
      </c>
      <c r="W153" s="5">
        <f>_xlfn.XLOOKUP(A153,A152:A751,[1]Sheet3!AE518:AE1117)</f>
        <v>9</v>
      </c>
    </row>
    <row r="154" spans="1:23" x14ac:dyDescent="0.35">
      <c r="A154" t="s">
        <v>87</v>
      </c>
      <c r="B154" s="1">
        <f>_xlfn.XLOOKUP(A154,A153:A752,[1]Sheet3!C512:C1111)</f>
        <v>44303</v>
      </c>
      <c r="C154" t="str">
        <f>_xlfn.XLOOKUP(A154,A153:A752,[1]Sheet3!D512:D1111)</f>
        <v>CUST99976</v>
      </c>
      <c r="D154" t="str">
        <f>_xlfn.XLOOKUP(A154,A153:A752,[1]Sheet3!E512:E1111)</f>
        <v>Meera Kumar</v>
      </c>
      <c r="E154" s="5">
        <f>_xlfn.XLOOKUP(A154,A153:A752,[1]Sheet3!G512:G1111)</f>
        <v>20</v>
      </c>
      <c r="F154" t="str">
        <f>_xlfn.XLOOKUP('Retail Sales'!A513,'Retail Sales'!A512:A1111,[1]Sheet3!H512:H1111)</f>
        <v>Young Adult</v>
      </c>
      <c r="G154" t="str">
        <f>_xlfn.XLOOKUP(A154,A153:A752,[1]Sheet3!J512:J1111)</f>
        <v>Other</v>
      </c>
      <c r="H154" t="str">
        <f>_xlfn.XLOOKUP(A154,A153:A752,[1]Sheet3!K512:K1111)</f>
        <v>Central</v>
      </c>
      <c r="I154" t="str">
        <f>_xlfn.XLOOKUP(A154,A153:A752,[1]Sheet3!L512:L1111)</f>
        <v>Indore</v>
      </c>
      <c r="J154" t="str">
        <f>_xlfn.XLOOKUP(A154,A153:A752,[1]Sheet3!M512:M1111)</f>
        <v>Groceries</v>
      </c>
      <c r="K154" t="str">
        <f>_xlfn.XLOOKUP('Retail Sales'!A513,'Retail Sales'!A512:A1111,[1]Sheet3!N512:N1111)</f>
        <v>Dal (1kg)</v>
      </c>
      <c r="L154" s="5">
        <f>_xlfn.XLOOKUP(A154,A153:A752,[1]Sheet3!P512:P1111)</f>
        <v>7</v>
      </c>
      <c r="M154" s="7">
        <f>_xlfn.XLOOKUP(A154,A153:A752,[1]Sheet3!Q512:Q1111)</f>
        <v>228.64</v>
      </c>
      <c r="N154" s="9">
        <f>_xlfn.XLOOKUP(A154,A153:A752,[1]Sheet3!S512:S1111)</f>
        <v>0.17</v>
      </c>
      <c r="O154" s="7">
        <f>_xlfn.XLOOKUP(A154,A153:A752,[1]Sheet3!T512:T1111)</f>
        <v>1426.02</v>
      </c>
      <c r="P154" s="7">
        <f>_xlfn.XLOOKUP(A154,A153:A752,[1]Sheet3!U512:U1111)</f>
        <v>99.2</v>
      </c>
      <c r="Q154" s="11">
        <f>_xlfn.XLOOKUP(A154,A153:A752,[1]Sheet3!V512:V1111)</f>
        <v>6.9564241735740037E-2</v>
      </c>
      <c r="R154" s="7">
        <f>_xlfn.XLOOKUP(A154,A153:A752,[1]Sheet3!W512:W1111)</f>
        <v>68.16</v>
      </c>
      <c r="S154" t="str">
        <f>_xlfn.XLOOKUP(A154,A153:A752,[1]Sheet3!X512:X1111)</f>
        <v>Net Banking</v>
      </c>
      <c r="T154" s="5">
        <f>_xlfn.XLOOKUP(A154,A153:A752,[1]Sheet3!Z512:Z1111)</f>
        <v>1</v>
      </c>
      <c r="U154" t="b">
        <f>_xlfn.XLOOKUP(A154,A153:A752,[1]Sheet3!AA512:AA1111)</f>
        <v>0</v>
      </c>
      <c r="V154" t="str">
        <f>_xlfn.XLOOKUP(A154,A153:A752,[1]Sheet3!AC512:AC1111)</f>
        <v>Delivered</v>
      </c>
      <c r="W154" s="5">
        <f>_xlfn.XLOOKUP(A154,A153:A752,[1]Sheet3!AE512:AE1111)</f>
        <v>8</v>
      </c>
    </row>
    <row r="155" spans="1:23" x14ac:dyDescent="0.35">
      <c r="A155" t="s">
        <v>47</v>
      </c>
      <c r="B155" s="1">
        <f>_xlfn.XLOOKUP(A155,A154:A753,[1]Sheet3!C552:C1151)</f>
        <v>44304</v>
      </c>
      <c r="C155" t="str">
        <f>_xlfn.XLOOKUP(A155,A154:A753,[1]Sheet3!D552:D1151)</f>
        <v>CUST52708</v>
      </c>
      <c r="D155" t="str">
        <f>_xlfn.XLOOKUP(A155,A154:A753,[1]Sheet3!E552:E1151)</f>
        <v>Shreya Bhat</v>
      </c>
      <c r="E155" s="5">
        <f>_xlfn.XLOOKUP(A155,A154:A753,[1]Sheet3!G552:G1151)</f>
        <v>31</v>
      </c>
      <c r="F155" t="str">
        <f>_xlfn.XLOOKUP('Retail Sales'!A553,'Retail Sales'!A552:A1151,[1]Sheet3!H552:H1151)</f>
        <v>Young Adult</v>
      </c>
      <c r="G155" t="str">
        <f>_xlfn.XLOOKUP(A155,A154:A753,[1]Sheet3!J552:J1151)</f>
        <v>Female</v>
      </c>
      <c r="H155" t="str">
        <f>_xlfn.XLOOKUP(A155,A154:A753,[1]Sheet3!K552:K1151)</f>
        <v>North</v>
      </c>
      <c r="I155" t="str">
        <f>_xlfn.XLOOKUP(A155,A154:A753,[1]Sheet3!L552:L1151)</f>
        <v>Delhi</v>
      </c>
      <c r="J155" t="str">
        <f>_xlfn.XLOOKUP(A155,A154:A753,[1]Sheet3!M552:M1151)</f>
        <v>Beauty</v>
      </c>
      <c r="K155" t="str">
        <f>_xlfn.XLOOKUP('Retail Sales'!A553,'Retail Sales'!A552:A1151,[1]Sheet3!N552:N1151)</f>
        <v>Lipstick</v>
      </c>
      <c r="L155" s="5">
        <f>_xlfn.XLOOKUP(A155,A154:A753,[1]Sheet3!P552:P1151)</f>
        <v>7</v>
      </c>
      <c r="M155" s="7">
        <f>_xlfn.XLOOKUP(A155,A154:A753,[1]Sheet3!Q552:Q1151)</f>
        <v>1384.15</v>
      </c>
      <c r="N155" s="9">
        <f>_xlfn.XLOOKUP(A155,A154:A753,[1]Sheet3!S552:S1151)</f>
        <v>0.23</v>
      </c>
      <c r="O155" s="7">
        <f>_xlfn.XLOOKUP(A155,A154:A753,[1]Sheet3!T552:T1151)</f>
        <v>10118.86</v>
      </c>
      <c r="P155" s="7">
        <f>_xlfn.XLOOKUP(A155,A154:A753,[1]Sheet3!U552:U1151)</f>
        <v>4454.79</v>
      </c>
      <c r="Q155" s="11">
        <f>_xlfn.XLOOKUP(A155,A154:A753,[1]Sheet3!V552:V1151)</f>
        <v>0.44024623327133688</v>
      </c>
      <c r="R155" s="7">
        <f>_xlfn.XLOOKUP(A155,A154:A753,[1]Sheet3!W552:W1151)</f>
        <v>62.32</v>
      </c>
      <c r="S155" t="str">
        <f>_xlfn.XLOOKUP(A155,A154:A753,[1]Sheet3!X552:X1151)</f>
        <v>Debit Card</v>
      </c>
      <c r="T155" s="5">
        <f>_xlfn.XLOOKUP(A155,A154:A753,[1]Sheet3!Z552:Z1151)</f>
        <v>4</v>
      </c>
      <c r="U155" t="b">
        <f>_xlfn.XLOOKUP(A155,A154:A753,[1]Sheet3!AA552:AA1151)</f>
        <v>0</v>
      </c>
      <c r="V155" t="str">
        <f>_xlfn.XLOOKUP(A155,A154:A753,[1]Sheet3!AC552:AC1151)</f>
        <v>Delivered</v>
      </c>
      <c r="W155" s="5">
        <f>_xlfn.XLOOKUP(A155,A154:A753,[1]Sheet3!AE552:AE1151)</f>
        <v>9</v>
      </c>
    </row>
    <row r="156" spans="1:23" x14ac:dyDescent="0.35">
      <c r="A156" t="s">
        <v>548</v>
      </c>
      <c r="B156" s="1">
        <f>_xlfn.XLOOKUP(A156,A155:A754,[1]Sheet3!C51:C650)</f>
        <v>44306</v>
      </c>
      <c r="C156" t="str">
        <f>_xlfn.XLOOKUP(A156,A155:A754,[1]Sheet3!D51:D650)</f>
        <v>CUST61067</v>
      </c>
      <c r="D156" t="str">
        <f>_xlfn.XLOOKUP(A156,A155:A754,[1]Sheet3!E51:E650)</f>
        <v>Meera Chatterjee</v>
      </c>
      <c r="E156" s="5">
        <f>_xlfn.XLOOKUP(A156,A155:A754,[1]Sheet3!G51:G650)</f>
        <v>34</v>
      </c>
      <c r="F156" t="str">
        <f>_xlfn.XLOOKUP('Retail Sales'!A52,'Retail Sales'!A51:A650,[1]Sheet3!H51:H650)</f>
        <v>Young Adult</v>
      </c>
      <c r="G156" t="str">
        <f>_xlfn.XLOOKUP(A156,A155:A754,[1]Sheet3!J51:J650)</f>
        <v>Female</v>
      </c>
      <c r="H156" t="str">
        <f>_xlfn.XLOOKUP(A156,A155:A754,[1]Sheet3!K51:K650)</f>
        <v>North</v>
      </c>
      <c r="I156" t="str">
        <f>_xlfn.XLOOKUP(A156,A155:A754,[1]Sheet3!L51:L650)</f>
        <v>Ludhiana</v>
      </c>
      <c r="J156" t="str">
        <f>_xlfn.XLOOKUP(A156,A155:A754,[1]Sheet3!M51:M650)</f>
        <v>Sports</v>
      </c>
      <c r="K156" t="str">
        <f>_xlfn.XLOOKUP('Retail Sales'!A52,'Retail Sales'!A51:A650,[1]Sheet3!N51:N650)</f>
        <v>Football</v>
      </c>
      <c r="L156" s="5">
        <f>_xlfn.XLOOKUP(A156,A155:A754,[1]Sheet3!P51:P650)</f>
        <v>5</v>
      </c>
      <c r="M156" s="7">
        <f>_xlfn.XLOOKUP(A156,A155:A754,[1]Sheet3!Q51:Q650)</f>
        <v>8244.31</v>
      </c>
      <c r="N156" s="9">
        <f>_xlfn.XLOOKUP(A156,A155:A754,[1]Sheet3!S51:S650)</f>
        <v>0.12</v>
      </c>
      <c r="O156" s="7">
        <f>_xlfn.XLOOKUP(A156,A155:A754,[1]Sheet3!T51:T650)</f>
        <v>49710.43</v>
      </c>
      <c r="P156" s="7">
        <f>_xlfn.XLOOKUP(A156,A155:A754,[1]Sheet3!U51:U650)</f>
        <v>13744.26</v>
      </c>
      <c r="Q156" s="11">
        <f>_xlfn.XLOOKUP(A156,A155:A754,[1]Sheet3!V51:V650)</f>
        <v>0.27648644358940366</v>
      </c>
      <c r="R156" s="7">
        <f>_xlfn.XLOOKUP(A156,A155:A754,[1]Sheet3!W51:W650)</f>
        <v>51.59</v>
      </c>
      <c r="S156" t="str">
        <f>_xlfn.XLOOKUP(A156,A155:A754,[1]Sheet3!X51:X650)</f>
        <v>Cash on Delivery</v>
      </c>
      <c r="T156" s="5">
        <f>_xlfn.XLOOKUP(A156,A155:A754,[1]Sheet3!Z51:Z650)</f>
        <v>1</v>
      </c>
      <c r="U156" t="b">
        <f>_xlfn.XLOOKUP(A156,A155:A754,[1]Sheet3!AA51:AA650)</f>
        <v>0</v>
      </c>
      <c r="V156" t="str">
        <f>_xlfn.XLOOKUP(A156,A155:A754,[1]Sheet3!AC51:AC650)</f>
        <v>Delivered</v>
      </c>
      <c r="W156" s="5">
        <f>_xlfn.XLOOKUP(A156,A155:A754,[1]Sheet3!AE51:AE650)</f>
        <v>4</v>
      </c>
    </row>
    <row r="157" spans="1:23" x14ac:dyDescent="0.35">
      <c r="A157" t="s">
        <v>517</v>
      </c>
      <c r="B157" s="1">
        <f>_xlfn.XLOOKUP(A157,A156:A755,[1]Sheet3!C82:C681)</f>
        <v>44308</v>
      </c>
      <c r="C157" t="str">
        <f>_xlfn.XLOOKUP(A157,A156:A755,[1]Sheet3!D82:D681)</f>
        <v>CUST83911</v>
      </c>
      <c r="D157" t="str">
        <f>_xlfn.XLOOKUP(A157,A156:A755,[1]Sheet3!E82:E681)</f>
        <v>Aditya Das</v>
      </c>
      <c r="E157" s="5">
        <f>_xlfn.XLOOKUP(A157,A156:A755,[1]Sheet3!G82:G681)</f>
        <v>27</v>
      </c>
      <c r="F157" t="str">
        <f>_xlfn.XLOOKUP('Retail Sales'!A83,'Retail Sales'!A82:A681,[1]Sheet3!H82:H681)</f>
        <v>Young Adult</v>
      </c>
      <c r="G157" t="str">
        <f>_xlfn.XLOOKUP(A157,A156:A755,[1]Sheet3!J82:J681)</f>
        <v>Male</v>
      </c>
      <c r="H157" t="str">
        <f>_xlfn.XLOOKUP(A157,A156:A755,[1]Sheet3!K82:K681)</f>
        <v>North</v>
      </c>
      <c r="I157" t="str">
        <f>_xlfn.XLOOKUP(A157,A156:A755,[1]Sheet3!L82:L681)</f>
        <v>Chandigarh</v>
      </c>
      <c r="J157" t="str">
        <f>_xlfn.XLOOKUP(A157,A156:A755,[1]Sheet3!M82:M681)</f>
        <v>Groceries</v>
      </c>
      <c r="K157" t="str">
        <f>_xlfn.XLOOKUP('Retail Sales'!A83,'Retail Sales'!A82:A681,[1]Sheet3!N82:N681)</f>
        <v>Dal (1kg)</v>
      </c>
      <c r="L157" s="5">
        <f>_xlfn.XLOOKUP(A157,A156:A755,[1]Sheet3!P82:P681)</f>
        <v>3</v>
      </c>
      <c r="M157" s="7">
        <f>_xlfn.XLOOKUP(A157,A156:A755,[1]Sheet3!Q82:Q681)</f>
        <v>457.68</v>
      </c>
      <c r="N157" s="9">
        <f>_xlfn.XLOOKUP(A157,A156:A755,[1]Sheet3!S82:S681)</f>
        <v>0.26</v>
      </c>
      <c r="O157" s="7">
        <f>_xlfn.XLOOKUP(A157,A156:A755,[1]Sheet3!T82:T681)</f>
        <v>1159.07</v>
      </c>
      <c r="P157" s="7">
        <f>_xlfn.XLOOKUP(A157,A156:A755,[1]Sheet3!U82:U681)</f>
        <v>84.35</v>
      </c>
      <c r="Q157" s="11">
        <f>_xlfn.XLOOKUP(A157,A156:A755,[1]Sheet3!V82:V681)</f>
        <v>7.2773861802997233E-2</v>
      </c>
      <c r="R157" s="7">
        <f>_xlfn.XLOOKUP(A157,A156:A755,[1]Sheet3!W82:W681)</f>
        <v>72.86</v>
      </c>
      <c r="S157" t="str">
        <f>_xlfn.XLOOKUP(A157,A156:A755,[1]Sheet3!X82:X681)</f>
        <v>Cash on Delivery</v>
      </c>
      <c r="T157" s="5">
        <f>_xlfn.XLOOKUP(A157,A156:A755,[1]Sheet3!Z82:Z681)</f>
        <v>3</v>
      </c>
      <c r="U157" t="b">
        <f>_xlfn.XLOOKUP(A157,A156:A755,[1]Sheet3!AA82:AA681)</f>
        <v>0</v>
      </c>
      <c r="V157" t="str">
        <f>_xlfn.XLOOKUP(A157,A156:A755,[1]Sheet3!AC82:AC681)</f>
        <v>Delivered</v>
      </c>
      <c r="W157" s="5">
        <f>_xlfn.XLOOKUP(A157,A156:A755,[1]Sheet3!AE82:AE681)</f>
        <v>2</v>
      </c>
    </row>
    <row r="158" spans="1:23" x14ac:dyDescent="0.35">
      <c r="A158" t="s">
        <v>184</v>
      </c>
      <c r="B158" s="1">
        <f>_xlfn.XLOOKUP(A158,A157:A756,[1]Sheet3!C415:C1014)</f>
        <v>44311</v>
      </c>
      <c r="C158" t="str">
        <f>_xlfn.XLOOKUP(A158,A157:A756,[1]Sheet3!D415:D1014)</f>
        <v>CUST64001</v>
      </c>
      <c r="D158" t="str">
        <f>_xlfn.XLOOKUP(A158,A157:A756,[1]Sheet3!E415:E1014)</f>
        <v>Ananya Das</v>
      </c>
      <c r="E158" s="5">
        <f>_xlfn.XLOOKUP(A158,A157:A756,[1]Sheet3!G415:G1014)</f>
        <v>63</v>
      </c>
      <c r="F158" t="str">
        <f>_xlfn.XLOOKUP('Retail Sales'!A416,'Retail Sales'!A415:A1014,[1]Sheet3!H415:H1014)</f>
        <v>Senior</v>
      </c>
      <c r="G158" t="str">
        <f>_xlfn.XLOOKUP(A158,A157:A756,[1]Sheet3!J415:J1014)</f>
        <v>Other</v>
      </c>
      <c r="H158" t="str">
        <f>_xlfn.XLOOKUP(A158,A157:A756,[1]Sheet3!K415:K1014)</f>
        <v>South</v>
      </c>
      <c r="I158" t="str">
        <f>_xlfn.XLOOKUP(A158,A157:A756,[1]Sheet3!L415:L1014)</f>
        <v>Hyderabad</v>
      </c>
      <c r="J158" t="str">
        <f>_xlfn.XLOOKUP(A158,A157:A756,[1]Sheet3!M415:M1014)</f>
        <v>Electronics</v>
      </c>
      <c r="K158" t="str">
        <f>_xlfn.XLOOKUP('Retail Sales'!A416,'Retail Sales'!A415:A1014,[1]Sheet3!N415:N1014)</f>
        <v>Tablet</v>
      </c>
      <c r="L158" s="5">
        <f>_xlfn.XLOOKUP(A158,A157:A756,[1]Sheet3!P415:P1014)</f>
        <v>8</v>
      </c>
      <c r="M158" s="7">
        <f>_xlfn.XLOOKUP(A158,A157:A756,[1]Sheet3!Q415:Q1014)</f>
        <v>28211.93</v>
      </c>
      <c r="N158" s="9">
        <f>_xlfn.XLOOKUP(A158,A157:A756,[1]Sheet3!S415:S1014)</f>
        <v>0.33</v>
      </c>
      <c r="O158" s="7">
        <f>_xlfn.XLOOKUP(A158,A157:A756,[1]Sheet3!T415:T1014)</f>
        <v>175402.71</v>
      </c>
      <c r="P158" s="7">
        <f>_xlfn.XLOOKUP(A158,A157:A756,[1]Sheet3!U415:U1014)</f>
        <v>20772.79</v>
      </c>
      <c r="Q158" s="11">
        <f>_xlfn.XLOOKUP(A158,A157:A756,[1]Sheet3!V415:V1014)</f>
        <v>0.11842912803342663</v>
      </c>
      <c r="R158" s="7">
        <f>_xlfn.XLOOKUP(A158,A157:A756,[1]Sheet3!W415:W1014)</f>
        <v>61.29</v>
      </c>
      <c r="S158" t="str">
        <f>_xlfn.XLOOKUP(A158,A157:A756,[1]Sheet3!X415:X1014)</f>
        <v>Debit Card</v>
      </c>
      <c r="T158" s="5">
        <f>_xlfn.XLOOKUP(A158,A157:A756,[1]Sheet3!Z415:Z1014)</f>
        <v>5</v>
      </c>
      <c r="U158" t="b">
        <f>_xlfn.XLOOKUP(A158,A157:A756,[1]Sheet3!AA415:AA1014)</f>
        <v>0</v>
      </c>
      <c r="V158" t="str">
        <f>_xlfn.XLOOKUP(A158,A157:A756,[1]Sheet3!AC415:AC1014)</f>
        <v>Delivered</v>
      </c>
      <c r="W158" s="5">
        <f>_xlfn.XLOOKUP(A158,A157:A756,[1]Sheet3!AE415:AE1014)</f>
        <v>4</v>
      </c>
    </row>
    <row r="159" spans="1:23" x14ac:dyDescent="0.35">
      <c r="A159" t="s">
        <v>152</v>
      </c>
      <c r="B159" s="1">
        <f>_xlfn.XLOOKUP(A159,A158:A757,[1]Sheet3!C447:C1046)</f>
        <v>44313</v>
      </c>
      <c r="C159" t="str">
        <f>_xlfn.XLOOKUP(A159,A158:A757,[1]Sheet3!D447:D1046)</f>
        <v>CUST39633</v>
      </c>
      <c r="D159" t="str">
        <f>_xlfn.XLOOKUP(A159,A158:A757,[1]Sheet3!E447:E1046)</f>
        <v>Aarav Mishra</v>
      </c>
      <c r="E159" s="5">
        <f>_xlfn.XLOOKUP(A159,A158:A757,[1]Sheet3!G447:G1046)</f>
        <v>35</v>
      </c>
      <c r="F159" t="str">
        <f>_xlfn.XLOOKUP('Retail Sales'!A448,'Retail Sales'!A447:A1046,[1]Sheet3!H447:H1046)</f>
        <v>Young Adult</v>
      </c>
      <c r="G159" t="str">
        <f>_xlfn.XLOOKUP(A159,A158:A757,[1]Sheet3!J447:J1046)</f>
        <v>Male</v>
      </c>
      <c r="H159" t="str">
        <f>_xlfn.XLOOKUP(A159,A158:A757,[1]Sheet3!K447:K1046)</f>
        <v>Central</v>
      </c>
      <c r="I159" t="str">
        <f>_xlfn.XLOOKUP(A159,A158:A757,[1]Sheet3!L447:L1046)</f>
        <v>Bhopal</v>
      </c>
      <c r="J159" t="str">
        <f>_xlfn.XLOOKUP(A159,A158:A757,[1]Sheet3!M447:M1046)</f>
        <v>Electronics</v>
      </c>
      <c r="K159" t="str">
        <f>_xlfn.XLOOKUP('Retail Sales'!A448,'Retail Sales'!A447:A1046,[1]Sheet3!N447:N1046)</f>
        <v>Headphones</v>
      </c>
      <c r="L159" s="5">
        <f>_xlfn.XLOOKUP(A159,A158:A757,[1]Sheet3!P447:P1046)</f>
        <v>8</v>
      </c>
      <c r="M159" s="7">
        <f>_xlfn.XLOOKUP(A159,A158:A757,[1]Sheet3!Q447:Q1046)</f>
        <v>30314.74</v>
      </c>
      <c r="N159" s="9">
        <f>_xlfn.XLOOKUP(A159,A158:A757,[1]Sheet3!S447:S1046)</f>
        <v>0.06</v>
      </c>
      <c r="O159" s="7">
        <f>_xlfn.XLOOKUP(A159,A158:A757,[1]Sheet3!T447:T1046)</f>
        <v>283224.55</v>
      </c>
      <c r="P159" s="7">
        <f>_xlfn.XLOOKUP(A159,A158:A757,[1]Sheet3!U447:U1046)</f>
        <v>33093.14</v>
      </c>
      <c r="Q159" s="11">
        <f>_xlfn.XLOOKUP(A159,A158:A757,[1]Sheet3!V447:V1046)</f>
        <v>0.11684417893858424</v>
      </c>
      <c r="R159" s="7">
        <f>_xlfn.XLOOKUP(A159,A158:A757,[1]Sheet3!W447:W1046)</f>
        <v>68.75</v>
      </c>
      <c r="S159" t="str">
        <f>_xlfn.XLOOKUP(A159,A158:A757,[1]Sheet3!X447:X1046)</f>
        <v>Credit Card</v>
      </c>
      <c r="T159" s="5">
        <f>_xlfn.XLOOKUP(A159,A158:A757,[1]Sheet3!Z447:Z1046)</f>
        <v>1</v>
      </c>
      <c r="U159" t="b">
        <f>_xlfn.XLOOKUP(A159,A158:A757,[1]Sheet3!AA447:AA1046)</f>
        <v>1</v>
      </c>
      <c r="V159" t="str">
        <f>_xlfn.XLOOKUP(A159,A158:A757,[1]Sheet3!AC447:AC1046)</f>
        <v>Returned</v>
      </c>
      <c r="W159" s="5">
        <f>_xlfn.XLOOKUP(A159,A158:A757,[1]Sheet3!AE447:AE1046)</f>
        <v>9</v>
      </c>
    </row>
    <row r="160" spans="1:23" x14ac:dyDescent="0.35">
      <c r="A160" t="s">
        <v>67</v>
      </c>
      <c r="B160" s="1">
        <f>_xlfn.XLOOKUP(A160,A159:A758,[1]Sheet3!C532:C1131)</f>
        <v>44313</v>
      </c>
      <c r="C160" t="str">
        <f>_xlfn.XLOOKUP(A160,A159:A758,[1]Sheet3!D532:D1131)</f>
        <v>CUST14264</v>
      </c>
      <c r="D160" t="str">
        <f>_xlfn.XLOOKUP(A160,A159:A758,[1]Sheet3!E532:E1131)</f>
        <v>Ananya Singh</v>
      </c>
      <c r="E160" s="5">
        <f>_xlfn.XLOOKUP(A160,A159:A758,[1]Sheet3!G532:G1131)</f>
        <v>35</v>
      </c>
      <c r="F160" t="str">
        <f>_xlfn.XLOOKUP('Retail Sales'!A533,'Retail Sales'!A532:A1131,[1]Sheet3!H532:H1131)</f>
        <v>Young Adult</v>
      </c>
      <c r="G160" t="str">
        <f>_xlfn.XLOOKUP(A160,A159:A758,[1]Sheet3!J532:J1131)</f>
        <v>Male</v>
      </c>
      <c r="H160" t="str">
        <f>_xlfn.XLOOKUP(A160,A159:A758,[1]Sheet3!K532:K1131)</f>
        <v>North</v>
      </c>
      <c r="I160" t="str">
        <f>_xlfn.XLOOKUP(A160,A159:A758,[1]Sheet3!L532:L1131)</f>
        <v>Delhi</v>
      </c>
      <c r="J160" t="str">
        <f>_xlfn.XLOOKUP(A160,A159:A758,[1]Sheet3!M532:M1131)</f>
        <v>Sports</v>
      </c>
      <c r="K160" t="str">
        <f>_xlfn.XLOOKUP('Retail Sales'!A533,'Retail Sales'!A532:A1131,[1]Sheet3!N532:N1131)</f>
        <v>Tennis Racket</v>
      </c>
      <c r="L160" s="5">
        <f>_xlfn.XLOOKUP(A160,A159:A758,[1]Sheet3!P532:P1131)</f>
        <v>6</v>
      </c>
      <c r="M160" s="7">
        <f>_xlfn.XLOOKUP(A160,A159:A758,[1]Sheet3!Q532:Q1131)</f>
        <v>7246.81</v>
      </c>
      <c r="N160" s="9">
        <f>_xlfn.XLOOKUP(A160,A159:A758,[1]Sheet3!S532:S1131)</f>
        <v>0.19793402777777783</v>
      </c>
      <c r="O160" s="7">
        <f>_xlfn.XLOOKUP(A160,A159:A758,[1]Sheet3!T532:T1131)</f>
        <v>51448.04</v>
      </c>
      <c r="P160" s="7">
        <f>_xlfn.XLOOKUP(A160,A159:A758,[1]Sheet3!U532:U1131)</f>
        <v>9498.99</v>
      </c>
      <c r="Q160" s="11">
        <f>_xlfn.XLOOKUP(A160,A159:A758,[1]Sheet3!V532:V1131)</f>
        <v>0.18463268960294696</v>
      </c>
      <c r="R160" s="7">
        <f>_xlfn.XLOOKUP(A160,A159:A758,[1]Sheet3!W532:W1131)</f>
        <v>40.22</v>
      </c>
      <c r="S160" t="str">
        <f>_xlfn.XLOOKUP(A160,A159:A758,[1]Sheet3!X532:X1131)</f>
        <v>Cash on Delivery</v>
      </c>
      <c r="T160" s="5">
        <f>_xlfn.XLOOKUP(A160,A159:A758,[1]Sheet3!Z532:Z1131)</f>
        <v>4</v>
      </c>
      <c r="U160" t="b">
        <f>_xlfn.XLOOKUP(A160,A159:A758,[1]Sheet3!AA532:AA1131)</f>
        <v>0</v>
      </c>
      <c r="V160" t="str">
        <f>_xlfn.XLOOKUP(A160,A159:A758,[1]Sheet3!AC532:AC1131)</f>
        <v>Delivered</v>
      </c>
      <c r="W160" s="5">
        <f>_xlfn.XLOOKUP(A160,A159:A758,[1]Sheet3!AE532:AE1131)</f>
        <v>10</v>
      </c>
    </row>
    <row r="161" spans="1:23" x14ac:dyDescent="0.35">
      <c r="A161" t="s">
        <v>179</v>
      </c>
      <c r="B161" s="1">
        <f>_xlfn.XLOOKUP(A161,A160:A759,[1]Sheet3!C420:C1019)</f>
        <v>44319</v>
      </c>
      <c r="C161" t="str">
        <f>_xlfn.XLOOKUP(A161,A160:A759,[1]Sheet3!D420:D1019)</f>
        <v>CUST72966</v>
      </c>
      <c r="D161" t="str">
        <f>_xlfn.XLOOKUP(A161,A160:A759,[1]Sheet3!E420:E1019)</f>
        <v>Vikram Verma</v>
      </c>
      <c r="E161" s="5">
        <f>_xlfn.XLOOKUP(A161,A160:A759,[1]Sheet3!G420:G1019)</f>
        <v>52</v>
      </c>
      <c r="F161" t="str">
        <f>_xlfn.XLOOKUP('Retail Sales'!A421,'Retail Sales'!A420:A1019,[1]Sheet3!H420:H1019)</f>
        <v>Senior</v>
      </c>
      <c r="G161" t="str">
        <f>_xlfn.XLOOKUP(A161,A160:A759,[1]Sheet3!J420:J1019)</f>
        <v>Female</v>
      </c>
      <c r="H161" t="str">
        <f>_xlfn.XLOOKUP(A161,A160:A759,[1]Sheet3!K420:K1019)</f>
        <v>East</v>
      </c>
      <c r="I161" t="str">
        <f>_xlfn.XLOOKUP(A161,A160:A759,[1]Sheet3!L420:L1019)</f>
        <v>Kolkata</v>
      </c>
      <c r="J161" t="str">
        <f>_xlfn.XLOOKUP(A161,A160:A759,[1]Sheet3!M420:M1019)</f>
        <v>Beauty</v>
      </c>
      <c r="K161" t="str">
        <f>_xlfn.XLOOKUP('Retail Sales'!A421,'Retail Sales'!A420:A1019,[1]Sheet3!N420:N1019)</f>
        <v>Perfume</v>
      </c>
      <c r="L161" s="5">
        <f>_xlfn.XLOOKUP(A161,A160:A759,[1]Sheet3!P420:P1019)</f>
        <v>2</v>
      </c>
      <c r="M161" s="7">
        <f>_xlfn.XLOOKUP(A161,A160:A759,[1]Sheet3!Q420:Q1019)</f>
        <v>608.88</v>
      </c>
      <c r="N161" s="9">
        <f>_xlfn.XLOOKUP(A161,A160:A759,[1]Sheet3!S420:S1019)</f>
        <v>0.23</v>
      </c>
      <c r="O161" s="7">
        <f>_xlfn.XLOOKUP(A161,A160:A759,[1]Sheet3!T420:T1019)</f>
        <v>1272.71</v>
      </c>
      <c r="P161" s="7">
        <f>_xlfn.XLOOKUP(A161,A160:A759,[1]Sheet3!U420:U1019)</f>
        <v>511.96</v>
      </c>
      <c r="Q161" s="11">
        <f>_xlfn.XLOOKUP(A161,A160:A759,[1]Sheet3!V420:V1019)</f>
        <v>0.4022597449536815</v>
      </c>
      <c r="R161" s="7">
        <f>_xlfn.XLOOKUP(A161,A160:A759,[1]Sheet3!W420:W1019)</f>
        <v>106.95</v>
      </c>
      <c r="S161" t="str">
        <f>_xlfn.XLOOKUP(A161,A160:A759,[1]Sheet3!X420:X1019)</f>
        <v>UPI</v>
      </c>
      <c r="T161" s="5">
        <f>_xlfn.XLOOKUP(A161,A160:A759,[1]Sheet3!Z420:Z1019)</f>
        <v>4</v>
      </c>
      <c r="U161" t="b">
        <f>_xlfn.XLOOKUP(A161,A160:A759,[1]Sheet3!AA420:AA1019)</f>
        <v>1</v>
      </c>
      <c r="V161" t="str">
        <f>_xlfn.XLOOKUP(A161,A160:A759,[1]Sheet3!AC420:AC1019)</f>
        <v>Returned</v>
      </c>
      <c r="W161" s="5">
        <f>_xlfn.XLOOKUP(A161,A160:A759,[1]Sheet3!AE420:AE1019)</f>
        <v>4</v>
      </c>
    </row>
    <row r="162" spans="1:23" x14ac:dyDescent="0.35">
      <c r="A162" t="s">
        <v>494</v>
      </c>
      <c r="B162" s="1">
        <f>_xlfn.XLOOKUP(A162,A161:A760,[1]Sheet3!C105:C704)</f>
        <v>44322</v>
      </c>
      <c r="C162" t="str">
        <f>_xlfn.XLOOKUP(A162,A161:A760,[1]Sheet3!D105:D704)</f>
        <v>CUST29357</v>
      </c>
      <c r="D162" t="str">
        <f>_xlfn.XLOOKUP(A162,A161:A760,[1]Sheet3!E105:E704)</f>
        <v>Meera Nair</v>
      </c>
      <c r="E162" s="5">
        <f>_xlfn.XLOOKUP(A162,A161:A760,[1]Sheet3!G105:G704)</f>
        <v>33</v>
      </c>
      <c r="F162" t="str">
        <f>_xlfn.XLOOKUP('Retail Sales'!A106,'Retail Sales'!A105:A704,[1]Sheet3!H105:H704)</f>
        <v>Young Adult</v>
      </c>
      <c r="G162" t="str">
        <f>_xlfn.XLOOKUP(A162,A161:A760,[1]Sheet3!J105:J704)</f>
        <v>Other</v>
      </c>
      <c r="H162" t="str">
        <f>_xlfn.XLOOKUP(A162,A161:A760,[1]Sheet3!K105:K704)</f>
        <v>West</v>
      </c>
      <c r="I162" t="str">
        <f>_xlfn.XLOOKUP(A162,A161:A760,[1]Sheet3!L105:L704)</f>
        <v>Pune</v>
      </c>
      <c r="J162" t="str">
        <f>_xlfn.XLOOKUP(A162,A161:A760,[1]Sheet3!M105:M704)</f>
        <v>Books</v>
      </c>
      <c r="K162" t="str">
        <f>_xlfn.XLOOKUP('Retail Sales'!A106,'Retail Sales'!A105:A704,[1]Sheet3!N105:N704)</f>
        <v>Textbook</v>
      </c>
      <c r="L162" s="5">
        <f>_xlfn.XLOOKUP(A162,A161:A760,[1]Sheet3!P105:P704)</f>
        <v>7</v>
      </c>
      <c r="M162" s="7">
        <f>_xlfn.XLOOKUP(A162,A161:A760,[1]Sheet3!Q105:Q704)</f>
        <v>1042.98</v>
      </c>
      <c r="N162" s="9">
        <f>_xlfn.XLOOKUP(A162,A161:A760,[1]Sheet3!S105:S704)</f>
        <v>0.3</v>
      </c>
      <c r="O162" s="7">
        <f>_xlfn.XLOOKUP(A162,A161:A760,[1]Sheet3!T105:T704)</f>
        <v>7120.16</v>
      </c>
      <c r="P162" s="7">
        <f>_xlfn.XLOOKUP(A162,A161:A760,[1]Sheet3!U105:U704)</f>
        <v>2589.16</v>
      </c>
      <c r="Q162" s="11">
        <f>_xlfn.XLOOKUP(A162,A161:A760,[1]Sheet3!V105:V704)</f>
        <v>0.36363789577762295</v>
      </c>
      <c r="R162" s="7">
        <f>_xlfn.XLOOKUP(A162,A161:A760,[1]Sheet3!W105:W704)</f>
        <v>61.15</v>
      </c>
      <c r="S162" t="str">
        <f>_xlfn.XLOOKUP(A162,A161:A760,[1]Sheet3!X105:X704)</f>
        <v>Debit Card</v>
      </c>
      <c r="T162" s="5">
        <f>_xlfn.XLOOKUP(A162,A161:A760,[1]Sheet3!Z105:Z704)</f>
        <v>2</v>
      </c>
      <c r="U162" t="b">
        <f>_xlfn.XLOOKUP(A162,A161:A760,[1]Sheet3!AA105:AA704)</f>
        <v>1</v>
      </c>
      <c r="V162" t="str">
        <f>_xlfn.XLOOKUP(A162,A161:A760,[1]Sheet3!AC105:AC704)</f>
        <v>Returned</v>
      </c>
      <c r="W162" s="5">
        <f>_xlfn.XLOOKUP(A162,A161:A760,[1]Sheet3!AE105:AE704)</f>
        <v>4</v>
      </c>
    </row>
    <row r="163" spans="1:23" x14ac:dyDescent="0.35">
      <c r="A163" t="s">
        <v>489</v>
      </c>
      <c r="B163" s="1">
        <f>_xlfn.XLOOKUP(A163,A162:A761,[1]Sheet3!C110:C709)</f>
        <v>44324</v>
      </c>
      <c r="C163" t="str">
        <f>_xlfn.XLOOKUP(A163,A162:A761,[1]Sheet3!D110:D709)</f>
        <v>CUST80149</v>
      </c>
      <c r="D163" t="str">
        <f>_xlfn.XLOOKUP(A163,A162:A761,[1]Sheet3!E110:E709)</f>
        <v>Pooja Mishra</v>
      </c>
      <c r="E163" s="5">
        <f>_xlfn.XLOOKUP(A163,A162:A761,[1]Sheet3!G110:G709)</f>
        <v>37</v>
      </c>
      <c r="F163" t="str">
        <f>_xlfn.XLOOKUP('Retail Sales'!A111,'Retail Sales'!A110:A709,[1]Sheet3!H110:H709)</f>
        <v>Adult</v>
      </c>
      <c r="G163" t="str">
        <f>_xlfn.XLOOKUP(A163,A162:A761,[1]Sheet3!J110:J709)</f>
        <v>Other</v>
      </c>
      <c r="H163" t="str">
        <f>_xlfn.XLOOKUP(A163,A162:A761,[1]Sheet3!K110:K709)</f>
        <v>West</v>
      </c>
      <c r="I163" t="str">
        <f>_xlfn.XLOOKUP(A163,A162:A761,[1]Sheet3!L110:L709)</f>
        <v>Mumbai</v>
      </c>
      <c r="J163" t="str">
        <f>_xlfn.XLOOKUP(A163,A162:A761,[1]Sheet3!M110:M709)</f>
        <v>Sports</v>
      </c>
      <c r="K163" t="str">
        <f>_xlfn.XLOOKUP('Retail Sales'!A111,'Retail Sales'!A110:A709,[1]Sheet3!N110:N709)</f>
        <v>Cycle</v>
      </c>
      <c r="L163" s="5">
        <f>_xlfn.XLOOKUP(A163,A162:A761,[1]Sheet3!P110:P709)</f>
        <v>7</v>
      </c>
      <c r="M163" s="7">
        <f>_xlfn.XLOOKUP(A163,A162:A761,[1]Sheet3!Q110:Q709)</f>
        <v>11542.97</v>
      </c>
      <c r="N163" s="9">
        <f>_xlfn.XLOOKUP(A163,A162:A761,[1]Sheet3!S110:S709)</f>
        <v>0.16</v>
      </c>
      <c r="O163" s="7">
        <f>_xlfn.XLOOKUP(A163,A162:A761,[1]Sheet3!T110:T709)</f>
        <v>97177.38</v>
      </c>
      <c r="P163" s="7">
        <f>_xlfn.XLOOKUP(A163,A162:A761,[1]Sheet3!U110:U709)</f>
        <v>24424.83</v>
      </c>
      <c r="Q163" s="11">
        <f>_xlfn.XLOOKUP(A163,A162:A761,[1]Sheet3!V110:V709)</f>
        <v>0.25134275075125506</v>
      </c>
      <c r="R163" s="7">
        <f>_xlfn.XLOOKUP(A163,A162:A761,[1]Sheet3!W110:W709)</f>
        <v>53.27</v>
      </c>
      <c r="S163" t="str">
        <f>_xlfn.XLOOKUP(A163,A162:A761,[1]Sheet3!X110:X709)</f>
        <v>EMI</v>
      </c>
      <c r="T163" s="5">
        <f>_xlfn.XLOOKUP(A163,A162:A761,[1]Sheet3!Z110:Z709)</f>
        <v>1</v>
      </c>
      <c r="U163" t="b">
        <f>_xlfn.XLOOKUP(A163,A162:A761,[1]Sheet3!AA110:AA709)</f>
        <v>1</v>
      </c>
      <c r="V163" t="str">
        <f>_xlfn.XLOOKUP(A163,A162:A761,[1]Sheet3!AC110:AC709)</f>
        <v>Returned</v>
      </c>
      <c r="W163" s="5">
        <f>_xlfn.XLOOKUP(A163,A162:A761,[1]Sheet3!AE110:AE709)</f>
        <v>7</v>
      </c>
    </row>
    <row r="164" spans="1:23" x14ac:dyDescent="0.35">
      <c r="A164" t="s">
        <v>322</v>
      </c>
      <c r="B164" s="1">
        <f>_xlfn.XLOOKUP(A164,A163:A762,[1]Sheet3!C277:C876)</f>
        <v>44332</v>
      </c>
      <c r="C164" t="str">
        <f>_xlfn.XLOOKUP(A164,A163:A762,[1]Sheet3!D277:D876)</f>
        <v>CUST07335</v>
      </c>
      <c r="D164" t="str">
        <f>_xlfn.XLOOKUP(A164,A163:A762,[1]Sheet3!E277:E876)</f>
        <v>Vikram Kapoor</v>
      </c>
      <c r="E164" s="5">
        <f>_xlfn.XLOOKUP(A164,A163:A762,[1]Sheet3!G277:G876)</f>
        <v>21</v>
      </c>
      <c r="F164" t="str">
        <f>_xlfn.XLOOKUP('Retail Sales'!A278,'Retail Sales'!A277:A876,[1]Sheet3!H277:H876)</f>
        <v>Young Adult</v>
      </c>
      <c r="G164" t="str">
        <f>_xlfn.XLOOKUP(A164,A163:A762,[1]Sheet3!J277:J876)</f>
        <v>Male</v>
      </c>
      <c r="H164" t="str">
        <f>_xlfn.XLOOKUP(A164,A163:A762,[1]Sheet3!K277:K876)</f>
        <v>East</v>
      </c>
      <c r="I164" t="str">
        <f>_xlfn.XLOOKUP(A164,A163:A762,[1]Sheet3!L277:L876)</f>
        <v>Guwahati</v>
      </c>
      <c r="J164" t="str">
        <f>_xlfn.XLOOKUP(A164,A163:A762,[1]Sheet3!M277:M876)</f>
        <v>Sports</v>
      </c>
      <c r="K164" t="str">
        <f>_xlfn.XLOOKUP('Retail Sales'!A278,'Retail Sales'!A277:A876,[1]Sheet3!N277:N876)</f>
        <v>Cricket Bat</v>
      </c>
      <c r="L164" s="5">
        <f>_xlfn.XLOOKUP(A164,A163:A762,[1]Sheet3!P277:P876)</f>
        <v>6</v>
      </c>
      <c r="M164" s="7">
        <f>_xlfn.XLOOKUP(A164,A163:A762,[1]Sheet3!Q277:Q876)</f>
        <v>3857.03</v>
      </c>
      <c r="N164" s="9">
        <f>_xlfn.XLOOKUP(A164,A163:A762,[1]Sheet3!S277:S876)</f>
        <v>0.3</v>
      </c>
      <c r="O164" s="7">
        <f>_xlfn.XLOOKUP(A164,A163:A762,[1]Sheet3!T277:T876)</f>
        <v>21548.37</v>
      </c>
      <c r="P164" s="7">
        <f>_xlfn.XLOOKUP(A164,A163:A762,[1]Sheet3!U277:U876)</f>
        <v>6137.14</v>
      </c>
      <c r="Q164" s="11">
        <f>_xlfn.XLOOKUP(A164,A163:A762,[1]Sheet3!V277:V876)</f>
        <v>0.28480762117969949</v>
      </c>
      <c r="R164" s="7">
        <f>_xlfn.XLOOKUP(A164,A163:A762,[1]Sheet3!W277:W876)</f>
        <v>60.48</v>
      </c>
      <c r="S164" t="str">
        <f>_xlfn.XLOOKUP(A164,A163:A762,[1]Sheet3!X277:X876)</f>
        <v>Cash on Delivery</v>
      </c>
      <c r="T164" s="5">
        <f>_xlfn.XLOOKUP(A164,A163:A762,[1]Sheet3!Z277:Z876)</f>
        <v>2</v>
      </c>
      <c r="U164" t="b">
        <f>_xlfn.XLOOKUP(A164,A163:A762,[1]Sheet3!AA277:AA876)</f>
        <v>0</v>
      </c>
      <c r="V164" t="str">
        <f>_xlfn.XLOOKUP(A164,A163:A762,[1]Sheet3!AC277:AC876)</f>
        <v>Delivered</v>
      </c>
      <c r="W164" s="5">
        <f>_xlfn.XLOOKUP(A164,A163:A762,[1]Sheet3!AE277:AE876)</f>
        <v>4</v>
      </c>
    </row>
    <row r="165" spans="1:23" x14ac:dyDescent="0.35">
      <c r="A165" t="s">
        <v>249</v>
      </c>
      <c r="B165" s="1">
        <f>_xlfn.XLOOKUP(A165,A164:A763,[1]Sheet3!C350:C949)</f>
        <v>44344</v>
      </c>
      <c r="C165" t="str">
        <f>_xlfn.XLOOKUP(A165,A164:A763,[1]Sheet3!D350:D949)</f>
        <v>CUST65692</v>
      </c>
      <c r="D165" t="str">
        <f>_xlfn.XLOOKUP(A165,A164:A763,[1]Sheet3!E350:E949)</f>
        <v>Aarav Kumar</v>
      </c>
      <c r="E165" s="5">
        <f>_xlfn.XLOOKUP(A165,A164:A763,[1]Sheet3!G350:G949)</f>
        <v>12</v>
      </c>
      <c r="F165" t="str">
        <f>_xlfn.XLOOKUP('Retail Sales'!A351,'Retail Sales'!A350:A949,[1]Sheet3!H350:H949)</f>
        <v>Child</v>
      </c>
      <c r="G165" t="str">
        <f>_xlfn.XLOOKUP(A165,A164:A763,[1]Sheet3!J350:J949)</f>
        <v>Other</v>
      </c>
      <c r="H165" t="str">
        <f>_xlfn.XLOOKUP(A165,A164:A763,[1]Sheet3!K350:K949)</f>
        <v>Central</v>
      </c>
      <c r="I165" t="str">
        <f>_xlfn.XLOOKUP(A165,A164:A763,[1]Sheet3!L350:L949)</f>
        <v>Raipur</v>
      </c>
      <c r="J165" t="str">
        <f>_xlfn.XLOOKUP(A165,A164:A763,[1]Sheet3!M350:M949)</f>
        <v>Groceries</v>
      </c>
      <c r="K165" t="str">
        <f>_xlfn.XLOOKUP('Retail Sales'!A351,'Retail Sales'!A350:A949,[1]Sheet3!N350:N949)</f>
        <v>Tea</v>
      </c>
      <c r="L165" s="5">
        <f>_xlfn.XLOOKUP(A165,A164:A763,[1]Sheet3!P350:P949)</f>
        <v>10</v>
      </c>
      <c r="M165" s="7">
        <f>_xlfn.XLOOKUP(A165,A164:A763,[1]Sheet3!Q350:Q949)</f>
        <v>179.45</v>
      </c>
      <c r="N165" s="9">
        <f>_xlfn.XLOOKUP(A165,A164:A763,[1]Sheet3!S350:S949)</f>
        <v>0.1</v>
      </c>
      <c r="O165" s="7">
        <f>_xlfn.XLOOKUP(A165,A164:A763,[1]Sheet3!T350:T949)</f>
        <v>2253.34</v>
      </c>
      <c r="P165" s="7">
        <f>_xlfn.XLOOKUP(A165,A164:A763,[1]Sheet3!U350:U949)</f>
        <v>170.8</v>
      </c>
      <c r="Q165" s="11">
        <f>_xlfn.XLOOKUP(A165,A164:A763,[1]Sheet3!V350:V949)</f>
        <v>7.5798592311857066E-2</v>
      </c>
      <c r="R165" s="7">
        <f>_xlfn.XLOOKUP(A165,A164:A763,[1]Sheet3!W350:W949)</f>
        <v>35.54</v>
      </c>
      <c r="S165" t="str">
        <f>_xlfn.XLOOKUP(A165,A164:A763,[1]Sheet3!X350:X949)</f>
        <v>EMI</v>
      </c>
      <c r="T165" s="5">
        <f>_xlfn.XLOOKUP(A165,A164:A763,[1]Sheet3!Z350:Z949)</f>
        <v>3</v>
      </c>
      <c r="U165" t="b">
        <f>_xlfn.XLOOKUP(A165,A164:A763,[1]Sheet3!AA350:AA949)</f>
        <v>0</v>
      </c>
      <c r="V165" t="str">
        <f>_xlfn.XLOOKUP(A165,A164:A763,[1]Sheet3!AC350:AC949)</f>
        <v>Delivered</v>
      </c>
      <c r="W165" s="5">
        <f>_xlfn.XLOOKUP(A165,A164:A763,[1]Sheet3!AE350:AE949)</f>
        <v>7</v>
      </c>
    </row>
    <row r="166" spans="1:23" x14ac:dyDescent="0.35">
      <c r="A166" t="s">
        <v>49</v>
      </c>
      <c r="B166" s="1">
        <f>_xlfn.XLOOKUP(A166,A165:A764,[1]Sheet3!C550:C1149)</f>
        <v>44345</v>
      </c>
      <c r="C166" t="str">
        <f>_xlfn.XLOOKUP(A166,A165:A764,[1]Sheet3!D550:D1149)</f>
        <v>CUST11240</v>
      </c>
      <c r="D166" t="str">
        <f>_xlfn.XLOOKUP(A166,A165:A764,[1]Sheet3!E550:E1149)</f>
        <v>Deepa Iyer</v>
      </c>
      <c r="E166" s="5">
        <f>_xlfn.XLOOKUP(A166,A165:A764,[1]Sheet3!G550:G1149)</f>
        <v>37</v>
      </c>
      <c r="F166" t="str">
        <f>_xlfn.XLOOKUP('Retail Sales'!A551,'Retail Sales'!A550:A1149,[1]Sheet3!H550:H1149)</f>
        <v>Adult</v>
      </c>
      <c r="G166" t="str">
        <f>_xlfn.XLOOKUP(A166,A165:A764,[1]Sheet3!J550:J1149)</f>
        <v>Other</v>
      </c>
      <c r="H166" t="str">
        <f>_xlfn.XLOOKUP(A166,A165:A764,[1]Sheet3!K550:K1149)</f>
        <v>West</v>
      </c>
      <c r="I166" t="str">
        <f>_xlfn.XLOOKUP(A166,A165:A764,[1]Sheet3!L550:L1149)</f>
        <v>Pune</v>
      </c>
      <c r="J166" t="str">
        <f>_xlfn.XLOOKUP(A166,A165:A764,[1]Sheet3!M550:M1149)</f>
        <v>Clothing</v>
      </c>
      <c r="K166" t="str">
        <f>_xlfn.XLOOKUP('Retail Sales'!A551,'Retail Sales'!A550:A1149,[1]Sheet3!N550:N1149)</f>
        <v>Saree</v>
      </c>
      <c r="L166" s="5">
        <f>_xlfn.XLOOKUP(A166,A165:A764,[1]Sheet3!P550:P1149)</f>
        <v>5</v>
      </c>
      <c r="M166" s="7">
        <f>_xlfn.XLOOKUP(A166,A165:A764,[1]Sheet3!Q550:Q1149)</f>
        <v>3466.72</v>
      </c>
      <c r="N166" s="9">
        <f>_xlfn.XLOOKUP(A166,A165:A764,[1]Sheet3!S550:S1149)</f>
        <v>0.15</v>
      </c>
      <c r="O166" s="7">
        <f>_xlfn.XLOOKUP(A166,A165:A764,[1]Sheet3!T550:T1149)</f>
        <v>22647.02</v>
      </c>
      <c r="P166" s="7">
        <f>_xlfn.XLOOKUP(A166,A165:A764,[1]Sheet3!U550:U1149)</f>
        <v>8403.2999999999993</v>
      </c>
      <c r="Q166" s="11">
        <f>_xlfn.XLOOKUP(A166,A165:A764,[1]Sheet3!V550:V1149)</f>
        <v>0.37105544128984735</v>
      </c>
      <c r="R166" s="7">
        <f>_xlfn.XLOOKUP(A166,A165:A764,[1]Sheet3!W550:W1149)</f>
        <v>47.97</v>
      </c>
      <c r="S166" t="str">
        <f>_xlfn.XLOOKUP(A166,A165:A764,[1]Sheet3!X550:X1149)</f>
        <v>Net Banking</v>
      </c>
      <c r="T166" s="5">
        <f>_xlfn.XLOOKUP(A166,A165:A764,[1]Sheet3!Z550:Z1149)</f>
        <v>3</v>
      </c>
      <c r="U166" t="b">
        <f>_xlfn.XLOOKUP(A166,A165:A764,[1]Sheet3!AA550:AA1149)</f>
        <v>0</v>
      </c>
      <c r="V166" t="str">
        <f>_xlfn.XLOOKUP(A166,A165:A764,[1]Sheet3!AC550:AC1149)</f>
        <v>Pending</v>
      </c>
      <c r="W166" s="5">
        <f>_xlfn.XLOOKUP(A166,A165:A764,[1]Sheet3!AE550:AE1149)</f>
        <v>8</v>
      </c>
    </row>
    <row r="167" spans="1:23" x14ac:dyDescent="0.35">
      <c r="A167" t="s">
        <v>193</v>
      </c>
      <c r="B167" s="1">
        <f>_xlfn.XLOOKUP(A167,A166:A765,[1]Sheet3!C406:C1005)</f>
        <v>44355</v>
      </c>
      <c r="C167" t="str">
        <f>_xlfn.XLOOKUP(A167,A166:A765,[1]Sheet3!D406:D1005)</f>
        <v>CUST04051</v>
      </c>
      <c r="D167" t="str">
        <f>_xlfn.XLOOKUP(A167,A166:A765,[1]Sheet3!E406:E1005)</f>
        <v>Ananya Sharma</v>
      </c>
      <c r="E167" s="5">
        <f>_xlfn.XLOOKUP(A167,A166:A765,[1]Sheet3!G406:G1005)</f>
        <v>40</v>
      </c>
      <c r="F167" t="str">
        <f>_xlfn.XLOOKUP('Retail Sales'!A407,'Retail Sales'!A406:A1005,[1]Sheet3!H406:H1005)</f>
        <v>Adult</v>
      </c>
      <c r="G167" t="str">
        <f>_xlfn.XLOOKUP(A167,A166:A765,[1]Sheet3!J406:J1005)</f>
        <v>Male</v>
      </c>
      <c r="H167" t="str">
        <f>_xlfn.XLOOKUP(A167,A166:A765,[1]Sheet3!K406:K1005)</f>
        <v>South</v>
      </c>
      <c r="I167" t="str">
        <f>_xlfn.XLOOKUP(A167,A166:A765,[1]Sheet3!L406:L1005)</f>
        <v>Hyderabad</v>
      </c>
      <c r="J167" t="str">
        <f>_xlfn.XLOOKUP(A167,A166:A765,[1]Sheet3!M406:M1005)</f>
        <v>Furniture</v>
      </c>
      <c r="K167" t="str">
        <f>_xlfn.XLOOKUP('Retail Sales'!A407,'Retail Sales'!A406:A1005,[1]Sheet3!N406:N1005)</f>
        <v>Sofa</v>
      </c>
      <c r="L167" s="5">
        <f>_xlfn.XLOOKUP(A167,A166:A765,[1]Sheet3!P406:P1005)</f>
        <v>5</v>
      </c>
      <c r="M167" s="7">
        <f>_xlfn.XLOOKUP(A167,A166:A765,[1]Sheet3!Q406:Q1005)</f>
        <v>23260.25</v>
      </c>
      <c r="N167" s="9">
        <f>_xlfn.XLOOKUP(A167,A166:A765,[1]Sheet3!S406:S1005)</f>
        <v>0.33</v>
      </c>
      <c r="O167" s="7">
        <f>_xlfn.XLOOKUP(A167,A166:A765,[1]Sheet3!T406:T1005)</f>
        <v>119013.87</v>
      </c>
      <c r="P167" s="7">
        <f>_xlfn.XLOOKUP(A167,A166:A765,[1]Sheet3!U406:U1005)</f>
        <v>32585.16</v>
      </c>
      <c r="Q167" s="11">
        <f>_xlfn.XLOOKUP(A167,A166:A765,[1]Sheet3!V406:V1005)</f>
        <v>0.27379296211441573</v>
      </c>
      <c r="R167" s="7">
        <f>_xlfn.XLOOKUP(A167,A166:A765,[1]Sheet3!W406:W1005)</f>
        <v>74.55</v>
      </c>
      <c r="S167" t="str">
        <f>_xlfn.XLOOKUP(A167,A166:A765,[1]Sheet3!X406:X1005)</f>
        <v>EMI</v>
      </c>
      <c r="T167" s="5">
        <f>_xlfn.XLOOKUP(A167,A166:A765,[1]Sheet3!Z406:Z1005)</f>
        <v>5</v>
      </c>
      <c r="U167" t="b">
        <f>_xlfn.XLOOKUP(A167,A166:A765,[1]Sheet3!AA406:AA1005)</f>
        <v>0</v>
      </c>
      <c r="V167" t="str">
        <f>_xlfn.XLOOKUP(A167,A166:A765,[1]Sheet3!AC406:AC1005)</f>
        <v>Delivered</v>
      </c>
      <c r="W167" s="5">
        <f>_xlfn.XLOOKUP(A167,A166:A765,[1]Sheet3!AE406:AE1005)</f>
        <v>9</v>
      </c>
    </row>
    <row r="168" spans="1:23" x14ac:dyDescent="0.35">
      <c r="A168" t="s">
        <v>160</v>
      </c>
      <c r="B168" s="1">
        <f>_xlfn.XLOOKUP(A168,A167:A766,[1]Sheet3!C439:C1038)</f>
        <v>44356</v>
      </c>
      <c r="C168" t="str">
        <f>_xlfn.XLOOKUP(A168,A167:A766,[1]Sheet3!D439:D1038)</f>
        <v>CUST88311</v>
      </c>
      <c r="D168" t="str">
        <f>_xlfn.XLOOKUP(A168,A167:A766,[1]Sheet3!E439:E1038)</f>
        <v>Karan Gupta</v>
      </c>
      <c r="E168" s="5">
        <f>_xlfn.XLOOKUP(A168,A167:A766,[1]Sheet3!G439:G1038)</f>
        <v>31</v>
      </c>
      <c r="F168" t="str">
        <f>_xlfn.XLOOKUP('Retail Sales'!A440,'Retail Sales'!A439:A1038,[1]Sheet3!H439:H1038)</f>
        <v>Young Adult</v>
      </c>
      <c r="G168" t="str">
        <f>_xlfn.XLOOKUP(A168,A167:A766,[1]Sheet3!J439:J1038)</f>
        <v>Female</v>
      </c>
      <c r="H168" t="str">
        <f>_xlfn.XLOOKUP(A168,A167:A766,[1]Sheet3!K439:K1038)</f>
        <v>East</v>
      </c>
      <c r="I168" t="str">
        <f>_xlfn.XLOOKUP(A168,A167:A766,[1]Sheet3!L439:L1038)</f>
        <v>Patna</v>
      </c>
      <c r="J168" t="str">
        <f>_xlfn.XLOOKUP(A168,A167:A766,[1]Sheet3!M439:M1038)</f>
        <v>Groceries</v>
      </c>
      <c r="K168" t="str">
        <f>_xlfn.XLOOKUP('Retail Sales'!A440,'Retail Sales'!A439:A1038,[1]Sheet3!N439:N1038)</f>
        <v>Dal (1kg)</v>
      </c>
      <c r="L168" s="5">
        <f>_xlfn.XLOOKUP(A168,A167:A766,[1]Sheet3!P439:P1038)</f>
        <v>6</v>
      </c>
      <c r="M168" s="7">
        <f>_xlfn.XLOOKUP(A168,A167:A766,[1]Sheet3!Q439:Q1038)</f>
        <v>57.72</v>
      </c>
      <c r="N168" s="9">
        <f>_xlfn.XLOOKUP(A168,A167:A766,[1]Sheet3!S439:S1038)</f>
        <v>0.19793402777777783</v>
      </c>
      <c r="O168" s="7">
        <f>_xlfn.XLOOKUP(A168,A167:A766,[1]Sheet3!T439:T1038)</f>
        <v>553.5</v>
      </c>
      <c r="P168" s="7">
        <f>_xlfn.XLOOKUP(A168,A167:A766,[1]Sheet3!U439:U1038)</f>
        <v>48.28</v>
      </c>
      <c r="Q168" s="11">
        <f>_xlfn.XLOOKUP(A168,A167:A766,[1]Sheet3!V439:V1038)</f>
        <v>8.7226738934056011E-2</v>
      </c>
      <c r="R168" s="7">
        <f>_xlfn.XLOOKUP(A168,A167:A766,[1]Sheet3!W439:W1038)</f>
        <v>80.69</v>
      </c>
      <c r="S168" t="str">
        <f>_xlfn.XLOOKUP(A168,A167:A766,[1]Sheet3!X439:X1038)</f>
        <v>EMI</v>
      </c>
      <c r="T168" s="5">
        <f>_xlfn.XLOOKUP(A168,A167:A766,[1]Sheet3!Z439:Z1038)</f>
        <v>3</v>
      </c>
      <c r="U168" t="b">
        <f>_xlfn.XLOOKUP(A168,A167:A766,[1]Sheet3!AA439:AA1038)</f>
        <v>0</v>
      </c>
      <c r="V168" t="str">
        <f>_xlfn.XLOOKUP(A168,A167:A766,[1]Sheet3!AC439:AC1038)</f>
        <v>Shipped</v>
      </c>
      <c r="W168" s="5">
        <f>_xlfn.XLOOKUP(A168,A167:A766,[1]Sheet3!AE439:AE1038)</f>
        <v>5</v>
      </c>
    </row>
    <row r="169" spans="1:23" x14ac:dyDescent="0.35">
      <c r="A169" t="s">
        <v>404</v>
      </c>
      <c r="B169" s="1">
        <f>_xlfn.XLOOKUP(A169,A168:A767,[1]Sheet3!C195:C794)</f>
        <v>44365</v>
      </c>
      <c r="C169" t="str">
        <f>_xlfn.XLOOKUP(A169,A168:A767,[1]Sheet3!D195:D794)</f>
        <v>CUST64503</v>
      </c>
      <c r="D169" t="str">
        <f>_xlfn.XLOOKUP(A169,A168:A767,[1]Sheet3!E195:E794)</f>
        <v>Vikram Gupta</v>
      </c>
      <c r="E169" s="5">
        <f>_xlfn.XLOOKUP(A169,A168:A767,[1]Sheet3!G195:G794)</f>
        <v>27</v>
      </c>
      <c r="F169" t="str">
        <f>_xlfn.XLOOKUP('Retail Sales'!A196,'Retail Sales'!A195:A794,[1]Sheet3!H195:H794)</f>
        <v>Young Adult</v>
      </c>
      <c r="G169" t="str">
        <f>_xlfn.XLOOKUP(A169,A168:A767,[1]Sheet3!J195:J794)</f>
        <v>Other</v>
      </c>
      <c r="H169" t="str">
        <f>_xlfn.XLOOKUP(A169,A168:A767,[1]Sheet3!K195:K794)</f>
        <v>Central</v>
      </c>
      <c r="I169" t="str">
        <f>_xlfn.XLOOKUP(A169,A168:A767,[1]Sheet3!L195:L794)</f>
        <v>Raipur</v>
      </c>
      <c r="J169" t="str">
        <f>_xlfn.XLOOKUP(A169,A168:A767,[1]Sheet3!M195:M794)</f>
        <v>Furniture</v>
      </c>
      <c r="K169" t="str">
        <f>_xlfn.XLOOKUP('Retail Sales'!A196,'Retail Sales'!A195:A794,[1]Sheet3!N195:N794)</f>
        <v>Wardrobe</v>
      </c>
      <c r="L169" s="5">
        <f>_xlfn.XLOOKUP(A169,A168:A767,[1]Sheet3!P195:P794)</f>
        <v>5</v>
      </c>
      <c r="M169" s="7">
        <f>_xlfn.XLOOKUP(A169,A168:A767,[1]Sheet3!Q195:Q794)</f>
        <v>27399.66</v>
      </c>
      <c r="N169" s="9">
        <f>_xlfn.XLOOKUP(A169,A168:A767,[1]Sheet3!S195:S794)</f>
        <v>0.38</v>
      </c>
      <c r="O169" s="7">
        <f>_xlfn.XLOOKUP(A169,A168:A767,[1]Sheet3!T195:T794)</f>
        <v>132575.91</v>
      </c>
      <c r="P169" s="7">
        <f>_xlfn.XLOOKUP(A169,A168:A767,[1]Sheet3!U195:U794)</f>
        <v>31097.38</v>
      </c>
      <c r="Q169" s="11">
        <f>_xlfn.XLOOKUP(A169,A168:A767,[1]Sheet3!V195:V794)</f>
        <v>0.23456282517691185</v>
      </c>
      <c r="R169" s="7">
        <f>_xlfn.XLOOKUP(A169,A168:A767,[1]Sheet3!W195:W794)</f>
        <v>50.34</v>
      </c>
      <c r="S169" t="str">
        <f>_xlfn.XLOOKUP(A169,A168:A767,[1]Sheet3!X195:X794)</f>
        <v>Net Banking</v>
      </c>
      <c r="T169" s="5">
        <f>_xlfn.XLOOKUP(A169,A168:A767,[1]Sheet3!Z195:Z794)</f>
        <v>3</v>
      </c>
      <c r="U169" t="b">
        <f>_xlfn.XLOOKUP(A169,A168:A767,[1]Sheet3!AA195:AA794)</f>
        <v>0</v>
      </c>
      <c r="V169" t="str">
        <f>_xlfn.XLOOKUP(A169,A168:A767,[1]Sheet3!AC195:AC794)</f>
        <v>Delivered</v>
      </c>
      <c r="W169" s="5">
        <f>_xlfn.XLOOKUP(A169,A168:A767,[1]Sheet3!AE195:AE794)</f>
        <v>4</v>
      </c>
    </row>
    <row r="170" spans="1:23" x14ac:dyDescent="0.35">
      <c r="A170" t="s">
        <v>334</v>
      </c>
      <c r="B170" s="1">
        <f>_xlfn.XLOOKUP(A170,A169:A768,[1]Sheet3!C265:C864)</f>
        <v>44367</v>
      </c>
      <c r="C170" t="str">
        <f>_xlfn.XLOOKUP(A170,A169:A768,[1]Sheet3!D265:D864)</f>
        <v>CUST39249</v>
      </c>
      <c r="D170" t="str">
        <f>_xlfn.XLOOKUP(A170,A169:A768,[1]Sheet3!E265:E864)</f>
        <v>Pooja Kapoor</v>
      </c>
      <c r="E170" s="5">
        <f>_xlfn.XLOOKUP(A170,A169:A768,[1]Sheet3!G265:G864)</f>
        <v>34</v>
      </c>
      <c r="F170" t="str">
        <f>_xlfn.XLOOKUP('Retail Sales'!A266,'Retail Sales'!A265:A864,[1]Sheet3!H265:H864)</f>
        <v>Young Adult</v>
      </c>
      <c r="G170" t="str">
        <f>_xlfn.XLOOKUP(A170,A169:A768,[1]Sheet3!J265:J864)</f>
        <v>Other</v>
      </c>
      <c r="H170" t="str">
        <f>_xlfn.XLOOKUP(A170,A169:A768,[1]Sheet3!K265:K864)</f>
        <v>South</v>
      </c>
      <c r="I170" t="str">
        <f>_xlfn.XLOOKUP(A170,A169:A768,[1]Sheet3!L265:L864)</f>
        <v>Kochi</v>
      </c>
      <c r="J170" t="str">
        <f>_xlfn.XLOOKUP(A170,A169:A768,[1]Sheet3!M265:M864)</f>
        <v>Groceries</v>
      </c>
      <c r="K170" t="str">
        <f>_xlfn.XLOOKUP('Retail Sales'!A266,'Retail Sales'!A265:A864,[1]Sheet3!N265:N864)</f>
        <v>Cooking Oil</v>
      </c>
      <c r="L170" s="5">
        <f>_xlfn.XLOOKUP(A170,A169:A768,[1]Sheet3!P265:P864)</f>
        <v>7</v>
      </c>
      <c r="M170" s="7">
        <f>_xlfn.XLOOKUP(A170,A169:A768,[1]Sheet3!Q265:Q864)</f>
        <v>363.21</v>
      </c>
      <c r="N170" s="9">
        <f>_xlfn.XLOOKUP(A170,A169:A768,[1]Sheet3!S265:S864)</f>
        <v>0.38</v>
      </c>
      <c r="O170" s="7">
        <f>_xlfn.XLOOKUP(A170,A169:A768,[1]Sheet3!T265:T864)</f>
        <v>2475.37</v>
      </c>
      <c r="P170" s="7">
        <f>_xlfn.XLOOKUP(A170,A169:A768,[1]Sheet3!U265:U864)</f>
        <v>175.94</v>
      </c>
      <c r="Q170" s="11">
        <f>_xlfn.XLOOKUP(A170,A169:A768,[1]Sheet3!V265:V864)</f>
        <v>7.107624314748906E-2</v>
      </c>
      <c r="R170" s="7">
        <f>_xlfn.XLOOKUP(A170,A169:A768,[1]Sheet3!W265:W864)</f>
        <v>73.22</v>
      </c>
      <c r="S170" t="str">
        <f>_xlfn.XLOOKUP(A170,A169:A768,[1]Sheet3!X265:X864)</f>
        <v>UPI</v>
      </c>
      <c r="T170" s="5">
        <f>_xlfn.XLOOKUP(A170,A169:A768,[1]Sheet3!Z265:Z864)</f>
        <v>4</v>
      </c>
      <c r="U170" t="b">
        <f>_xlfn.XLOOKUP(A170,A169:A768,[1]Sheet3!AA265:AA864)</f>
        <v>0</v>
      </c>
      <c r="V170" t="str">
        <f>_xlfn.XLOOKUP(A170,A169:A768,[1]Sheet3!AC265:AC864)</f>
        <v>Shipped</v>
      </c>
      <c r="W170" s="5">
        <f>_xlfn.XLOOKUP(A170,A169:A768,[1]Sheet3!AE265:AE864)</f>
        <v>1</v>
      </c>
    </row>
    <row r="171" spans="1:23" x14ac:dyDescent="0.35">
      <c r="A171" t="s">
        <v>333</v>
      </c>
      <c r="B171" s="1">
        <f>_xlfn.XLOOKUP(A171,A170:A769,[1]Sheet3!C266:C865)</f>
        <v>44370</v>
      </c>
      <c r="C171" t="str">
        <f>_xlfn.XLOOKUP(A171,A170:A769,[1]Sheet3!D266:D865)</f>
        <v>CUST26595</v>
      </c>
      <c r="D171" t="str">
        <f>_xlfn.XLOOKUP(A171,A170:A769,[1]Sheet3!E266:E865)</f>
        <v>Ananya Gupta</v>
      </c>
      <c r="E171" s="5">
        <f>_xlfn.XLOOKUP(A171,A170:A769,[1]Sheet3!G266:G865)</f>
        <v>40</v>
      </c>
      <c r="F171" t="str">
        <f>_xlfn.XLOOKUP('Retail Sales'!A267,'Retail Sales'!A266:A865,[1]Sheet3!H266:H865)</f>
        <v>Adult</v>
      </c>
      <c r="G171" t="str">
        <f>_xlfn.XLOOKUP(A171,A170:A769,[1]Sheet3!J266:J865)</f>
        <v>Other</v>
      </c>
      <c r="H171" t="str">
        <f>_xlfn.XLOOKUP(A171,A170:A769,[1]Sheet3!K266:K865)</f>
        <v>Central</v>
      </c>
      <c r="I171" t="str">
        <f>_xlfn.XLOOKUP(A171,A170:A769,[1]Sheet3!L266:L865)</f>
        <v>Nagpur</v>
      </c>
      <c r="J171" t="str">
        <f>_xlfn.XLOOKUP(A171,A170:A769,[1]Sheet3!M266:M865)</f>
        <v>Sports</v>
      </c>
      <c r="K171" t="str">
        <f>_xlfn.XLOOKUP('Retail Sales'!A267,'Retail Sales'!A266:A865,[1]Sheet3!N266:N865)</f>
        <v>Tennis Racket</v>
      </c>
      <c r="L171" s="5">
        <f>_xlfn.XLOOKUP(A171,A170:A769,[1]Sheet3!P266:P865)</f>
        <v>1</v>
      </c>
      <c r="M171" s="7">
        <f>_xlfn.XLOOKUP(A171,A170:A769,[1]Sheet3!Q266:Q865)</f>
        <v>8678.32</v>
      </c>
      <c r="N171" s="9">
        <f>_xlfn.XLOOKUP(A171,A170:A769,[1]Sheet3!S266:S865)</f>
        <v>0.17</v>
      </c>
      <c r="O171" s="7">
        <f>_xlfn.XLOOKUP(A171,A170:A769,[1]Sheet3!T266:T865)</f>
        <v>9630.16</v>
      </c>
      <c r="P171" s="7">
        <f>_xlfn.XLOOKUP(A171,A170:A769,[1]Sheet3!U266:U865)</f>
        <v>2953.14</v>
      </c>
      <c r="Q171" s="11">
        <f>_xlfn.XLOOKUP(A171,A170:A769,[1]Sheet3!V266:V865)</f>
        <v>0.30665534113659587</v>
      </c>
      <c r="R171" s="7">
        <f>_xlfn.XLOOKUP(A171,A170:A769,[1]Sheet3!W266:W865)</f>
        <v>33.35</v>
      </c>
      <c r="S171" t="str">
        <f>_xlfn.XLOOKUP(A171,A170:A769,[1]Sheet3!X266:X865)</f>
        <v>UPI</v>
      </c>
      <c r="T171" s="5">
        <f>_xlfn.XLOOKUP(A171,A170:A769,[1]Sheet3!Z266:Z865)</f>
        <v>5</v>
      </c>
      <c r="U171" t="b">
        <f>_xlfn.XLOOKUP(A171,A170:A769,[1]Sheet3!AA266:AA865)</f>
        <v>0</v>
      </c>
      <c r="V171" t="str">
        <f>_xlfn.XLOOKUP(A171,A170:A769,[1]Sheet3!AC266:AC865)</f>
        <v>Delivered</v>
      </c>
      <c r="W171" s="5">
        <f>_xlfn.XLOOKUP(A171,A170:A769,[1]Sheet3!AE266:AE865)</f>
        <v>4</v>
      </c>
    </row>
    <row r="172" spans="1:23" x14ac:dyDescent="0.35">
      <c r="A172" t="s">
        <v>265</v>
      </c>
      <c r="B172" s="1">
        <f>_xlfn.XLOOKUP(A172,A171:A770,[1]Sheet3!C334:C933)</f>
        <v>44372</v>
      </c>
      <c r="C172" t="str">
        <f>_xlfn.XLOOKUP(A172,A171:A770,[1]Sheet3!D334:D933)</f>
        <v>CUST00543</v>
      </c>
      <c r="D172" t="str">
        <f>_xlfn.XLOOKUP(A172,A171:A770,[1]Sheet3!E334:E933)</f>
        <v>Karan Singh</v>
      </c>
      <c r="E172" s="5">
        <f>_xlfn.XLOOKUP(A172,A171:A770,[1]Sheet3!G334:G933)</f>
        <v>34.294220665499125</v>
      </c>
      <c r="F172" t="str">
        <f>_xlfn.XLOOKUP('Retail Sales'!A335,'Retail Sales'!A334:A933,[1]Sheet3!H334:H933)</f>
        <v>Young Adult</v>
      </c>
      <c r="G172" t="str">
        <f>_xlfn.XLOOKUP(A172,A171:A770,[1]Sheet3!J334:J933)</f>
        <v>Male</v>
      </c>
      <c r="H172" t="str">
        <f>_xlfn.XLOOKUP(A172,A171:A770,[1]Sheet3!K334:K933)</f>
        <v>South</v>
      </c>
      <c r="I172" t="str">
        <f>_xlfn.XLOOKUP(A172,A171:A770,[1]Sheet3!L334:L933)</f>
        <v>Kochi</v>
      </c>
      <c r="J172" t="str">
        <f>_xlfn.XLOOKUP(A172,A171:A770,[1]Sheet3!M334:M933)</f>
        <v>Sports</v>
      </c>
      <c r="K172" t="str">
        <f>_xlfn.XLOOKUP('Retail Sales'!A335,'Retail Sales'!A334:A933,[1]Sheet3!N334:N933)</f>
        <v>Cricket Bat</v>
      </c>
      <c r="L172" s="5">
        <f>_xlfn.XLOOKUP(A172,A171:A770,[1]Sheet3!P334:P933)</f>
        <v>7.0954861111111107</v>
      </c>
      <c r="M172" s="7">
        <f>_xlfn.XLOOKUP(A172,A171:A770,[1]Sheet3!Q334:Q933)</f>
        <v>10501.07</v>
      </c>
      <c r="N172" s="9">
        <f>_xlfn.XLOOKUP(A172,A171:A770,[1]Sheet3!S334:S933)</f>
        <v>0.1</v>
      </c>
      <c r="O172" s="7">
        <f>_xlfn.XLOOKUP(A172,A171:A770,[1]Sheet3!T334:T933)</f>
        <v>15147.36</v>
      </c>
      <c r="P172" s="7">
        <f>_xlfn.XLOOKUP(A172,A171:A770,[1]Sheet3!U334:U933)</f>
        <v>3020.39</v>
      </c>
      <c r="Q172" s="11">
        <f>_xlfn.XLOOKUP(A172,A171:A770,[1]Sheet3!V334:V933)</f>
        <v>0.19940042357216042</v>
      </c>
      <c r="R172" s="7">
        <f>_xlfn.XLOOKUP(A172,A171:A770,[1]Sheet3!W334:W933)</f>
        <v>56.4</v>
      </c>
      <c r="S172" t="str">
        <f>_xlfn.XLOOKUP(A172,A171:A770,[1]Sheet3!X334:X933)</f>
        <v>Cash on Delivery</v>
      </c>
      <c r="T172" s="5">
        <f>_xlfn.XLOOKUP(A172,A171:A770,[1]Sheet3!Z334:Z933)</f>
        <v>5</v>
      </c>
      <c r="U172" t="b">
        <f>_xlfn.XLOOKUP(A172,A171:A770,[1]Sheet3!AA334:AA933)</f>
        <v>0</v>
      </c>
      <c r="V172" t="str">
        <f>_xlfn.XLOOKUP(A172,A171:A770,[1]Sheet3!AC334:AC933)</f>
        <v>Delivered</v>
      </c>
      <c r="W172" s="5">
        <f>_xlfn.XLOOKUP(A172,A171:A770,[1]Sheet3!AE334:AE933)</f>
        <v>7</v>
      </c>
    </row>
    <row r="173" spans="1:23" x14ac:dyDescent="0.35">
      <c r="A173" t="s">
        <v>441</v>
      </c>
      <c r="B173" s="1">
        <f>_xlfn.XLOOKUP(A173,A172:A771,[1]Sheet3!C158:C757)</f>
        <v>44376</v>
      </c>
      <c r="C173" t="str">
        <f>_xlfn.XLOOKUP(A173,A172:A771,[1]Sheet3!D158:D757)</f>
        <v>CUST72453</v>
      </c>
      <c r="D173" t="str">
        <f>_xlfn.XLOOKUP(A173,A172:A771,[1]Sheet3!E158:E757)</f>
        <v>Arjun Joshi</v>
      </c>
      <c r="E173" s="5">
        <f>_xlfn.XLOOKUP(A173,A172:A771,[1]Sheet3!G158:G757)</f>
        <v>31</v>
      </c>
      <c r="F173" t="str">
        <f>_xlfn.XLOOKUP('Retail Sales'!A159,'Retail Sales'!A158:A757,[1]Sheet3!H158:H757)</f>
        <v>Young Adult</v>
      </c>
      <c r="G173" t="str">
        <f>_xlfn.XLOOKUP(A173,A172:A771,[1]Sheet3!J158:J757)</f>
        <v>Male</v>
      </c>
      <c r="H173" t="str">
        <f>_xlfn.XLOOKUP(A173,A172:A771,[1]Sheet3!K158:K757)</f>
        <v>South</v>
      </c>
      <c r="I173" t="str">
        <f>_xlfn.XLOOKUP(A173,A172:A771,[1]Sheet3!L158:L757)</f>
        <v>Hyderabad</v>
      </c>
      <c r="J173" t="str">
        <f>_xlfn.XLOOKUP(A173,A172:A771,[1]Sheet3!M158:M757)</f>
        <v>Furniture</v>
      </c>
      <c r="K173" t="str">
        <f>_xlfn.XLOOKUP('Retail Sales'!A159,'Retail Sales'!A158:A757,[1]Sheet3!N158:N757)</f>
        <v>Chair</v>
      </c>
      <c r="L173" s="5">
        <f>_xlfn.XLOOKUP(A173,A172:A771,[1]Sheet3!P158:P757)</f>
        <v>6</v>
      </c>
      <c r="M173" s="7">
        <f>_xlfn.XLOOKUP(A173,A172:A771,[1]Sheet3!Q158:Q757)</f>
        <v>3208.32</v>
      </c>
      <c r="N173" s="9">
        <f>_xlfn.XLOOKUP(A173,A172:A771,[1]Sheet3!S158:S757)</f>
        <v>0.25</v>
      </c>
      <c r="O173" s="7">
        <f>_xlfn.XLOOKUP(A173,A172:A771,[1]Sheet3!T158:T757)</f>
        <v>24685.74</v>
      </c>
      <c r="P173" s="7">
        <f>_xlfn.XLOOKUP(A173,A172:A771,[1]Sheet3!U158:U757)</f>
        <v>5146.1000000000004</v>
      </c>
      <c r="Q173" s="11">
        <f>_xlfn.XLOOKUP(A173,A172:A771,[1]Sheet3!V158:V757)</f>
        <v>0.20846448192357206</v>
      </c>
      <c r="R173" s="7">
        <f>_xlfn.XLOOKUP(A173,A172:A771,[1]Sheet3!W158:W757)</f>
        <v>81.25</v>
      </c>
      <c r="S173" t="str">
        <f>_xlfn.XLOOKUP(A173,A172:A771,[1]Sheet3!X158:X757)</f>
        <v>UPI</v>
      </c>
      <c r="T173" s="5">
        <f>_xlfn.XLOOKUP(A173,A172:A771,[1]Sheet3!Z158:Z757)</f>
        <v>4</v>
      </c>
      <c r="U173" t="b">
        <f>_xlfn.XLOOKUP(A173,A172:A771,[1]Sheet3!AA158:AA757)</f>
        <v>0</v>
      </c>
      <c r="V173" t="str">
        <f>_xlfn.XLOOKUP(A173,A172:A771,[1]Sheet3!AC158:AC757)</f>
        <v>Pending</v>
      </c>
      <c r="W173" s="5">
        <f>_xlfn.XLOOKUP(A173,A172:A771,[1]Sheet3!AE158:AE757)</f>
        <v>5</v>
      </c>
    </row>
    <row r="174" spans="1:23" x14ac:dyDescent="0.35">
      <c r="A174" t="s">
        <v>332</v>
      </c>
      <c r="B174" s="1">
        <f>_xlfn.XLOOKUP(A174,A173:A772,[1]Sheet3!C267:C866)</f>
        <v>44378</v>
      </c>
      <c r="C174" t="str">
        <f>_xlfn.XLOOKUP(A174,A173:A772,[1]Sheet3!D267:D866)</f>
        <v>CUST22983</v>
      </c>
      <c r="D174" t="str">
        <f>_xlfn.XLOOKUP(A174,A173:A772,[1]Sheet3!E267:E866)</f>
        <v>Deepa Kapoor</v>
      </c>
      <c r="E174" s="5">
        <f>_xlfn.XLOOKUP(A174,A173:A772,[1]Sheet3!G267:G866)</f>
        <v>40</v>
      </c>
      <c r="F174" t="str">
        <f>_xlfn.XLOOKUP('Retail Sales'!A268,'Retail Sales'!A267:A866,[1]Sheet3!H267:H866)</f>
        <v>Adult</v>
      </c>
      <c r="G174" t="str">
        <f>_xlfn.XLOOKUP(A174,A173:A772,[1]Sheet3!J267:J866)</f>
        <v>Other</v>
      </c>
      <c r="H174" t="str">
        <f>_xlfn.XLOOKUP(A174,A173:A772,[1]Sheet3!K267:K866)</f>
        <v>South</v>
      </c>
      <c r="I174" t="str">
        <f>_xlfn.XLOOKUP(A174,A173:A772,[1]Sheet3!L267:L866)</f>
        <v>Bangalore</v>
      </c>
      <c r="J174" t="str">
        <f>_xlfn.XLOOKUP(A174,A173:A772,[1]Sheet3!M267:M866)</f>
        <v>Clothing</v>
      </c>
      <c r="K174" t="str">
        <f>_xlfn.XLOOKUP('Retail Sales'!A268,'Retail Sales'!A267:A866,[1]Sheet3!N267:N866)</f>
        <v>Saree</v>
      </c>
      <c r="L174" s="5">
        <f>_xlfn.XLOOKUP(A174,A173:A772,[1]Sheet3!P267:P866)</f>
        <v>2</v>
      </c>
      <c r="M174" s="7">
        <f>_xlfn.XLOOKUP(A174,A173:A772,[1]Sheet3!Q267:Q866)</f>
        <v>738.48</v>
      </c>
      <c r="N174" s="9">
        <f>_xlfn.XLOOKUP(A174,A173:A772,[1]Sheet3!S267:S866)</f>
        <v>0.09</v>
      </c>
      <c r="O174" s="7">
        <f>_xlfn.XLOOKUP(A174,A173:A772,[1]Sheet3!T267:T866)</f>
        <v>1795.94</v>
      </c>
      <c r="P174" s="7">
        <f>_xlfn.XLOOKUP(A174,A173:A772,[1]Sheet3!U267:U866)</f>
        <v>565.89</v>
      </c>
      <c r="Q174" s="11">
        <f>_xlfn.XLOOKUP(A174,A173:A772,[1]Sheet3!V267:V866)</f>
        <v>0.31509404545808878</v>
      </c>
      <c r="R174" s="7">
        <f>_xlfn.XLOOKUP(A174,A173:A772,[1]Sheet3!W267:W866)</f>
        <v>67.67</v>
      </c>
      <c r="S174" t="str">
        <f>_xlfn.XLOOKUP(A174,A173:A772,[1]Sheet3!X267:X866)</f>
        <v>Net Banking</v>
      </c>
      <c r="T174" s="5">
        <f>_xlfn.XLOOKUP(A174,A173:A772,[1]Sheet3!Z267:Z866)</f>
        <v>3</v>
      </c>
      <c r="U174" t="b">
        <f>_xlfn.XLOOKUP(A174,A173:A772,[1]Sheet3!AA267:AA866)</f>
        <v>0</v>
      </c>
      <c r="V174" t="str">
        <f>_xlfn.XLOOKUP(A174,A173:A772,[1]Sheet3!AC267:AC866)</f>
        <v>Delivered</v>
      </c>
      <c r="W174" s="5">
        <f>_xlfn.XLOOKUP(A174,A173:A772,[1]Sheet3!AE267:AE866)</f>
        <v>7</v>
      </c>
    </row>
    <row r="175" spans="1:23" x14ac:dyDescent="0.35">
      <c r="A175" t="s">
        <v>330</v>
      </c>
      <c r="B175" s="1">
        <f>_xlfn.XLOOKUP(A175,A174:A773,[1]Sheet3!C269:C868)</f>
        <v>44378</v>
      </c>
      <c r="C175" t="str">
        <f>_xlfn.XLOOKUP(A175,A174:A773,[1]Sheet3!D269:D868)</f>
        <v>CUST54226</v>
      </c>
      <c r="D175" t="str">
        <f>_xlfn.XLOOKUP(A175,A174:A773,[1]Sheet3!E269:E868)</f>
        <v>Nisha Mehta</v>
      </c>
      <c r="E175" s="5">
        <f>_xlfn.XLOOKUP(A175,A174:A773,[1]Sheet3!G269:G868)</f>
        <v>33</v>
      </c>
      <c r="F175" t="str">
        <f>_xlfn.XLOOKUP('Retail Sales'!A270,'Retail Sales'!A269:A868,[1]Sheet3!H269:H868)</f>
        <v>Young Adult</v>
      </c>
      <c r="G175" t="str">
        <f>_xlfn.XLOOKUP(A175,A174:A773,[1]Sheet3!J269:J868)</f>
        <v>Male</v>
      </c>
      <c r="H175" t="str">
        <f>_xlfn.XLOOKUP(A175,A174:A773,[1]Sheet3!K269:K868)</f>
        <v>East</v>
      </c>
      <c r="I175" t="str">
        <f>_xlfn.XLOOKUP(A175,A174:A773,[1]Sheet3!L269:L868)</f>
        <v>Bhubaneswar</v>
      </c>
      <c r="J175" t="str">
        <f>_xlfn.XLOOKUP(A175,A174:A773,[1]Sheet3!M269:M868)</f>
        <v>Beauty</v>
      </c>
      <c r="K175" t="str">
        <f>_xlfn.XLOOKUP('Retail Sales'!A270,'Retail Sales'!A269:A868,[1]Sheet3!N269:N868)</f>
        <v>Lipstick</v>
      </c>
      <c r="L175" s="5">
        <f>_xlfn.XLOOKUP(A175,A174:A773,[1]Sheet3!P269:P868)</f>
        <v>5</v>
      </c>
      <c r="M175" s="7">
        <f>_xlfn.XLOOKUP(A175,A174:A773,[1]Sheet3!Q269:Q868)</f>
        <v>1998.43</v>
      </c>
      <c r="N175" s="9">
        <f>_xlfn.XLOOKUP(A175,A174:A773,[1]Sheet3!S269:S868)</f>
        <v>0.26</v>
      </c>
      <c r="O175" s="7">
        <f>_xlfn.XLOOKUP(A175,A174:A773,[1]Sheet3!T269:T868)</f>
        <v>9047.98</v>
      </c>
      <c r="P175" s="7">
        <f>_xlfn.XLOOKUP(A175,A174:A773,[1]Sheet3!U269:U868)</f>
        <v>4337.88</v>
      </c>
      <c r="Q175" s="11">
        <f>_xlfn.XLOOKUP(A175,A174:A773,[1]Sheet3!V269:V868)</f>
        <v>0.47943076797251988</v>
      </c>
      <c r="R175" s="7">
        <f>_xlfn.XLOOKUP(A175,A174:A773,[1]Sheet3!W269:W868)</f>
        <v>79.62</v>
      </c>
      <c r="S175" t="str">
        <f>_xlfn.XLOOKUP(A175,A174:A773,[1]Sheet3!X269:X868)</f>
        <v>UPI</v>
      </c>
      <c r="T175" s="5">
        <f>_xlfn.XLOOKUP(A175,A174:A773,[1]Sheet3!Z269:Z868)</f>
        <v>4</v>
      </c>
      <c r="U175" t="b">
        <f>_xlfn.XLOOKUP(A175,A174:A773,[1]Sheet3!AA269:AA868)</f>
        <v>0</v>
      </c>
      <c r="V175" t="str">
        <f>_xlfn.XLOOKUP(A175,A174:A773,[1]Sheet3!AC269:AC868)</f>
        <v>Shipped</v>
      </c>
      <c r="W175" s="5">
        <f>_xlfn.XLOOKUP(A175,A174:A773,[1]Sheet3!AE269:AE868)</f>
        <v>3</v>
      </c>
    </row>
    <row r="176" spans="1:23" x14ac:dyDescent="0.35">
      <c r="A176" t="s">
        <v>295</v>
      </c>
      <c r="B176" s="1">
        <f>_xlfn.XLOOKUP(A176,A175:A774,[1]Sheet3!C304:C903)</f>
        <v>44382</v>
      </c>
      <c r="C176" t="str">
        <f>_xlfn.XLOOKUP(A176,A175:A774,[1]Sheet3!D304:D903)</f>
        <v>CUST24791</v>
      </c>
      <c r="D176" t="str">
        <f>_xlfn.XLOOKUP(A176,A175:A774,[1]Sheet3!E304:E903)</f>
        <v>Arjun Pillai</v>
      </c>
      <c r="E176" s="5">
        <f>_xlfn.XLOOKUP(A176,A175:A774,[1]Sheet3!G304:G903)</f>
        <v>8</v>
      </c>
      <c r="F176" t="str">
        <f>_xlfn.XLOOKUP('Retail Sales'!A305,'Retail Sales'!A304:A903,[1]Sheet3!H304:H903)</f>
        <v>Child</v>
      </c>
      <c r="G176" t="str">
        <f>_xlfn.XLOOKUP(A176,A175:A774,[1]Sheet3!J304:J903)</f>
        <v>Male</v>
      </c>
      <c r="H176" t="str">
        <f>_xlfn.XLOOKUP(A176,A175:A774,[1]Sheet3!K304:K903)</f>
        <v>East</v>
      </c>
      <c r="I176" t="str">
        <f>_xlfn.XLOOKUP(A176,A175:A774,[1]Sheet3!L304:L903)</f>
        <v>Kolkata</v>
      </c>
      <c r="J176" t="str">
        <f>_xlfn.XLOOKUP(A176,A175:A774,[1]Sheet3!M304:M903)</f>
        <v>Clothing</v>
      </c>
      <c r="K176" t="str">
        <f>_xlfn.XLOOKUP('Retail Sales'!A305,'Retail Sales'!A304:A903,[1]Sheet3!N304:N903)</f>
        <v>Saree</v>
      </c>
      <c r="L176" s="5">
        <f>_xlfn.XLOOKUP(A176,A175:A774,[1]Sheet3!P304:P903)</f>
        <v>9</v>
      </c>
      <c r="M176" s="7">
        <f>_xlfn.XLOOKUP(A176,A175:A774,[1]Sheet3!Q304:Q903)</f>
        <v>1326.38</v>
      </c>
      <c r="N176" s="9">
        <f>_xlfn.XLOOKUP(A176,A175:A774,[1]Sheet3!S304:S903)</f>
        <v>0.16</v>
      </c>
      <c r="O176" s="7">
        <f>_xlfn.XLOOKUP(A176,A175:A774,[1]Sheet3!T304:T903)</f>
        <v>11602.32</v>
      </c>
      <c r="P176" s="7">
        <f>_xlfn.XLOOKUP(A176,A175:A774,[1]Sheet3!U304:U903)</f>
        <v>4308.95</v>
      </c>
      <c r="Q176" s="11">
        <f>_xlfn.XLOOKUP(A176,A175:A774,[1]Sheet3!V304:V903)</f>
        <v>0.37138692951064961</v>
      </c>
      <c r="R176" s="7">
        <f>_xlfn.XLOOKUP(A176,A175:A774,[1]Sheet3!W304:W903)</f>
        <v>58.85</v>
      </c>
      <c r="S176" t="str">
        <f>_xlfn.XLOOKUP(A176,A175:A774,[1]Sheet3!X304:X903)</f>
        <v>Credit Card</v>
      </c>
      <c r="T176" s="5">
        <f>_xlfn.XLOOKUP(A176,A175:A774,[1]Sheet3!Z304:Z903)</f>
        <v>4</v>
      </c>
      <c r="U176" t="b">
        <f>_xlfn.XLOOKUP(A176,A175:A774,[1]Sheet3!AA304:AA903)</f>
        <v>0</v>
      </c>
      <c r="V176" t="str">
        <f>_xlfn.XLOOKUP(A176,A175:A774,[1]Sheet3!AC304:AC903)</f>
        <v>Delivered</v>
      </c>
      <c r="W176" s="5">
        <f>_xlfn.XLOOKUP(A176,A175:A774,[1]Sheet3!AE304:AE903)</f>
        <v>1</v>
      </c>
    </row>
    <row r="177" spans="1:23" x14ac:dyDescent="0.35">
      <c r="A177" t="s">
        <v>375</v>
      </c>
      <c r="B177" s="1">
        <f>_xlfn.XLOOKUP(A177,A176:A775,[1]Sheet3!C224:C823)</f>
        <v>44383</v>
      </c>
      <c r="C177" t="str">
        <f>_xlfn.XLOOKUP(A177,A176:A775,[1]Sheet3!D224:D823)</f>
        <v>CUST34079</v>
      </c>
      <c r="D177" t="str">
        <f>_xlfn.XLOOKUP(A177,A176:A775,[1]Sheet3!E224:E823)</f>
        <v>Nisha Das</v>
      </c>
      <c r="E177" s="5">
        <f>_xlfn.XLOOKUP(A177,A176:A775,[1]Sheet3!G224:G823)</f>
        <v>40</v>
      </c>
      <c r="F177" t="str">
        <f>_xlfn.XLOOKUP('Retail Sales'!A225,'Retail Sales'!A224:A823,[1]Sheet3!H224:H823)</f>
        <v>Adult</v>
      </c>
      <c r="G177" t="str">
        <f>_xlfn.XLOOKUP(A177,A176:A775,[1]Sheet3!J224:J823)</f>
        <v>Male</v>
      </c>
      <c r="H177" t="str">
        <f>_xlfn.XLOOKUP(A177,A176:A775,[1]Sheet3!K224:K823)</f>
        <v>Central</v>
      </c>
      <c r="I177" t="str">
        <f>_xlfn.XLOOKUP(A177,A176:A775,[1]Sheet3!L224:L823)</f>
        <v>Bhopal</v>
      </c>
      <c r="J177" t="str">
        <f>_xlfn.XLOOKUP(A177,A176:A775,[1]Sheet3!M224:M823)</f>
        <v>Clothing</v>
      </c>
      <c r="K177" t="str">
        <f>_xlfn.XLOOKUP('Retail Sales'!A225,'Retail Sales'!A224:A823,[1]Sheet3!N224:N823)</f>
        <v>T-Shirt</v>
      </c>
      <c r="L177" s="5">
        <f>_xlfn.XLOOKUP(A177,A176:A775,[1]Sheet3!P224:P823)</f>
        <v>6</v>
      </c>
      <c r="M177" s="7">
        <f>_xlfn.XLOOKUP(A177,A176:A775,[1]Sheet3!Q224:Q823)</f>
        <v>3032.93</v>
      </c>
      <c r="N177" s="9">
        <f>_xlfn.XLOOKUP(A177,A176:A775,[1]Sheet3!S224:S823)</f>
        <v>0.08</v>
      </c>
      <c r="O177" s="7">
        <f>_xlfn.XLOOKUP(A177,A176:A775,[1]Sheet3!T224:T823)</f>
        <v>25322.69</v>
      </c>
      <c r="P177" s="7">
        <f>_xlfn.XLOOKUP(A177,A176:A775,[1]Sheet3!U224:U823)</f>
        <v>10654.04</v>
      </c>
      <c r="Q177" s="11">
        <f>_xlfn.XLOOKUP(A177,A176:A775,[1]Sheet3!V224:V823)</f>
        <v>0.42073097289426997</v>
      </c>
      <c r="R177" s="7">
        <f>_xlfn.XLOOKUP(A177,A176:A775,[1]Sheet3!W224:W823)</f>
        <v>27.7</v>
      </c>
      <c r="S177" t="str">
        <f>_xlfn.XLOOKUP(A177,A176:A775,[1]Sheet3!X224:X823)</f>
        <v>EMI</v>
      </c>
      <c r="T177" s="5">
        <f>_xlfn.XLOOKUP(A177,A176:A775,[1]Sheet3!Z224:Z823)</f>
        <v>1</v>
      </c>
      <c r="U177" t="b">
        <f>_xlfn.XLOOKUP(A177,A176:A775,[1]Sheet3!AA224:AA823)</f>
        <v>0</v>
      </c>
      <c r="V177" t="str">
        <f>_xlfn.XLOOKUP(A177,A176:A775,[1]Sheet3!AC224:AC823)</f>
        <v>Delivered</v>
      </c>
      <c r="W177" s="5">
        <f>_xlfn.XLOOKUP(A177,A176:A775,[1]Sheet3!AE224:AE823)</f>
        <v>4</v>
      </c>
    </row>
    <row r="178" spans="1:23" x14ac:dyDescent="0.35">
      <c r="A178" t="s">
        <v>348</v>
      </c>
      <c r="B178" s="1">
        <f>_xlfn.XLOOKUP(A178,A177:A776,[1]Sheet3!C251:C850)</f>
        <v>44387</v>
      </c>
      <c r="C178" t="str">
        <f>_xlfn.XLOOKUP(A178,A177:A776,[1]Sheet3!D251:D850)</f>
        <v>CUST64805</v>
      </c>
      <c r="D178" t="str">
        <f>_xlfn.XLOOKUP(A178,A177:A776,[1]Sheet3!E251:E850)</f>
        <v>Priya Mishra</v>
      </c>
      <c r="E178" s="5">
        <f>_xlfn.XLOOKUP(A178,A177:A776,[1]Sheet3!G251:G850)</f>
        <v>33</v>
      </c>
      <c r="F178" t="str">
        <f>_xlfn.XLOOKUP('Retail Sales'!A252,'Retail Sales'!A251:A850,[1]Sheet3!H251:H850)</f>
        <v>Young Adult</v>
      </c>
      <c r="G178" t="str">
        <f>_xlfn.XLOOKUP(A178,A177:A776,[1]Sheet3!J251:J850)</f>
        <v>Female</v>
      </c>
      <c r="H178" t="str">
        <f>_xlfn.XLOOKUP(A178,A177:A776,[1]Sheet3!K251:K850)</f>
        <v>South</v>
      </c>
      <c r="I178" t="str">
        <f>_xlfn.XLOOKUP(A178,A177:A776,[1]Sheet3!L251:L850)</f>
        <v>Hyderabad</v>
      </c>
      <c r="J178" t="str">
        <f>_xlfn.XLOOKUP(A178,A177:A776,[1]Sheet3!M251:M850)</f>
        <v>Clothing</v>
      </c>
      <c r="K178" t="str">
        <f>_xlfn.XLOOKUP('Retail Sales'!A252,'Retail Sales'!A251:A850,[1]Sheet3!N251:N850)</f>
        <v>Jacket</v>
      </c>
      <c r="L178" s="5">
        <f>_xlfn.XLOOKUP(A178,A177:A776,[1]Sheet3!P251:P850)</f>
        <v>6</v>
      </c>
      <c r="M178" s="7">
        <f>_xlfn.XLOOKUP(A178,A177:A776,[1]Sheet3!Q251:Q850)</f>
        <v>2619.38</v>
      </c>
      <c r="N178" s="9">
        <f>_xlfn.XLOOKUP(A178,A177:A776,[1]Sheet3!S251:S850)</f>
        <v>0.24</v>
      </c>
      <c r="O178" s="7">
        <f>_xlfn.XLOOKUP(A178,A177:A776,[1]Sheet3!T251:T850)</f>
        <v>15863.82</v>
      </c>
      <c r="P178" s="7">
        <f>_xlfn.XLOOKUP(A178,A177:A776,[1]Sheet3!U251:U850)</f>
        <v>5048.54</v>
      </c>
      <c r="Q178" s="11">
        <f>_xlfn.XLOOKUP(A178,A177:A776,[1]Sheet3!V251:V850)</f>
        <v>0.31824239054653924</v>
      </c>
      <c r="R178" s="7">
        <f>_xlfn.XLOOKUP(A178,A177:A776,[1]Sheet3!W251:W850)</f>
        <v>23.2</v>
      </c>
      <c r="S178" t="str">
        <f>_xlfn.XLOOKUP(A178,A177:A776,[1]Sheet3!X251:X850)</f>
        <v>EMI</v>
      </c>
      <c r="T178" s="5">
        <f>_xlfn.XLOOKUP(A178,A177:A776,[1]Sheet3!Z251:Z850)</f>
        <v>2</v>
      </c>
      <c r="U178" t="b">
        <f>_xlfn.XLOOKUP(A178,A177:A776,[1]Sheet3!AA251:AA850)</f>
        <v>0</v>
      </c>
      <c r="V178" t="str">
        <f>_xlfn.XLOOKUP(A178,A177:A776,[1]Sheet3!AC251:AC850)</f>
        <v>Delivered</v>
      </c>
      <c r="W178" s="5">
        <f>_xlfn.XLOOKUP(A178,A177:A776,[1]Sheet3!AE251:AE850)</f>
        <v>4</v>
      </c>
    </row>
    <row r="179" spans="1:23" x14ac:dyDescent="0.35">
      <c r="A179" t="s">
        <v>337</v>
      </c>
      <c r="B179" s="1">
        <f>_xlfn.XLOOKUP(A179,A178:A777,[1]Sheet3!C262:C861)</f>
        <v>44389</v>
      </c>
      <c r="C179" t="str">
        <f>_xlfn.XLOOKUP(A179,A178:A777,[1]Sheet3!D262:D861)</f>
        <v>CUST86703</v>
      </c>
      <c r="D179" t="str">
        <f>_xlfn.XLOOKUP(A179,A178:A777,[1]Sheet3!E262:E861)</f>
        <v>Sanjay Verma</v>
      </c>
      <c r="E179" s="5">
        <f>_xlfn.XLOOKUP(A179,A178:A777,[1]Sheet3!G262:G861)</f>
        <v>20</v>
      </c>
      <c r="F179" t="str">
        <f>_xlfn.XLOOKUP('Retail Sales'!A263,'Retail Sales'!A262:A861,[1]Sheet3!H262:H861)</f>
        <v>Young Adult</v>
      </c>
      <c r="G179" t="str">
        <f>_xlfn.XLOOKUP(A179,A178:A777,[1]Sheet3!J262:J861)</f>
        <v>Female</v>
      </c>
      <c r="H179" t="str">
        <f>_xlfn.XLOOKUP(A179,A178:A777,[1]Sheet3!K262:K861)</f>
        <v>North</v>
      </c>
      <c r="I179" t="str">
        <f>_xlfn.XLOOKUP(A179,A178:A777,[1]Sheet3!L262:L861)</f>
        <v>Amritsar</v>
      </c>
      <c r="J179" t="str">
        <f>_xlfn.XLOOKUP(A179,A178:A777,[1]Sheet3!M262:M861)</f>
        <v>Electronics</v>
      </c>
      <c r="K179" t="str">
        <f>_xlfn.XLOOKUP('Retail Sales'!A263,'Retail Sales'!A262:A861,[1]Sheet3!N262:N861)</f>
        <v>Smartphone</v>
      </c>
      <c r="L179" s="5">
        <f>_xlfn.XLOOKUP(A179,A178:A777,[1]Sheet3!P262:P861)</f>
        <v>3</v>
      </c>
      <c r="M179" s="7">
        <f>_xlfn.XLOOKUP(A179,A178:A777,[1]Sheet3!Q262:Q861)</f>
        <v>33090.17</v>
      </c>
      <c r="N179" s="9">
        <f>_xlfn.XLOOKUP(A179,A178:A777,[1]Sheet3!S262:S861)</f>
        <v>0.22</v>
      </c>
      <c r="O179" s="7">
        <f>_xlfn.XLOOKUP(A179,A178:A777,[1]Sheet3!T262:T861)</f>
        <v>110240.96000000001</v>
      </c>
      <c r="P179" s="7">
        <f>_xlfn.XLOOKUP(A179,A178:A777,[1]Sheet3!U262:U861)</f>
        <v>11080.86</v>
      </c>
      <c r="Q179" s="11">
        <f>_xlfn.XLOOKUP(A179,A178:A777,[1]Sheet3!V262:V861)</f>
        <v>0.10051490843330828</v>
      </c>
      <c r="R179" s="7">
        <f>_xlfn.XLOOKUP(A179,A178:A777,[1]Sheet3!W262:W861)</f>
        <v>57.35</v>
      </c>
      <c r="S179" t="str">
        <f>_xlfn.XLOOKUP(A179,A178:A777,[1]Sheet3!X262:X861)</f>
        <v>EMI</v>
      </c>
      <c r="T179" s="5">
        <f>_xlfn.XLOOKUP(A179,A178:A777,[1]Sheet3!Z262:Z861)</f>
        <v>5</v>
      </c>
      <c r="U179" t="b">
        <f>_xlfn.XLOOKUP(A179,A178:A777,[1]Sheet3!AA262:AA861)</f>
        <v>1</v>
      </c>
      <c r="V179" t="str">
        <f>_xlfn.XLOOKUP(A179,A178:A777,[1]Sheet3!AC262:AC861)</f>
        <v>Returned</v>
      </c>
      <c r="W179" s="5">
        <f>_xlfn.XLOOKUP(A179,A178:A777,[1]Sheet3!AE262:AE861)</f>
        <v>5</v>
      </c>
    </row>
    <row r="180" spans="1:23" x14ac:dyDescent="0.35">
      <c r="A180" t="s">
        <v>21</v>
      </c>
      <c r="B180" s="1">
        <f>_xlfn.XLOOKUP(A180,A179:A778,[1]Sheet3!C578:C1177)</f>
        <v>44393</v>
      </c>
      <c r="C180" t="str">
        <f>_xlfn.XLOOKUP(A180,A179:A778,[1]Sheet3!D578:D1177)</f>
        <v>CUST10958</v>
      </c>
      <c r="D180" t="str">
        <f>_xlfn.XLOOKUP(A180,A179:A778,[1]Sheet3!E578:E1177)</f>
        <v>Rahul Nair</v>
      </c>
      <c r="E180" s="5">
        <f>_xlfn.XLOOKUP(A180,A179:A778,[1]Sheet3!G578:G1177)</f>
        <v>52</v>
      </c>
      <c r="F180" t="str">
        <f>_xlfn.XLOOKUP('Retail Sales'!A579,'Retail Sales'!A578:A1177,[1]Sheet3!H578:H1177)</f>
        <v>Senior</v>
      </c>
      <c r="G180" t="str">
        <f>_xlfn.XLOOKUP(A180,A179:A778,[1]Sheet3!J578:J1177)</f>
        <v>Male</v>
      </c>
      <c r="H180" t="str">
        <f>_xlfn.XLOOKUP(A180,A179:A778,[1]Sheet3!K578:K1177)</f>
        <v>North</v>
      </c>
      <c r="I180" t="str">
        <f>_xlfn.XLOOKUP(A180,A179:A778,[1]Sheet3!L578:L1177)</f>
        <v>Chandigarh</v>
      </c>
      <c r="J180" t="str">
        <f>_xlfn.XLOOKUP(A180,A179:A778,[1]Sheet3!M578:M1177)</f>
        <v>Sports</v>
      </c>
      <c r="K180" t="str">
        <f>_xlfn.XLOOKUP('Retail Sales'!A579,'Retail Sales'!A578:A1177,[1]Sheet3!N578:N1177)</f>
        <v>Tennis Racket</v>
      </c>
      <c r="L180" s="5">
        <f>_xlfn.XLOOKUP(A180,A179:A778,[1]Sheet3!P578:P1177)</f>
        <v>9</v>
      </c>
      <c r="M180" s="7">
        <f>_xlfn.XLOOKUP(A180,A179:A778,[1]Sheet3!Q578:Q1177)</f>
        <v>10077.49</v>
      </c>
      <c r="N180" s="9">
        <f>_xlfn.XLOOKUP(A180,A179:A778,[1]Sheet3!S578:S1177)</f>
        <v>0.34</v>
      </c>
      <c r="O180" s="7">
        <f>_xlfn.XLOOKUP(A180,A179:A778,[1]Sheet3!T578:T1177)</f>
        <v>84123.31</v>
      </c>
      <c r="P180" s="7">
        <f>_xlfn.XLOOKUP(A180,A179:A778,[1]Sheet3!U578:U1177)</f>
        <v>16599.27</v>
      </c>
      <c r="Q180" s="11">
        <f>_xlfn.XLOOKUP(A180,A179:A778,[1]Sheet3!V578:V1177)</f>
        <v>0.19732069506061994</v>
      </c>
      <c r="R180" s="7">
        <f>_xlfn.XLOOKUP(A180,A179:A778,[1]Sheet3!W578:W1177)</f>
        <v>71.95</v>
      </c>
      <c r="S180" t="str">
        <f>_xlfn.XLOOKUP(A180,A179:A778,[1]Sheet3!X578:X1177)</f>
        <v>Cash on Delivery</v>
      </c>
      <c r="T180" s="5">
        <f>_xlfn.XLOOKUP(A180,A179:A778,[1]Sheet3!Z578:Z1177)</f>
        <v>3</v>
      </c>
      <c r="U180" t="b">
        <f>_xlfn.XLOOKUP(A180,A179:A778,[1]Sheet3!AA578:AA1177)</f>
        <v>0</v>
      </c>
      <c r="V180" t="str">
        <f>_xlfn.XLOOKUP(A180,A179:A778,[1]Sheet3!AC578:AC1177)</f>
        <v>Delivered</v>
      </c>
      <c r="W180" s="5">
        <f>_xlfn.XLOOKUP(A180,A179:A778,[1]Sheet3!AE578:AE1177)</f>
        <v>2</v>
      </c>
    </row>
    <row r="181" spans="1:23" x14ac:dyDescent="0.35">
      <c r="A181" t="s">
        <v>537</v>
      </c>
      <c r="B181" s="1">
        <f>_xlfn.XLOOKUP(A181,A180:A779,[1]Sheet3!C62:C661)</f>
        <v>44405</v>
      </c>
      <c r="C181" t="str">
        <f>_xlfn.XLOOKUP(A181,A180:A779,[1]Sheet3!D62:D661)</f>
        <v>CUST00699</v>
      </c>
      <c r="D181" t="str">
        <f>_xlfn.XLOOKUP(A181,A180:A779,[1]Sheet3!E62:E661)</f>
        <v>Shreya Nair</v>
      </c>
      <c r="E181" s="5">
        <f>_xlfn.XLOOKUP(A181,A180:A779,[1]Sheet3!G62:G661)</f>
        <v>51</v>
      </c>
      <c r="F181" t="str">
        <f>_xlfn.XLOOKUP('Retail Sales'!A63,'Retail Sales'!A62:A661,[1]Sheet3!H62:H661)</f>
        <v>Senior</v>
      </c>
      <c r="G181" t="str">
        <f>_xlfn.XLOOKUP(A181,A180:A779,[1]Sheet3!J62:J661)</f>
        <v>Female</v>
      </c>
      <c r="H181" t="str">
        <f>_xlfn.XLOOKUP(A181,A180:A779,[1]Sheet3!K62:K661)</f>
        <v>West</v>
      </c>
      <c r="I181" t="str">
        <f>_xlfn.XLOOKUP(A181,A180:A779,[1]Sheet3!L62:L661)</f>
        <v>Pune</v>
      </c>
      <c r="J181" t="str">
        <f>_xlfn.XLOOKUP(A181,A180:A779,[1]Sheet3!M62:M661)</f>
        <v>Books</v>
      </c>
      <c r="K181" t="str">
        <f>_xlfn.XLOOKUP('Retail Sales'!A63,'Retail Sales'!A62:A661,[1]Sheet3!N62:N661)</f>
        <v>Textbook</v>
      </c>
      <c r="L181" s="5">
        <f>_xlfn.XLOOKUP(A181,A180:A779,[1]Sheet3!P62:P661)</f>
        <v>7.0954861111111107</v>
      </c>
      <c r="M181" s="7">
        <f>_xlfn.XLOOKUP(A181,A180:A779,[1]Sheet3!Q62:Q661)</f>
        <v>1490.57</v>
      </c>
      <c r="N181" s="9">
        <f>_xlfn.XLOOKUP(A181,A180:A779,[1]Sheet3!S62:S661)</f>
        <v>0.13</v>
      </c>
      <c r="O181" s="7">
        <f>_xlfn.XLOOKUP(A181,A180:A779,[1]Sheet3!T62:T661)</f>
        <v>1761.29</v>
      </c>
      <c r="P181" s="7">
        <f>_xlfn.XLOOKUP(A181,A180:A779,[1]Sheet3!U62:U661)</f>
        <v>922.64</v>
      </c>
      <c r="Q181" s="11">
        <f>_xlfn.XLOOKUP(A181,A180:A779,[1]Sheet3!V62:V661)</f>
        <v>0.52384331938522333</v>
      </c>
      <c r="R181" s="7">
        <f>_xlfn.XLOOKUP(A181,A180:A779,[1]Sheet3!W62:W661)</f>
        <v>65.569999999999993</v>
      </c>
      <c r="S181" t="str">
        <f>_xlfn.XLOOKUP(A181,A180:A779,[1]Sheet3!X62:X661)</f>
        <v>EMI</v>
      </c>
      <c r="T181" s="5">
        <f>_xlfn.XLOOKUP(A181,A180:A779,[1]Sheet3!Z62:Z661)</f>
        <v>1</v>
      </c>
      <c r="U181" t="b">
        <f>_xlfn.XLOOKUP(A181,A180:A779,[1]Sheet3!AA62:AA661)</f>
        <v>0</v>
      </c>
      <c r="V181" t="str">
        <f>_xlfn.XLOOKUP(A181,A180:A779,[1]Sheet3!AC62:AC661)</f>
        <v>Delivered</v>
      </c>
      <c r="W181" s="5">
        <f>_xlfn.XLOOKUP(A181,A180:A779,[1]Sheet3!AE62:AE661)</f>
        <v>7</v>
      </c>
    </row>
    <row r="182" spans="1:23" x14ac:dyDescent="0.35">
      <c r="A182" t="s">
        <v>570</v>
      </c>
      <c r="B182" s="1">
        <f>_xlfn.XLOOKUP(A182,A181:A780,[1]Sheet3!C29:C628)</f>
        <v>44405</v>
      </c>
      <c r="C182" t="str">
        <f>_xlfn.XLOOKUP(A182,A181:A780,[1]Sheet3!D29:D628)</f>
        <v>CUST94413</v>
      </c>
      <c r="D182" t="str">
        <f>_xlfn.XLOOKUP(A182,A181:A780,[1]Sheet3!E29:E628)</f>
        <v>Rahul Gupta</v>
      </c>
      <c r="E182" s="5">
        <f>_xlfn.XLOOKUP(A182,A181:A780,[1]Sheet3!G29:G628)</f>
        <v>35</v>
      </c>
      <c r="F182" t="str">
        <f>_xlfn.XLOOKUP('Retail Sales'!A30,'Retail Sales'!A29:A628,[1]Sheet3!H29:H628)</f>
        <v>Young Adult</v>
      </c>
      <c r="G182" t="str">
        <f>_xlfn.XLOOKUP(A182,A181:A780,[1]Sheet3!J29:J628)</f>
        <v>Male</v>
      </c>
      <c r="H182" t="str">
        <f>_xlfn.XLOOKUP(A182,A181:A780,[1]Sheet3!K29:K628)</f>
        <v>Central</v>
      </c>
      <c r="I182" t="str">
        <f>_xlfn.XLOOKUP(A182,A181:A780,[1]Sheet3!L29:L628)</f>
        <v>Indore</v>
      </c>
      <c r="J182" t="str">
        <f>_xlfn.XLOOKUP(A182,A181:A780,[1]Sheet3!M29:M628)</f>
        <v>Electronics</v>
      </c>
      <c r="K182" t="str">
        <f>_xlfn.XLOOKUP('Retail Sales'!A30,'Retail Sales'!A29:A628,[1]Sheet3!N29:N628)</f>
        <v>Laptop</v>
      </c>
      <c r="L182" s="5">
        <f>_xlfn.XLOOKUP(A182,A181:A780,[1]Sheet3!P29:P628)</f>
        <v>9</v>
      </c>
      <c r="M182" s="7">
        <f>_xlfn.XLOOKUP(A182,A181:A780,[1]Sheet3!Q29:Q628)</f>
        <v>63147.82</v>
      </c>
      <c r="N182" s="9">
        <f>_xlfn.XLOOKUP(A182,A181:A780,[1]Sheet3!S29:S628)</f>
        <v>0.14000000000000001</v>
      </c>
      <c r="O182" s="7">
        <f>_xlfn.XLOOKUP(A182,A181:A780,[1]Sheet3!T29:T628)</f>
        <v>671607.78</v>
      </c>
      <c r="P182" s="7">
        <f>_xlfn.XLOOKUP(A182,A181:A780,[1]Sheet3!U29:U628)</f>
        <v>86070.79</v>
      </c>
      <c r="Q182" s="11">
        <f>_xlfn.XLOOKUP(A182,A181:A780,[1]Sheet3!V29:V628)</f>
        <v>0.12815633255469433</v>
      </c>
      <c r="R182" s="7">
        <f>_xlfn.XLOOKUP(A182,A181:A780,[1]Sheet3!W29:W628)</f>
        <v>60.5</v>
      </c>
      <c r="S182" t="str">
        <f>_xlfn.XLOOKUP(A182,A181:A780,[1]Sheet3!X29:X628)</f>
        <v>Cash on Delivery</v>
      </c>
      <c r="T182" s="5">
        <f>_xlfn.XLOOKUP(A182,A181:A780,[1]Sheet3!Z29:Z628)</f>
        <v>4</v>
      </c>
      <c r="U182" t="b">
        <f>_xlfn.XLOOKUP(A182,A181:A780,[1]Sheet3!AA29:AA628)</f>
        <v>1</v>
      </c>
      <c r="V182" t="str">
        <f>_xlfn.XLOOKUP(A182,A181:A780,[1]Sheet3!AC29:AC628)</f>
        <v>Returned</v>
      </c>
      <c r="W182" s="5">
        <f>_xlfn.XLOOKUP(A182,A181:A780,[1]Sheet3!AE29:AE628)</f>
        <v>3</v>
      </c>
    </row>
    <row r="183" spans="1:23" x14ac:dyDescent="0.35">
      <c r="A183" t="s">
        <v>523</v>
      </c>
      <c r="B183" s="1">
        <f>_xlfn.XLOOKUP(A183,A182:A781,[1]Sheet3!C76:C675)</f>
        <v>44408</v>
      </c>
      <c r="C183" t="str">
        <f>_xlfn.XLOOKUP(A183,A182:A781,[1]Sheet3!D76:D675)</f>
        <v>CUST65126</v>
      </c>
      <c r="D183" t="str">
        <f>_xlfn.XLOOKUP(A183,A182:A781,[1]Sheet3!E76:E675)</f>
        <v>Arjun Mishra</v>
      </c>
      <c r="E183" s="5">
        <f>_xlfn.XLOOKUP(A183,A182:A781,[1]Sheet3!G76:G675)</f>
        <v>48</v>
      </c>
      <c r="F183" t="str">
        <f>_xlfn.XLOOKUP('Retail Sales'!A77,'Retail Sales'!A76:A675,[1]Sheet3!H76:H675)</f>
        <v>Adult</v>
      </c>
      <c r="G183" t="str">
        <f>_xlfn.XLOOKUP(A183,A182:A781,[1]Sheet3!J76:J675)</f>
        <v>Other</v>
      </c>
      <c r="H183" t="str">
        <f>_xlfn.XLOOKUP(A183,A182:A781,[1]Sheet3!K76:K675)</f>
        <v>East</v>
      </c>
      <c r="I183" t="str">
        <f>_xlfn.XLOOKUP(A183,A182:A781,[1]Sheet3!L76:L675)</f>
        <v>Bhubaneswar</v>
      </c>
      <c r="J183" t="str">
        <f>_xlfn.XLOOKUP(A183,A182:A781,[1]Sheet3!M76:M675)</f>
        <v>Clothing</v>
      </c>
      <c r="K183" t="str">
        <f>_xlfn.XLOOKUP('Retail Sales'!A77,'Retail Sales'!A76:A675,[1]Sheet3!N76:N675)</f>
        <v>Kurta</v>
      </c>
      <c r="L183" s="5">
        <f>_xlfn.XLOOKUP(A183,A182:A781,[1]Sheet3!P76:P675)</f>
        <v>7.0954861111111107</v>
      </c>
      <c r="M183" s="7">
        <f>_xlfn.XLOOKUP(A183,A182:A781,[1]Sheet3!Q76:Q675)</f>
        <v>3288.5</v>
      </c>
      <c r="N183" s="9">
        <f>_xlfn.XLOOKUP(A183,A182:A781,[1]Sheet3!S76:S675)</f>
        <v>0.01</v>
      </c>
      <c r="O183" s="7">
        <f>_xlfn.XLOOKUP(A183,A182:A781,[1]Sheet3!T76:T675)</f>
        <v>4673.0200000000004</v>
      </c>
      <c r="P183" s="7">
        <f>_xlfn.XLOOKUP(A183,A182:A781,[1]Sheet3!U76:U675)</f>
        <v>1513.25</v>
      </c>
      <c r="Q183" s="11">
        <f>_xlfn.XLOOKUP(A183,A182:A781,[1]Sheet3!V76:V675)</f>
        <v>0.32382698982670732</v>
      </c>
      <c r="R183" s="7">
        <f>_xlfn.XLOOKUP(A183,A182:A781,[1]Sheet3!W76:W675)</f>
        <v>103.27</v>
      </c>
      <c r="S183" t="str">
        <f>_xlfn.XLOOKUP(A183,A182:A781,[1]Sheet3!X76:X675)</f>
        <v>Cash on Delivery</v>
      </c>
      <c r="T183" s="5">
        <f>_xlfn.XLOOKUP(A183,A182:A781,[1]Sheet3!Z76:Z675)</f>
        <v>3</v>
      </c>
      <c r="U183" t="b">
        <f>_xlfn.XLOOKUP(A183,A182:A781,[1]Sheet3!AA76:AA675)</f>
        <v>0</v>
      </c>
      <c r="V183" t="str">
        <f>_xlfn.XLOOKUP(A183,A182:A781,[1]Sheet3!AC76:AC675)</f>
        <v>Delivered</v>
      </c>
      <c r="W183" s="5">
        <f>_xlfn.XLOOKUP(A183,A182:A781,[1]Sheet3!AE76:AE675)</f>
        <v>4</v>
      </c>
    </row>
    <row r="184" spans="1:23" x14ac:dyDescent="0.35">
      <c r="A184" t="s">
        <v>220</v>
      </c>
      <c r="B184" s="1">
        <f>_xlfn.XLOOKUP(A184,A183:A782,[1]Sheet3!C379:C978)</f>
        <v>44411</v>
      </c>
      <c r="C184" t="str">
        <f>_xlfn.XLOOKUP(A184,A183:A782,[1]Sheet3!D379:D978)</f>
        <v>CUST60491</v>
      </c>
      <c r="D184" t="str">
        <f>_xlfn.XLOOKUP(A184,A183:A782,[1]Sheet3!E379:E978)</f>
        <v>Shreya Bhat</v>
      </c>
      <c r="E184" s="5">
        <f>_xlfn.XLOOKUP(A184,A183:A782,[1]Sheet3!G379:G978)</f>
        <v>24</v>
      </c>
      <c r="F184" t="str">
        <f>_xlfn.XLOOKUP('Retail Sales'!A380,'Retail Sales'!A379:A978,[1]Sheet3!H379:H978)</f>
        <v>Young Adult</v>
      </c>
      <c r="G184" t="str">
        <f>_xlfn.XLOOKUP(A184,A183:A782,[1]Sheet3!J379:J978)</f>
        <v>Other</v>
      </c>
      <c r="H184" t="str">
        <f>_xlfn.XLOOKUP(A184,A183:A782,[1]Sheet3!K379:K978)</f>
        <v>East</v>
      </c>
      <c r="I184" t="str">
        <f>_xlfn.XLOOKUP(A184,A183:A782,[1]Sheet3!L379:L978)</f>
        <v>Bhubaneswar</v>
      </c>
      <c r="J184" t="str">
        <f>_xlfn.XLOOKUP(A184,A183:A782,[1]Sheet3!M379:M978)</f>
        <v>Sports</v>
      </c>
      <c r="K184" t="str">
        <f>_xlfn.XLOOKUP('Retail Sales'!A380,'Retail Sales'!A379:A978,[1]Sheet3!N379:N978)</f>
        <v>Cycle</v>
      </c>
      <c r="L184" s="5">
        <f>_xlfn.XLOOKUP(A184,A183:A782,[1]Sheet3!P379:P978)</f>
        <v>2</v>
      </c>
      <c r="M184" s="7">
        <f>_xlfn.XLOOKUP(A184,A183:A782,[1]Sheet3!Q379:Q978)</f>
        <v>8857.58</v>
      </c>
      <c r="N184" s="9">
        <f>_xlfn.XLOOKUP(A184,A183:A782,[1]Sheet3!S379:S978)</f>
        <v>0.05</v>
      </c>
      <c r="O184" s="7">
        <f>_xlfn.XLOOKUP(A184,A183:A782,[1]Sheet3!T379:T978)</f>
        <v>21239.19</v>
      </c>
      <c r="P184" s="7">
        <f>_xlfn.XLOOKUP(A184,A183:A782,[1]Sheet3!U379:U978)</f>
        <v>3446.13</v>
      </c>
      <c r="Q184" s="11">
        <f>_xlfn.XLOOKUP(A184,A183:A782,[1]Sheet3!V379:V978)</f>
        <v>0.16225336276948416</v>
      </c>
      <c r="R184" s="7">
        <f>_xlfn.XLOOKUP(A184,A183:A782,[1]Sheet3!W379:W978)</f>
        <v>90.64</v>
      </c>
      <c r="S184" t="str">
        <f>_xlfn.XLOOKUP(A184,A183:A782,[1]Sheet3!X379:X978)</f>
        <v>Net Banking</v>
      </c>
      <c r="T184" s="5">
        <f>_xlfn.XLOOKUP(A184,A183:A782,[1]Sheet3!Z379:Z978)</f>
        <v>3</v>
      </c>
      <c r="U184" t="b">
        <f>_xlfn.XLOOKUP(A184,A183:A782,[1]Sheet3!AA379:AA978)</f>
        <v>1</v>
      </c>
      <c r="V184" t="str">
        <f>_xlfn.XLOOKUP(A184,A183:A782,[1]Sheet3!AC379:AC978)</f>
        <v>Returned</v>
      </c>
      <c r="W184" s="5">
        <f>_xlfn.XLOOKUP(A184,A183:A782,[1]Sheet3!AE379:AE978)</f>
        <v>8</v>
      </c>
    </row>
    <row r="185" spans="1:23" x14ac:dyDescent="0.35">
      <c r="A185" t="s">
        <v>381</v>
      </c>
      <c r="B185" s="1">
        <f>_xlfn.XLOOKUP(A185,A184:A783,[1]Sheet3!C218:C817)</f>
        <v>44414</v>
      </c>
      <c r="C185" t="str">
        <f>_xlfn.XLOOKUP(A185,A184:A783,[1]Sheet3!D218:D817)</f>
        <v>CUST14859</v>
      </c>
      <c r="D185" t="str">
        <f>_xlfn.XLOOKUP(A185,A184:A783,[1]Sheet3!E218:E817)</f>
        <v>Vikram Mehta</v>
      </c>
      <c r="E185" s="5">
        <f>_xlfn.XLOOKUP(A185,A184:A783,[1]Sheet3!G218:G817)</f>
        <v>21</v>
      </c>
      <c r="F185" t="str">
        <f>_xlfn.XLOOKUP('Retail Sales'!A219,'Retail Sales'!A218:A817,[1]Sheet3!H218:H817)</f>
        <v>Young Adult</v>
      </c>
      <c r="G185" t="str">
        <f>_xlfn.XLOOKUP(A185,A184:A783,[1]Sheet3!J218:J817)</f>
        <v>Female</v>
      </c>
      <c r="H185" t="str">
        <f>_xlfn.XLOOKUP(A185,A184:A783,[1]Sheet3!K218:K817)</f>
        <v>West</v>
      </c>
      <c r="I185" t="str">
        <f>_xlfn.XLOOKUP(A185,A184:A783,[1]Sheet3!L218:L817)</f>
        <v>Surat</v>
      </c>
      <c r="J185" t="str">
        <f>_xlfn.XLOOKUP(A185,A184:A783,[1]Sheet3!M218:M817)</f>
        <v>Beauty</v>
      </c>
      <c r="K185" t="str">
        <f>_xlfn.XLOOKUP('Retail Sales'!A219,'Retail Sales'!A218:A817,[1]Sheet3!N218:N817)</f>
        <v>Lipstick</v>
      </c>
      <c r="L185" s="5">
        <f>_xlfn.XLOOKUP(A185,A184:A783,[1]Sheet3!P218:P817)</f>
        <v>3</v>
      </c>
      <c r="M185" s="7">
        <f>_xlfn.XLOOKUP(A185,A184:A783,[1]Sheet3!Q218:Q817)</f>
        <v>1302.9000000000001</v>
      </c>
      <c r="N185" s="9">
        <f>_xlfn.XLOOKUP(A185,A184:A783,[1]Sheet3!S218:S817)</f>
        <v>0.23</v>
      </c>
      <c r="O185" s="7">
        <f>_xlfn.XLOOKUP(A185,A184:A783,[1]Sheet3!T218:T817)</f>
        <v>4258.29</v>
      </c>
      <c r="P185" s="7">
        <f>_xlfn.XLOOKUP(A185,A184:A783,[1]Sheet3!U218:U817)</f>
        <v>1724.59</v>
      </c>
      <c r="Q185" s="11">
        <f>_xlfn.XLOOKUP(A185,A184:A783,[1]Sheet3!V218:V817)</f>
        <v>0.40499590211094122</v>
      </c>
      <c r="R185" s="7">
        <f>_xlfn.XLOOKUP(A185,A184:A783,[1]Sheet3!W218:W817)</f>
        <v>82.26</v>
      </c>
      <c r="S185" t="str">
        <f>_xlfn.XLOOKUP(A185,A184:A783,[1]Sheet3!X218:X817)</f>
        <v>UPI</v>
      </c>
      <c r="T185" s="5">
        <f>_xlfn.XLOOKUP(A185,A184:A783,[1]Sheet3!Z218:Z817)</f>
        <v>2</v>
      </c>
      <c r="U185" t="b">
        <f>_xlfn.XLOOKUP(A185,A184:A783,[1]Sheet3!AA218:AA817)</f>
        <v>0</v>
      </c>
      <c r="V185" t="str">
        <f>_xlfn.XLOOKUP(A185,A184:A783,[1]Sheet3!AC218:AC817)</f>
        <v>Cancelled</v>
      </c>
      <c r="W185" s="5">
        <f>_xlfn.XLOOKUP(A185,A184:A783,[1]Sheet3!AE218:AE817)</f>
        <v>5</v>
      </c>
    </row>
    <row r="186" spans="1:23" x14ac:dyDescent="0.35">
      <c r="A186" t="s">
        <v>244</v>
      </c>
      <c r="B186" s="1">
        <f>_xlfn.XLOOKUP(A186,A185:A784,[1]Sheet3!C355:C954)</f>
        <v>44418</v>
      </c>
      <c r="C186" t="str">
        <f>_xlfn.XLOOKUP(A186,A185:A784,[1]Sheet3!D355:D954)</f>
        <v>CUST71873</v>
      </c>
      <c r="D186" t="str">
        <f>_xlfn.XLOOKUP(A186,A185:A784,[1]Sheet3!E355:E954)</f>
        <v>Aditya Singh</v>
      </c>
      <c r="E186" s="5">
        <f>_xlfn.XLOOKUP(A186,A185:A784,[1]Sheet3!G355:G954)</f>
        <v>35</v>
      </c>
      <c r="F186" t="str">
        <f>_xlfn.XLOOKUP('Retail Sales'!A356,'Retail Sales'!A355:A954,[1]Sheet3!H355:H954)</f>
        <v>Young Adult</v>
      </c>
      <c r="G186" t="str">
        <f>_xlfn.XLOOKUP(A186,A185:A784,[1]Sheet3!J355:J954)</f>
        <v>Female</v>
      </c>
      <c r="H186" t="str">
        <f>_xlfn.XLOOKUP(A186,A185:A784,[1]Sheet3!K355:K954)</f>
        <v>East</v>
      </c>
      <c r="I186" t="str">
        <f>_xlfn.XLOOKUP(A186,A185:A784,[1]Sheet3!L355:L954)</f>
        <v>Bhubaneswar</v>
      </c>
      <c r="J186" t="str">
        <f>_xlfn.XLOOKUP(A186,A185:A784,[1]Sheet3!M355:M954)</f>
        <v>Furniture</v>
      </c>
      <c r="K186" t="str">
        <f>_xlfn.XLOOKUP('Retail Sales'!A356,'Retail Sales'!A355:A954,[1]Sheet3!N355:N954)</f>
        <v>Sofa</v>
      </c>
      <c r="L186" s="5">
        <f>_xlfn.XLOOKUP(A186,A185:A784,[1]Sheet3!P355:P954)</f>
        <v>3</v>
      </c>
      <c r="M186" s="7">
        <f>_xlfn.XLOOKUP(A186,A185:A784,[1]Sheet3!Q355:Q954)</f>
        <v>23823.69</v>
      </c>
      <c r="N186" s="9">
        <f>_xlfn.XLOOKUP(A186,A185:A784,[1]Sheet3!S355:S954)</f>
        <v>0.11</v>
      </c>
      <c r="O186" s="7">
        <f>_xlfn.XLOOKUP(A186,A185:A784,[1]Sheet3!T355:T954)</f>
        <v>88956.71</v>
      </c>
      <c r="P186" s="7">
        <f>_xlfn.XLOOKUP(A186,A185:A784,[1]Sheet3!U355:U954)</f>
        <v>26211.15</v>
      </c>
      <c r="Q186" s="11">
        <f>_xlfn.XLOOKUP(A186,A185:A784,[1]Sheet3!V355:V954)</f>
        <v>0.29465062275796844</v>
      </c>
      <c r="R186" s="7">
        <f>_xlfn.XLOOKUP(A186,A185:A784,[1]Sheet3!W355:W954)</f>
        <v>95.16</v>
      </c>
      <c r="S186" t="str">
        <f>_xlfn.XLOOKUP(A186,A185:A784,[1]Sheet3!X355:X954)</f>
        <v>EMI</v>
      </c>
      <c r="T186" s="5">
        <f>_xlfn.XLOOKUP(A186,A185:A784,[1]Sheet3!Z355:Z954)</f>
        <v>5</v>
      </c>
      <c r="U186" t="b">
        <f>_xlfn.XLOOKUP(A186,A185:A784,[1]Sheet3!AA355:AA954)</f>
        <v>0</v>
      </c>
      <c r="V186" t="str">
        <f>_xlfn.XLOOKUP(A186,A185:A784,[1]Sheet3!AC355:AC954)</f>
        <v>Delivered</v>
      </c>
      <c r="W186" s="5">
        <f>_xlfn.XLOOKUP(A186,A185:A784,[1]Sheet3!AE355:AE954)</f>
        <v>6</v>
      </c>
    </row>
    <row r="187" spans="1:23" x14ac:dyDescent="0.35">
      <c r="A187" t="s">
        <v>467</v>
      </c>
      <c r="B187" s="1">
        <f>_xlfn.XLOOKUP(A187,A186:A785,[1]Sheet3!C132:C731)</f>
        <v>44419</v>
      </c>
      <c r="C187" t="str">
        <f>_xlfn.XLOOKUP(A187,A186:A785,[1]Sheet3!D132:D731)</f>
        <v>CUST84751</v>
      </c>
      <c r="D187" t="str">
        <f>_xlfn.XLOOKUP(A187,A186:A785,[1]Sheet3!E132:E731)</f>
        <v>Vikram Kumar</v>
      </c>
      <c r="E187" s="5">
        <f>_xlfn.XLOOKUP(A187,A186:A785,[1]Sheet3!G132:G731)</f>
        <v>14</v>
      </c>
      <c r="F187" t="str">
        <f>_xlfn.XLOOKUP('Retail Sales'!A133,'Retail Sales'!A132:A731,[1]Sheet3!H132:H731)</f>
        <v>Teen</v>
      </c>
      <c r="G187" t="str">
        <f>_xlfn.XLOOKUP(A187,A186:A785,[1]Sheet3!J132:J731)</f>
        <v>Male</v>
      </c>
      <c r="H187" t="str">
        <f>_xlfn.XLOOKUP(A187,A186:A785,[1]Sheet3!K132:K731)</f>
        <v>South</v>
      </c>
      <c r="I187" t="str">
        <f>_xlfn.XLOOKUP(A187,A186:A785,[1]Sheet3!L132:L731)</f>
        <v>Kochi</v>
      </c>
      <c r="J187" t="str">
        <f>_xlfn.XLOOKUP(A187,A186:A785,[1]Sheet3!M132:M731)</f>
        <v>Sports</v>
      </c>
      <c r="K187" t="str">
        <f>_xlfn.XLOOKUP('Retail Sales'!A133,'Retail Sales'!A132:A731,[1]Sheet3!N132:N731)</f>
        <v>Yoga Mat</v>
      </c>
      <c r="L187" s="5">
        <f>_xlfn.XLOOKUP(A187,A186:A785,[1]Sheet3!P132:P731)</f>
        <v>2</v>
      </c>
      <c r="M187" s="7">
        <f>_xlfn.XLOOKUP(A187,A186:A785,[1]Sheet3!Q132:Q731)</f>
        <v>11904.59</v>
      </c>
      <c r="N187" s="9">
        <f>_xlfn.XLOOKUP(A187,A186:A785,[1]Sheet3!S132:S731)</f>
        <v>0.18</v>
      </c>
      <c r="O187" s="7">
        <f>_xlfn.XLOOKUP(A187,A186:A785,[1]Sheet3!T132:T731)</f>
        <v>25494.32</v>
      </c>
      <c r="P187" s="7">
        <f>_xlfn.XLOOKUP(A187,A186:A785,[1]Sheet3!U132:U731)</f>
        <v>6649.59</v>
      </c>
      <c r="Q187" s="11">
        <f>_xlfn.XLOOKUP(A187,A186:A785,[1]Sheet3!V132:V731)</f>
        <v>0.26082633308125103</v>
      </c>
      <c r="R187" s="7">
        <f>_xlfn.XLOOKUP(A187,A186:A785,[1]Sheet3!W132:W731)</f>
        <v>66.45</v>
      </c>
      <c r="S187" t="str">
        <f>_xlfn.XLOOKUP(A187,A186:A785,[1]Sheet3!X132:X731)</f>
        <v>EMI</v>
      </c>
      <c r="T187" s="5">
        <f>_xlfn.XLOOKUP(A187,A186:A785,[1]Sheet3!Z132:Z731)</f>
        <v>5</v>
      </c>
      <c r="U187" t="b">
        <f>_xlfn.XLOOKUP(A187,A186:A785,[1]Sheet3!AA132:AA731)</f>
        <v>0</v>
      </c>
      <c r="V187" t="str">
        <f>_xlfn.XLOOKUP(A187,A186:A785,[1]Sheet3!AC132:AC731)</f>
        <v>Delivered</v>
      </c>
      <c r="W187" s="5">
        <f>_xlfn.XLOOKUP(A187,A186:A785,[1]Sheet3!AE132:AE731)</f>
        <v>2</v>
      </c>
    </row>
    <row r="188" spans="1:23" x14ac:dyDescent="0.35">
      <c r="A188" t="s">
        <v>307</v>
      </c>
      <c r="B188" s="1">
        <f>_xlfn.XLOOKUP(A188,A187:A786,[1]Sheet3!C292:C891)</f>
        <v>44420</v>
      </c>
      <c r="C188" t="str">
        <f>_xlfn.XLOOKUP(A188,A187:A786,[1]Sheet3!D292:D891)</f>
        <v>CUST22985</v>
      </c>
      <c r="D188" t="str">
        <f>_xlfn.XLOOKUP(A188,A187:A786,[1]Sheet3!E292:E891)</f>
        <v>Amit Pillai</v>
      </c>
      <c r="E188" s="5">
        <f>_xlfn.XLOOKUP(A188,A187:A786,[1]Sheet3!G292:G891)</f>
        <v>22</v>
      </c>
      <c r="F188" t="str">
        <f>_xlfn.XLOOKUP('Retail Sales'!A293,'Retail Sales'!A292:A891,[1]Sheet3!H292:H891)</f>
        <v>Young Adult</v>
      </c>
      <c r="G188" t="str">
        <f>_xlfn.XLOOKUP(A188,A187:A786,[1]Sheet3!J292:J891)</f>
        <v>Male</v>
      </c>
      <c r="H188" t="str">
        <f>_xlfn.XLOOKUP(A188,A187:A786,[1]Sheet3!K292:K891)</f>
        <v>North</v>
      </c>
      <c r="I188" t="str">
        <f>_xlfn.XLOOKUP(A188,A187:A786,[1]Sheet3!L292:L891)</f>
        <v>Delhi</v>
      </c>
      <c r="J188" t="str">
        <f>_xlfn.XLOOKUP(A188,A187:A786,[1]Sheet3!M292:M891)</f>
        <v>Beauty</v>
      </c>
      <c r="K188" t="str">
        <f>_xlfn.XLOOKUP('Retail Sales'!A293,'Retail Sales'!A292:A891,[1]Sheet3!N292:N891)</f>
        <v>Sunscreen</v>
      </c>
      <c r="L188" s="5">
        <f>_xlfn.XLOOKUP(A188,A187:A786,[1]Sheet3!P292:P891)</f>
        <v>2</v>
      </c>
      <c r="M188" s="7">
        <f>_xlfn.XLOOKUP(A188,A187:A786,[1]Sheet3!Q292:Q891)</f>
        <v>542.62</v>
      </c>
      <c r="N188" s="9">
        <f>_xlfn.XLOOKUP(A188,A187:A786,[1]Sheet3!S292:S891)</f>
        <v>0.14000000000000001</v>
      </c>
      <c r="O188" s="7">
        <f>_xlfn.XLOOKUP(A188,A187:A786,[1]Sheet3!T292:T891)</f>
        <v>971.77</v>
      </c>
      <c r="P188" s="7">
        <f>_xlfn.XLOOKUP(A188,A187:A786,[1]Sheet3!U292:U891)</f>
        <v>443.38</v>
      </c>
      <c r="Q188" s="11">
        <f>_xlfn.XLOOKUP(A188,A187:A786,[1]Sheet3!V292:V891)</f>
        <v>0.45626022618520845</v>
      </c>
      <c r="R188" s="7">
        <f>_xlfn.XLOOKUP(A188,A187:A786,[1]Sheet3!W292:W891)</f>
        <v>61.76</v>
      </c>
      <c r="S188" t="str">
        <f>_xlfn.XLOOKUP(A188,A187:A786,[1]Sheet3!X292:X891)</f>
        <v>UPI</v>
      </c>
      <c r="T188" s="5">
        <f>_xlfn.XLOOKUP(A188,A187:A786,[1]Sheet3!Z292:Z891)</f>
        <v>4</v>
      </c>
      <c r="U188" t="b">
        <f>_xlfn.XLOOKUP(A188,A187:A786,[1]Sheet3!AA292:AA891)</f>
        <v>0</v>
      </c>
      <c r="V188" t="str">
        <f>_xlfn.XLOOKUP(A188,A187:A786,[1]Sheet3!AC292:AC891)</f>
        <v>Delivered</v>
      </c>
      <c r="W188" s="5">
        <f>_xlfn.XLOOKUP(A188,A187:A786,[1]Sheet3!AE292:AE891)</f>
        <v>3</v>
      </c>
    </row>
    <row r="189" spans="1:23" x14ac:dyDescent="0.35">
      <c r="A189" t="s">
        <v>297</v>
      </c>
      <c r="B189" s="1">
        <f>_xlfn.XLOOKUP(A189,A188:A787,[1]Sheet3!C302:C901)</f>
        <v>44423</v>
      </c>
      <c r="C189" t="str">
        <f>_xlfn.XLOOKUP(A189,A188:A787,[1]Sheet3!D302:D901)</f>
        <v>CUST59067</v>
      </c>
      <c r="D189" t="str">
        <f>_xlfn.XLOOKUP(A189,A188:A787,[1]Sheet3!E302:E901)</f>
        <v>Nikhil Gupta</v>
      </c>
      <c r="E189" s="5">
        <f>_xlfn.XLOOKUP(A189,A188:A787,[1]Sheet3!G302:G901)</f>
        <v>49</v>
      </c>
      <c r="F189" t="str">
        <f>_xlfn.XLOOKUP('Retail Sales'!A303,'Retail Sales'!A302:A901,[1]Sheet3!H302:H901)</f>
        <v>Adult</v>
      </c>
      <c r="G189" t="str">
        <f>_xlfn.XLOOKUP(A189,A188:A787,[1]Sheet3!J302:J901)</f>
        <v>Male</v>
      </c>
      <c r="H189" t="str">
        <f>_xlfn.XLOOKUP(A189,A188:A787,[1]Sheet3!K302:K901)</f>
        <v>Central</v>
      </c>
      <c r="I189" t="str">
        <f>_xlfn.XLOOKUP(A189,A188:A787,[1]Sheet3!L302:L901)</f>
        <v>Raipur</v>
      </c>
      <c r="J189" t="str">
        <f>_xlfn.XLOOKUP(A189,A188:A787,[1]Sheet3!M302:M901)</f>
        <v>Beauty</v>
      </c>
      <c r="K189" t="str">
        <f>_xlfn.XLOOKUP('Retail Sales'!A303,'Retail Sales'!A302:A901,[1]Sheet3!N302:N901)</f>
        <v>Hair Oil</v>
      </c>
      <c r="L189" s="5">
        <f>_xlfn.XLOOKUP(A189,A188:A787,[1]Sheet3!P302:P901)</f>
        <v>4</v>
      </c>
      <c r="M189" s="7">
        <f>_xlfn.XLOOKUP(A189,A188:A787,[1]Sheet3!Q302:Q901)</f>
        <v>525.04999999999995</v>
      </c>
      <c r="N189" s="9">
        <f>_xlfn.XLOOKUP(A189,A188:A787,[1]Sheet3!S302:S901)</f>
        <v>0.02</v>
      </c>
      <c r="O189" s="7">
        <f>_xlfn.XLOOKUP(A189,A188:A787,[1]Sheet3!T302:T901)</f>
        <v>2333.9899999999998</v>
      </c>
      <c r="P189" s="7">
        <f>_xlfn.XLOOKUP(A189,A188:A787,[1]Sheet3!U302:U901)</f>
        <v>964.12</v>
      </c>
      <c r="Q189" s="11">
        <f>_xlfn.XLOOKUP(A189,A188:A787,[1]Sheet3!V302:V901)</f>
        <v>0.413078033753358</v>
      </c>
      <c r="R189" s="7">
        <f>_xlfn.XLOOKUP(A189,A188:A787,[1]Sheet3!W302:W901)</f>
        <v>71.8</v>
      </c>
      <c r="S189" t="str">
        <f>_xlfn.XLOOKUP(A189,A188:A787,[1]Sheet3!X302:X901)</f>
        <v>EMI</v>
      </c>
      <c r="T189" s="5">
        <f>_xlfn.XLOOKUP(A189,A188:A787,[1]Sheet3!Z302:Z901)</f>
        <v>5</v>
      </c>
      <c r="U189" t="b">
        <f>_xlfn.XLOOKUP(A189,A188:A787,[1]Sheet3!AA302:AA901)</f>
        <v>0</v>
      </c>
      <c r="V189" t="str">
        <f>_xlfn.XLOOKUP(A189,A188:A787,[1]Sheet3!AC302:AC901)</f>
        <v>Delivered</v>
      </c>
      <c r="W189" s="5">
        <f>_xlfn.XLOOKUP(A189,A188:A787,[1]Sheet3!AE302:AE901)</f>
        <v>1</v>
      </c>
    </row>
    <row r="190" spans="1:23" x14ac:dyDescent="0.35">
      <c r="A190" t="s">
        <v>532</v>
      </c>
      <c r="B190" s="1">
        <f>_xlfn.XLOOKUP(A190,A189:A788,[1]Sheet3!C67:C666)</f>
        <v>44432</v>
      </c>
      <c r="C190" t="str">
        <f>_xlfn.XLOOKUP(A190,A189:A788,[1]Sheet3!D67:D666)</f>
        <v>CUST94587</v>
      </c>
      <c r="D190" t="str">
        <f>_xlfn.XLOOKUP(A190,A189:A788,[1]Sheet3!E67:E666)</f>
        <v>Aditya Gupta</v>
      </c>
      <c r="E190" s="5">
        <f>_xlfn.XLOOKUP(A190,A189:A788,[1]Sheet3!G67:G666)</f>
        <v>32</v>
      </c>
      <c r="F190" t="str">
        <f>_xlfn.XLOOKUP('Retail Sales'!A68,'Retail Sales'!A67:A666,[1]Sheet3!H67:H666)</f>
        <v>Young Adult</v>
      </c>
      <c r="G190" t="str">
        <f>_xlfn.XLOOKUP(A190,A189:A788,[1]Sheet3!J67:J666)</f>
        <v>Male</v>
      </c>
      <c r="H190" t="str">
        <f>_xlfn.XLOOKUP(A190,A189:A788,[1]Sheet3!K67:K666)</f>
        <v>North</v>
      </c>
      <c r="I190" t="str">
        <f>_xlfn.XLOOKUP(A190,A189:A788,[1]Sheet3!L67:L666)</f>
        <v>Chandigarh</v>
      </c>
      <c r="J190" t="str">
        <f>_xlfn.XLOOKUP(A190,A189:A788,[1]Sheet3!M67:M666)</f>
        <v>Clothing</v>
      </c>
      <c r="K190" t="str">
        <f>_xlfn.XLOOKUP('Retail Sales'!A68,'Retail Sales'!A67:A666,[1]Sheet3!N67:N666)</f>
        <v>Jacket</v>
      </c>
      <c r="L190" s="5">
        <f>_xlfn.XLOOKUP(A190,A189:A788,[1]Sheet3!P67:P666)</f>
        <v>5</v>
      </c>
      <c r="M190" s="7">
        <f>_xlfn.XLOOKUP(A190,A189:A788,[1]Sheet3!Q67:Q666)</f>
        <v>1008.19</v>
      </c>
      <c r="N190" s="9">
        <f>_xlfn.XLOOKUP(A190,A189:A788,[1]Sheet3!S67:S666)</f>
        <v>0.27</v>
      </c>
      <c r="O190" s="7">
        <f>_xlfn.XLOOKUP(A190,A189:A788,[1]Sheet3!T67:T666)</f>
        <v>4205.92</v>
      </c>
      <c r="P190" s="7">
        <f>_xlfn.XLOOKUP(A190,A189:A788,[1]Sheet3!U67:U666)</f>
        <v>1377.84</v>
      </c>
      <c r="Q190" s="11">
        <f>_xlfn.XLOOKUP(A190,A189:A788,[1]Sheet3!V67:V666)</f>
        <v>0.32759538935595539</v>
      </c>
      <c r="R190" s="7">
        <f>_xlfn.XLOOKUP(A190,A189:A788,[1]Sheet3!W67:W666)</f>
        <v>53.22</v>
      </c>
      <c r="S190" t="str">
        <f>_xlfn.XLOOKUP(A190,A189:A788,[1]Sheet3!X67:X666)</f>
        <v>UPI</v>
      </c>
      <c r="T190" s="5">
        <f>_xlfn.XLOOKUP(A190,A189:A788,[1]Sheet3!Z67:Z666)</f>
        <v>1</v>
      </c>
      <c r="U190" t="b">
        <f>_xlfn.XLOOKUP(A190,A189:A788,[1]Sheet3!AA67:AA666)</f>
        <v>0</v>
      </c>
      <c r="V190" t="str">
        <f>_xlfn.XLOOKUP(A190,A189:A788,[1]Sheet3!AC67:AC666)</f>
        <v>Delivered</v>
      </c>
      <c r="W190" s="5">
        <f>_xlfn.XLOOKUP(A190,A189:A788,[1]Sheet3!AE67:AE666)</f>
        <v>4</v>
      </c>
    </row>
    <row r="191" spans="1:23" x14ac:dyDescent="0.35">
      <c r="A191" t="s">
        <v>596</v>
      </c>
      <c r="B191" s="1">
        <f>_xlfn.XLOOKUP(A191,A190:A789,[1]Sheet3!C3:C602)</f>
        <v>44437</v>
      </c>
      <c r="C191" t="str">
        <f>_xlfn.XLOOKUP(A191,A190:A789,[1]Sheet3!D3:D602)</f>
        <v>CUST49296</v>
      </c>
      <c r="D191" t="str">
        <f>_xlfn.XLOOKUP(A191,A190:A789,[1]Sheet3!E3:E602)</f>
        <v>Pooja Sharma</v>
      </c>
      <c r="E191" s="5">
        <f>_xlfn.XLOOKUP(A191,A190:A789,[1]Sheet3!G3:G602)</f>
        <v>41</v>
      </c>
      <c r="F191" t="str">
        <f>_xlfn.XLOOKUP('Retail Sales'!A4,'Retail Sales'!A3:A602,[1]Sheet3!H3:H602)</f>
        <v>Adult</v>
      </c>
      <c r="G191" t="str">
        <f>_xlfn.XLOOKUP(A191,A190:A789,[1]Sheet3!J3:J602)</f>
        <v>Other</v>
      </c>
      <c r="H191" t="str">
        <f>_xlfn.XLOOKUP(A191,A190:A789,[1]Sheet3!K3:K602)</f>
        <v>West</v>
      </c>
      <c r="I191" t="str">
        <f>_xlfn.XLOOKUP(A191,A190:A789,[1]Sheet3!L3:L602)</f>
        <v>Surat</v>
      </c>
      <c r="J191" t="str">
        <f>_xlfn.XLOOKUP(A191,A190:A789,[1]Sheet3!M3:M602)</f>
        <v>Furniture</v>
      </c>
      <c r="K191" t="str">
        <f>_xlfn.XLOOKUP('Retail Sales'!A4,'Retail Sales'!A3:A602,[1]Sheet3!N3:N602)</f>
        <v>Sofa</v>
      </c>
      <c r="L191" s="5">
        <f>_xlfn.XLOOKUP(A191,A190:A789,[1]Sheet3!P3:P602)</f>
        <v>4</v>
      </c>
      <c r="M191" s="7">
        <f>_xlfn.XLOOKUP(A191,A190:A789,[1]Sheet3!Q3:Q602)</f>
        <v>25941.32</v>
      </c>
      <c r="N191" s="9">
        <f>_xlfn.XLOOKUP(A191,A190:A789,[1]Sheet3!S3:S602)</f>
        <v>0.14000000000000001</v>
      </c>
      <c r="O191" s="7">
        <f>_xlfn.XLOOKUP(A191,A190:A789,[1]Sheet3!T3:T602)</f>
        <v>110156.97</v>
      </c>
      <c r="P191" s="7">
        <f>_xlfn.XLOOKUP(A191,A190:A789,[1]Sheet3!U3:U602)</f>
        <v>36956.51</v>
      </c>
      <c r="Q191" s="11">
        <f>_xlfn.XLOOKUP(A191,A190:A789,[1]Sheet3!V3:V602)</f>
        <v>0.33548952916914837</v>
      </c>
      <c r="R191" s="7">
        <f>_xlfn.XLOOKUP(A191,A190:A789,[1]Sheet3!W3:W602)</f>
        <v>67.650000000000006</v>
      </c>
      <c r="S191" t="str">
        <f>_xlfn.XLOOKUP(A191,A190:A789,[1]Sheet3!X3:X602)</f>
        <v>Debit Card</v>
      </c>
      <c r="T191" s="5">
        <f>_xlfn.XLOOKUP(A191,A190:A789,[1]Sheet3!Z3:Z602)</f>
        <v>4</v>
      </c>
      <c r="U191" t="b">
        <f>_xlfn.XLOOKUP(A191,A190:A789,[1]Sheet3!AA3:AA602)</f>
        <v>0</v>
      </c>
      <c r="V191" t="str">
        <f>_xlfn.XLOOKUP(A191,A190:A789,[1]Sheet3!AC3:AC602)</f>
        <v>Delivered</v>
      </c>
      <c r="W191" s="5">
        <f>_xlfn.XLOOKUP(A191,A190:A789,[1]Sheet3!AE3:AE602)</f>
        <v>5</v>
      </c>
    </row>
    <row r="192" spans="1:23" x14ac:dyDescent="0.35">
      <c r="A192" t="s">
        <v>506</v>
      </c>
      <c r="B192" s="1">
        <f>_xlfn.XLOOKUP(A192,A191:A790,[1]Sheet3!C93:C692)</f>
        <v>44440</v>
      </c>
      <c r="C192" t="str">
        <f>_xlfn.XLOOKUP(A192,A191:A790,[1]Sheet3!D93:D692)</f>
        <v>CUST45393</v>
      </c>
      <c r="D192" t="str">
        <f>_xlfn.XLOOKUP(A192,A191:A790,[1]Sheet3!E93:E692)</f>
        <v>Shreya Reddy</v>
      </c>
      <c r="E192" s="5">
        <f>_xlfn.XLOOKUP(A192,A191:A790,[1]Sheet3!G93:G692)</f>
        <v>42</v>
      </c>
      <c r="F192" t="str">
        <f>_xlfn.XLOOKUP('Retail Sales'!A94,'Retail Sales'!A93:A692,[1]Sheet3!H93:H692)</f>
        <v>Adult</v>
      </c>
      <c r="G192" t="str">
        <f>_xlfn.XLOOKUP(A192,A191:A790,[1]Sheet3!J93:J692)</f>
        <v>Male</v>
      </c>
      <c r="H192" t="str">
        <f>_xlfn.XLOOKUP(A192,A191:A790,[1]Sheet3!K93:K692)</f>
        <v>South</v>
      </c>
      <c r="I192" t="str">
        <f>_xlfn.XLOOKUP(A192,A191:A790,[1]Sheet3!L93:L692)</f>
        <v>Hyderabad</v>
      </c>
      <c r="J192" t="str">
        <f>_xlfn.XLOOKUP(A192,A191:A790,[1]Sheet3!M93:M692)</f>
        <v>Furniture</v>
      </c>
      <c r="K192" t="str">
        <f>_xlfn.XLOOKUP('Retail Sales'!A94,'Retail Sales'!A93:A692,[1]Sheet3!N93:N692)</f>
        <v>Desk</v>
      </c>
      <c r="L192" s="5">
        <f>_xlfn.XLOOKUP(A192,A191:A790,[1]Sheet3!P93:P692)</f>
        <v>10</v>
      </c>
      <c r="M192" s="7">
        <f>_xlfn.XLOOKUP(A192,A191:A790,[1]Sheet3!Q93:Q692)</f>
        <v>8753.1200000000008</v>
      </c>
      <c r="N192" s="9">
        <f>_xlfn.XLOOKUP(A192,A191:A790,[1]Sheet3!S93:S692)</f>
        <v>0.28000000000000003</v>
      </c>
      <c r="O192" s="7">
        <f>_xlfn.XLOOKUP(A192,A191:A790,[1]Sheet3!T93:T692)</f>
        <v>73335.009999999995</v>
      </c>
      <c r="P192" s="7">
        <f>_xlfn.XLOOKUP(A192,A191:A790,[1]Sheet3!U93:U692)</f>
        <v>17930.25</v>
      </c>
      <c r="Q192" s="11">
        <f>_xlfn.XLOOKUP(A192,A191:A790,[1]Sheet3!V93:V692)</f>
        <v>0.24449781898168421</v>
      </c>
      <c r="R192" s="7">
        <f>_xlfn.XLOOKUP(A192,A191:A790,[1]Sheet3!W93:W692)</f>
        <v>87.75</v>
      </c>
      <c r="S192" t="str">
        <f>_xlfn.XLOOKUP(A192,A191:A790,[1]Sheet3!X93:X692)</f>
        <v>EMI</v>
      </c>
      <c r="T192" s="5">
        <f>_xlfn.XLOOKUP(A192,A191:A790,[1]Sheet3!Z93:Z692)</f>
        <v>5</v>
      </c>
      <c r="U192" t="b">
        <f>_xlfn.XLOOKUP(A192,A191:A790,[1]Sheet3!AA93:AA692)</f>
        <v>0</v>
      </c>
      <c r="V192" t="str">
        <f>_xlfn.XLOOKUP(A192,A191:A790,[1]Sheet3!AC93:AC692)</f>
        <v>Delivered</v>
      </c>
      <c r="W192" s="5">
        <f>_xlfn.XLOOKUP(A192,A191:A790,[1]Sheet3!AE93:AE692)</f>
        <v>8</v>
      </c>
    </row>
    <row r="193" spans="1:23" x14ac:dyDescent="0.35">
      <c r="A193" t="s">
        <v>190</v>
      </c>
      <c r="B193" s="1">
        <f>_xlfn.XLOOKUP(A193,A192:A791,[1]Sheet3!C409:C1008)</f>
        <v>44444</v>
      </c>
      <c r="C193" t="str">
        <f>_xlfn.XLOOKUP(A193,A192:A791,[1]Sheet3!D409:D1008)</f>
        <v>CUST15260</v>
      </c>
      <c r="D193" t="str">
        <f>_xlfn.XLOOKUP(A193,A192:A791,[1]Sheet3!E409:E1008)</f>
        <v>Meera Patel</v>
      </c>
      <c r="E193" s="5">
        <f>_xlfn.XLOOKUP(A193,A192:A791,[1]Sheet3!G409:G1008)</f>
        <v>40</v>
      </c>
      <c r="F193" t="str">
        <f>_xlfn.XLOOKUP('Retail Sales'!A410,'Retail Sales'!A409:A1008,[1]Sheet3!H409:H1008)</f>
        <v>Adult</v>
      </c>
      <c r="G193" t="str">
        <f>_xlfn.XLOOKUP(A193,A192:A791,[1]Sheet3!J409:J1008)</f>
        <v>Female</v>
      </c>
      <c r="H193" t="str">
        <f>_xlfn.XLOOKUP(A193,A192:A791,[1]Sheet3!K409:K1008)</f>
        <v>East</v>
      </c>
      <c r="I193" t="str">
        <f>_xlfn.XLOOKUP(A193,A192:A791,[1]Sheet3!L409:L1008)</f>
        <v>Bhubaneswar</v>
      </c>
      <c r="J193" t="str">
        <f>_xlfn.XLOOKUP(A193,A192:A791,[1]Sheet3!M409:M1008)</f>
        <v>Electronics</v>
      </c>
      <c r="K193" t="str">
        <f>_xlfn.XLOOKUP('Retail Sales'!A410,'Retail Sales'!A409:A1008,[1]Sheet3!N409:N1008)</f>
        <v>Camera</v>
      </c>
      <c r="L193" s="5">
        <f>_xlfn.XLOOKUP(A193,A192:A791,[1]Sheet3!P409:P1008)</f>
        <v>10</v>
      </c>
      <c r="M193" s="7">
        <f>_xlfn.XLOOKUP(A193,A192:A791,[1]Sheet3!Q409:Q1008)</f>
        <v>55908.72</v>
      </c>
      <c r="N193" s="9">
        <f>_xlfn.XLOOKUP(A193,A192:A791,[1]Sheet3!S409:S1008)</f>
        <v>0.11</v>
      </c>
      <c r="O193" s="7">
        <f>_xlfn.XLOOKUP(A193,A192:A791,[1]Sheet3!T409:T1008)</f>
        <v>627898.81000000006</v>
      </c>
      <c r="P193" s="7">
        <f>_xlfn.XLOOKUP(A193,A192:A791,[1]Sheet3!U409:U1008)</f>
        <v>86690.85</v>
      </c>
      <c r="Q193" s="11">
        <f>_xlfn.XLOOKUP(A193,A192:A791,[1]Sheet3!V409:V1008)</f>
        <v>0.13806500126987023</v>
      </c>
      <c r="R193" s="7">
        <f>_xlfn.XLOOKUP(A193,A192:A791,[1]Sheet3!W409:W1008)</f>
        <v>75.650000000000006</v>
      </c>
      <c r="S193" t="str">
        <f>_xlfn.XLOOKUP(A193,A192:A791,[1]Sheet3!X409:X1008)</f>
        <v>Cash on Delivery</v>
      </c>
      <c r="T193" s="5">
        <f>_xlfn.XLOOKUP(A193,A192:A791,[1]Sheet3!Z409:Z1008)</f>
        <v>5</v>
      </c>
      <c r="U193" t="b">
        <f>_xlfn.XLOOKUP(A193,A192:A791,[1]Sheet3!AA409:AA1008)</f>
        <v>0</v>
      </c>
      <c r="V193" t="str">
        <f>_xlfn.XLOOKUP(A193,A192:A791,[1]Sheet3!AC409:AC1008)</f>
        <v>Shipped</v>
      </c>
      <c r="W193" s="5">
        <f>_xlfn.XLOOKUP(A193,A192:A791,[1]Sheet3!AE409:AE1008)</f>
        <v>4</v>
      </c>
    </row>
    <row r="194" spans="1:23" x14ac:dyDescent="0.35">
      <c r="A194" t="s">
        <v>94</v>
      </c>
      <c r="B194" s="1">
        <f>_xlfn.XLOOKUP(A194,A193:A792,[1]Sheet3!C505:C1104)</f>
        <v>44454</v>
      </c>
      <c r="C194" t="str">
        <f>_xlfn.XLOOKUP(A194,A193:A792,[1]Sheet3!D505:D1104)</f>
        <v>CUST67856</v>
      </c>
      <c r="D194" t="str">
        <f>_xlfn.XLOOKUP(A194,A193:A792,[1]Sheet3!E505:E1104)</f>
        <v>Ananya Shah</v>
      </c>
      <c r="E194" s="5">
        <f>_xlfn.XLOOKUP(A194,A193:A792,[1]Sheet3!G505:G1104)</f>
        <v>46</v>
      </c>
      <c r="F194" t="str">
        <f>_xlfn.XLOOKUP('Retail Sales'!A506,'Retail Sales'!A505:A1104,[1]Sheet3!H505:H1104)</f>
        <v>Adult</v>
      </c>
      <c r="G194" t="str">
        <f>_xlfn.XLOOKUP(A194,A193:A792,[1]Sheet3!J505:J1104)</f>
        <v>Other</v>
      </c>
      <c r="H194" t="str">
        <f>_xlfn.XLOOKUP(A194,A193:A792,[1]Sheet3!K505:K1104)</f>
        <v>East</v>
      </c>
      <c r="I194" t="str">
        <f>_xlfn.XLOOKUP(A194,A193:A792,[1]Sheet3!L505:L1104)</f>
        <v>Bhubaneswar</v>
      </c>
      <c r="J194" t="str">
        <f>_xlfn.XLOOKUP(A194,A193:A792,[1]Sheet3!M505:M1104)</f>
        <v>Books</v>
      </c>
      <c r="K194" t="str">
        <f>_xlfn.XLOOKUP('Retail Sales'!A506,'Retail Sales'!A505:A1104,[1]Sheet3!N505:N1104)</f>
        <v>Comic Book</v>
      </c>
      <c r="L194" s="5">
        <f>_xlfn.XLOOKUP(A194,A193:A792,[1]Sheet3!P505:P1104)</f>
        <v>1</v>
      </c>
      <c r="M194" s="7">
        <f>_xlfn.XLOOKUP(A194,A193:A792,[1]Sheet3!Q505:Q1104)</f>
        <v>1391.59</v>
      </c>
      <c r="N194" s="9">
        <f>_xlfn.XLOOKUP(A194,A193:A792,[1]Sheet3!S505:S1104)</f>
        <v>0.04</v>
      </c>
      <c r="O194" s="7">
        <f>_xlfn.XLOOKUP(A194,A193:A792,[1]Sheet3!T505:T1104)</f>
        <v>1424.19</v>
      </c>
      <c r="P194" s="7">
        <f>_xlfn.XLOOKUP(A194,A193:A792,[1]Sheet3!U505:U1104)</f>
        <v>496.68</v>
      </c>
      <c r="Q194" s="11">
        <f>_xlfn.XLOOKUP(A194,A193:A792,[1]Sheet3!V505:V1104)</f>
        <v>0.34874560276367617</v>
      </c>
      <c r="R194" s="7">
        <f>_xlfn.XLOOKUP(A194,A193:A792,[1]Sheet3!W505:W1104)</f>
        <v>84.05</v>
      </c>
      <c r="S194" t="str">
        <f>_xlfn.XLOOKUP(A194,A193:A792,[1]Sheet3!X505:X1104)</f>
        <v>Net Banking</v>
      </c>
      <c r="T194" s="5">
        <f>_xlfn.XLOOKUP(A194,A193:A792,[1]Sheet3!Z505:Z1104)</f>
        <v>4</v>
      </c>
      <c r="U194" t="b">
        <f>_xlfn.XLOOKUP(A194,A193:A792,[1]Sheet3!AA505:AA1104)</f>
        <v>0</v>
      </c>
      <c r="V194" t="str">
        <f>_xlfn.XLOOKUP(A194,A193:A792,[1]Sheet3!AC505:AC1104)</f>
        <v>Shipped</v>
      </c>
      <c r="W194" s="5">
        <f>_xlfn.XLOOKUP(A194,A193:A792,[1]Sheet3!AE505:AE1104)</f>
        <v>5</v>
      </c>
    </row>
    <row r="195" spans="1:23" x14ac:dyDescent="0.35">
      <c r="A195" t="s">
        <v>502</v>
      </c>
      <c r="B195" s="1">
        <f>_xlfn.XLOOKUP(A195,A194:A793,[1]Sheet3!C97:C696)</f>
        <v>44457</v>
      </c>
      <c r="C195" t="str">
        <f>_xlfn.XLOOKUP(A195,A194:A793,[1]Sheet3!D97:D696)</f>
        <v>CUST85642</v>
      </c>
      <c r="D195" t="str">
        <f>_xlfn.XLOOKUP(A195,A194:A793,[1]Sheet3!E97:E696)</f>
        <v>Priya Singh</v>
      </c>
      <c r="E195" s="5">
        <f>_xlfn.XLOOKUP(A195,A194:A793,[1]Sheet3!G97:G696)</f>
        <v>42</v>
      </c>
      <c r="F195" t="str">
        <f>_xlfn.XLOOKUP('Retail Sales'!A98,'Retail Sales'!A97:A696,[1]Sheet3!H97:H696)</f>
        <v>Adult</v>
      </c>
      <c r="G195" t="str">
        <f>_xlfn.XLOOKUP(A195,A194:A793,[1]Sheet3!J97:J696)</f>
        <v>Other</v>
      </c>
      <c r="H195" t="str">
        <f>_xlfn.XLOOKUP(A195,A194:A793,[1]Sheet3!K97:K696)</f>
        <v>East</v>
      </c>
      <c r="I195" t="str">
        <f>_xlfn.XLOOKUP(A195,A194:A793,[1]Sheet3!L97:L696)</f>
        <v>Kolkata</v>
      </c>
      <c r="J195" t="str">
        <f>_xlfn.XLOOKUP(A195,A194:A793,[1]Sheet3!M97:M696)</f>
        <v>Sports</v>
      </c>
      <c r="K195" t="str">
        <f>_xlfn.XLOOKUP('Retail Sales'!A98,'Retail Sales'!A97:A696,[1]Sheet3!N97:N696)</f>
        <v>Cricket Bat</v>
      </c>
      <c r="L195" s="5">
        <f>_xlfn.XLOOKUP(A195,A194:A793,[1]Sheet3!P97:P696)</f>
        <v>8</v>
      </c>
      <c r="M195" s="7">
        <f>_xlfn.XLOOKUP(A195,A194:A793,[1]Sheet3!Q97:Q696)</f>
        <v>12223.45</v>
      </c>
      <c r="N195" s="9">
        <f>_xlfn.XLOOKUP(A195,A194:A793,[1]Sheet3!S97:S696)</f>
        <v>0.4</v>
      </c>
      <c r="O195" s="7">
        <f>_xlfn.XLOOKUP(A195,A194:A793,[1]Sheet3!T97:T696)</f>
        <v>62483.59</v>
      </c>
      <c r="P195" s="7">
        <f>_xlfn.XLOOKUP(A195,A194:A793,[1]Sheet3!U97:U696)</f>
        <v>10563.05</v>
      </c>
      <c r="Q195" s="11">
        <f>_xlfn.XLOOKUP(A195,A194:A793,[1]Sheet3!V97:V696)</f>
        <v>0.16905318660467492</v>
      </c>
      <c r="R195" s="7">
        <f>_xlfn.XLOOKUP(A195,A194:A793,[1]Sheet3!W97:W696)</f>
        <v>68.510000000000005</v>
      </c>
      <c r="S195" t="str">
        <f>_xlfn.XLOOKUP(A195,A194:A793,[1]Sheet3!X97:X696)</f>
        <v>Net Banking</v>
      </c>
      <c r="T195" s="5">
        <f>_xlfn.XLOOKUP(A195,A194:A793,[1]Sheet3!Z97:Z696)</f>
        <v>4</v>
      </c>
      <c r="U195" t="b">
        <f>_xlfn.XLOOKUP(A195,A194:A793,[1]Sheet3!AA97:AA696)</f>
        <v>0</v>
      </c>
      <c r="V195" t="str">
        <f>_xlfn.XLOOKUP(A195,A194:A793,[1]Sheet3!AC97:AC696)</f>
        <v>Delivered</v>
      </c>
      <c r="W195" s="5">
        <f>_xlfn.XLOOKUP(A195,A194:A793,[1]Sheet3!AE97:AE696)</f>
        <v>7</v>
      </c>
    </row>
    <row r="196" spans="1:23" x14ac:dyDescent="0.35">
      <c r="A196" t="s">
        <v>325</v>
      </c>
      <c r="B196" s="1">
        <f>_xlfn.XLOOKUP(A196,A195:A794,[1]Sheet3!C274:C873)</f>
        <v>44459</v>
      </c>
      <c r="C196" t="str">
        <f>_xlfn.XLOOKUP(A196,A195:A794,[1]Sheet3!D274:D873)</f>
        <v>CUST53724</v>
      </c>
      <c r="D196" t="str">
        <f>_xlfn.XLOOKUP(A196,A195:A794,[1]Sheet3!E274:E873)</f>
        <v>Kavya Iyer</v>
      </c>
      <c r="E196" s="5">
        <f>_xlfn.XLOOKUP(A196,A195:A794,[1]Sheet3!G274:G873)</f>
        <v>45</v>
      </c>
      <c r="F196" t="str">
        <f>_xlfn.XLOOKUP('Retail Sales'!A275,'Retail Sales'!A274:A873,[1]Sheet3!H274:H873)</f>
        <v>Adult</v>
      </c>
      <c r="G196" t="str">
        <f>_xlfn.XLOOKUP(A196,A195:A794,[1]Sheet3!J274:J873)</f>
        <v>Other</v>
      </c>
      <c r="H196" t="str">
        <f>_xlfn.XLOOKUP(A196,A195:A794,[1]Sheet3!K274:K873)</f>
        <v>East</v>
      </c>
      <c r="I196" t="str">
        <f>_xlfn.XLOOKUP(A196,A195:A794,[1]Sheet3!L274:L873)</f>
        <v>Bhubaneswar</v>
      </c>
      <c r="J196" t="str">
        <f>_xlfn.XLOOKUP(A196,A195:A794,[1]Sheet3!M274:M873)</f>
        <v>Groceries</v>
      </c>
      <c r="K196" t="str">
        <f>_xlfn.XLOOKUP('Retail Sales'!A275,'Retail Sales'!A274:A873,[1]Sheet3!N274:N873)</f>
        <v>Dal (1kg)</v>
      </c>
      <c r="L196" s="5">
        <f>_xlfn.XLOOKUP(A196,A195:A794,[1]Sheet3!P274:P873)</f>
        <v>8</v>
      </c>
      <c r="M196" s="7">
        <f>_xlfn.XLOOKUP(A196,A195:A794,[1]Sheet3!Q274:Q873)</f>
        <v>126.77</v>
      </c>
      <c r="N196" s="9">
        <f>_xlfn.XLOOKUP(A196,A195:A794,[1]Sheet3!S274:S873)</f>
        <v>0.15</v>
      </c>
      <c r="O196" s="7">
        <f>_xlfn.XLOOKUP(A196,A195:A794,[1]Sheet3!T274:T873)</f>
        <v>930.33</v>
      </c>
      <c r="P196" s="7">
        <f>_xlfn.XLOOKUP(A196,A195:A794,[1]Sheet3!U274:U873)</f>
        <v>66.45</v>
      </c>
      <c r="Q196" s="11">
        <f>_xlfn.XLOOKUP(A196,A195:A794,[1]Sheet3!V274:V873)</f>
        <v>7.1426268098416693E-2</v>
      </c>
      <c r="R196" s="7">
        <f>_xlfn.XLOOKUP(A196,A195:A794,[1]Sheet3!W274:W873)</f>
        <v>64.290000000000006</v>
      </c>
      <c r="S196" t="str">
        <f>_xlfn.XLOOKUP(A196,A195:A794,[1]Sheet3!X274:X873)</f>
        <v>Net Banking</v>
      </c>
      <c r="T196" s="5">
        <f>_xlfn.XLOOKUP(A196,A195:A794,[1]Sheet3!Z274:Z873)</f>
        <v>4</v>
      </c>
      <c r="U196" t="b">
        <f>_xlfn.XLOOKUP(A196,A195:A794,[1]Sheet3!AA274:AA873)</f>
        <v>0</v>
      </c>
      <c r="V196" t="str">
        <f>_xlfn.XLOOKUP(A196,A195:A794,[1]Sheet3!AC274:AC873)</f>
        <v>Shipped</v>
      </c>
      <c r="W196" s="5">
        <f>_xlfn.XLOOKUP(A196,A195:A794,[1]Sheet3!AE274:AE873)</f>
        <v>2</v>
      </c>
    </row>
    <row r="197" spans="1:23" x14ac:dyDescent="0.35">
      <c r="A197" t="s">
        <v>120</v>
      </c>
      <c r="B197" s="1">
        <f>_xlfn.XLOOKUP(A197,A196:A795,[1]Sheet3!C479:C1078)</f>
        <v>44464</v>
      </c>
      <c r="C197" t="str">
        <f>_xlfn.XLOOKUP(A197,A196:A795,[1]Sheet3!D479:D1078)</f>
        <v>CUST02694</v>
      </c>
      <c r="D197" t="str">
        <f>_xlfn.XLOOKUP(A197,A196:A795,[1]Sheet3!E479:E1078)</f>
        <v>Priya Chatterjee</v>
      </c>
      <c r="E197" s="5">
        <f>_xlfn.XLOOKUP(A197,A196:A795,[1]Sheet3!G479:G1078)</f>
        <v>19</v>
      </c>
      <c r="F197" t="str">
        <f>_xlfn.XLOOKUP('Retail Sales'!A480,'Retail Sales'!A479:A1078,[1]Sheet3!H479:H1078)</f>
        <v>Teen</v>
      </c>
      <c r="G197" t="str">
        <f>_xlfn.XLOOKUP(A197,A196:A795,[1]Sheet3!J479:J1078)</f>
        <v>Male</v>
      </c>
      <c r="H197" t="str">
        <f>_xlfn.XLOOKUP(A197,A196:A795,[1]Sheet3!K479:K1078)</f>
        <v>Central</v>
      </c>
      <c r="I197" t="str">
        <f>_xlfn.XLOOKUP(A197,A196:A795,[1]Sheet3!L479:L1078)</f>
        <v>Raipur</v>
      </c>
      <c r="J197" t="str">
        <f>_xlfn.XLOOKUP(A197,A196:A795,[1]Sheet3!M479:M1078)</f>
        <v>Beauty</v>
      </c>
      <c r="K197" t="str">
        <f>_xlfn.XLOOKUP('Retail Sales'!A480,'Retail Sales'!A479:A1078,[1]Sheet3!N479:N1078)</f>
        <v>Hair Oil</v>
      </c>
      <c r="L197" s="5">
        <f>_xlfn.XLOOKUP(A197,A196:A795,[1]Sheet3!P479:P1078)</f>
        <v>7</v>
      </c>
      <c r="M197" s="7">
        <f>_xlfn.XLOOKUP(A197,A196:A795,[1]Sheet3!Q479:Q1078)</f>
        <v>210.31</v>
      </c>
      <c r="N197" s="9">
        <f>_xlfn.XLOOKUP(A197,A196:A795,[1]Sheet3!S479:S1078)</f>
        <v>0.23</v>
      </c>
      <c r="O197" s="7">
        <f>_xlfn.XLOOKUP(A197,A196:A795,[1]Sheet3!T479:T1078)</f>
        <v>1209</v>
      </c>
      <c r="P197" s="7">
        <f>_xlfn.XLOOKUP(A197,A196:A795,[1]Sheet3!U479:U1078)</f>
        <v>600.88</v>
      </c>
      <c r="Q197" s="11">
        <f>_xlfn.XLOOKUP(A197,A196:A795,[1]Sheet3!V479:V1078)</f>
        <v>0.49700578990901573</v>
      </c>
      <c r="R197" s="7">
        <f>_xlfn.XLOOKUP(A197,A196:A795,[1]Sheet3!W479:W1078)</f>
        <v>67.459999999999994</v>
      </c>
      <c r="S197" t="str">
        <f>_xlfn.XLOOKUP(A197,A196:A795,[1]Sheet3!X479:X1078)</f>
        <v>UPI</v>
      </c>
      <c r="T197" s="5">
        <f>_xlfn.XLOOKUP(A197,A196:A795,[1]Sheet3!Z479:Z1078)</f>
        <v>5</v>
      </c>
      <c r="U197" t="b">
        <f>_xlfn.XLOOKUP(A197,A196:A795,[1]Sheet3!AA479:AA1078)</f>
        <v>1</v>
      </c>
      <c r="V197" t="str">
        <f>_xlfn.XLOOKUP(A197,A196:A795,[1]Sheet3!AC479:AC1078)</f>
        <v>Returned</v>
      </c>
      <c r="W197" s="5">
        <f>_xlfn.XLOOKUP(A197,A196:A795,[1]Sheet3!AE479:AE1078)</f>
        <v>6</v>
      </c>
    </row>
    <row r="198" spans="1:23" x14ac:dyDescent="0.35">
      <c r="A198" t="s">
        <v>209</v>
      </c>
      <c r="B198" s="1">
        <f>_xlfn.XLOOKUP(A198,A197:A796,[1]Sheet3!C390:C989)</f>
        <v>44464</v>
      </c>
      <c r="C198" t="str">
        <f>_xlfn.XLOOKUP(A198,A197:A796,[1]Sheet3!D390:D989)</f>
        <v>CUST62870</v>
      </c>
      <c r="D198" t="str">
        <f>_xlfn.XLOOKUP(A198,A197:A796,[1]Sheet3!E390:E989)</f>
        <v>Shreya Mehta</v>
      </c>
      <c r="E198" s="5">
        <f>_xlfn.XLOOKUP(A198,A197:A796,[1]Sheet3!G390:G989)</f>
        <v>38</v>
      </c>
      <c r="F198" t="str">
        <f>_xlfn.XLOOKUP('Retail Sales'!A391,'Retail Sales'!A390:A989,[1]Sheet3!H390:H989)</f>
        <v>Adult</v>
      </c>
      <c r="G198" t="str">
        <f>_xlfn.XLOOKUP(A198,A197:A796,[1]Sheet3!J390:J989)</f>
        <v>Female</v>
      </c>
      <c r="H198" t="str">
        <f>_xlfn.XLOOKUP(A198,A197:A796,[1]Sheet3!K390:K989)</f>
        <v>Central</v>
      </c>
      <c r="I198" t="str">
        <f>_xlfn.XLOOKUP(A198,A197:A796,[1]Sheet3!L390:L989)</f>
        <v>Raipur</v>
      </c>
      <c r="J198" t="str">
        <f>_xlfn.XLOOKUP(A198,A197:A796,[1]Sheet3!M390:M989)</f>
        <v>Beauty</v>
      </c>
      <c r="K198" t="str">
        <f>_xlfn.XLOOKUP('Retail Sales'!A391,'Retail Sales'!A390:A989,[1]Sheet3!N390:N989)</f>
        <v>Face Cream</v>
      </c>
      <c r="L198" s="5">
        <f>_xlfn.XLOOKUP(A198,A197:A796,[1]Sheet3!P390:P989)</f>
        <v>2</v>
      </c>
      <c r="M198" s="7">
        <f>_xlfn.XLOOKUP(A198,A197:A796,[1]Sheet3!Q390:Q989)</f>
        <v>1348.14</v>
      </c>
      <c r="N198" s="9">
        <f>_xlfn.XLOOKUP(A198,A197:A796,[1]Sheet3!S390:S989)</f>
        <v>0.25</v>
      </c>
      <c r="O198" s="7">
        <f>_xlfn.XLOOKUP(A198,A197:A796,[1]Sheet3!T390:T989)</f>
        <v>2363.6999999999998</v>
      </c>
      <c r="P198" s="7">
        <f>_xlfn.XLOOKUP(A198,A197:A796,[1]Sheet3!U390:U989)</f>
        <v>904.82</v>
      </c>
      <c r="Q198" s="11">
        <f>_xlfn.XLOOKUP(A198,A197:A796,[1]Sheet3!V390:V989)</f>
        <v>0.38279815543427681</v>
      </c>
      <c r="R198" s="7">
        <f>_xlfn.XLOOKUP(A198,A197:A796,[1]Sheet3!W390:W989)</f>
        <v>48.59</v>
      </c>
      <c r="S198" t="str">
        <f>_xlfn.XLOOKUP(A198,A197:A796,[1]Sheet3!X390:X989)</f>
        <v>UPI</v>
      </c>
      <c r="T198" s="5">
        <f>_xlfn.XLOOKUP(A198,A197:A796,[1]Sheet3!Z390:Z989)</f>
        <v>2</v>
      </c>
      <c r="U198" t="b">
        <f>_xlfn.XLOOKUP(A198,A197:A796,[1]Sheet3!AA390:AA989)</f>
        <v>0</v>
      </c>
      <c r="V198" t="str">
        <f>_xlfn.XLOOKUP(A198,A197:A796,[1]Sheet3!AC390:AC989)</f>
        <v>Delivered</v>
      </c>
      <c r="W198" s="5">
        <f>_xlfn.XLOOKUP(A198,A197:A796,[1]Sheet3!AE390:AE989)</f>
        <v>5</v>
      </c>
    </row>
    <row r="199" spans="1:23" x14ac:dyDescent="0.35">
      <c r="A199" t="s">
        <v>592</v>
      </c>
      <c r="B199" s="1">
        <f>_xlfn.XLOOKUP(A199,A198:A797,[1]Sheet3!C7:C606)</f>
        <v>44467</v>
      </c>
      <c r="C199" t="str">
        <f>_xlfn.XLOOKUP(A199,A198:A797,[1]Sheet3!D7:D606)</f>
        <v>CUST02453</v>
      </c>
      <c r="D199" t="str">
        <f>_xlfn.XLOOKUP(A199,A198:A797,[1]Sheet3!E7:E606)</f>
        <v>Arjun Shah</v>
      </c>
      <c r="E199" s="5">
        <f>_xlfn.XLOOKUP(A199,A198:A797,[1]Sheet3!G7:G606)</f>
        <v>31</v>
      </c>
      <c r="F199" t="str">
        <f>_xlfn.XLOOKUP('Retail Sales'!A8,'Retail Sales'!A7:A606,[1]Sheet3!H7:H606)</f>
        <v>Young Adult</v>
      </c>
      <c r="G199" t="str">
        <f>_xlfn.XLOOKUP(A199,A198:A797,[1]Sheet3!J7:J606)</f>
        <v>Female</v>
      </c>
      <c r="H199" t="str">
        <f>_xlfn.XLOOKUP(A199,A198:A797,[1]Sheet3!K7:K606)</f>
        <v>Central</v>
      </c>
      <c r="I199" t="str">
        <f>_xlfn.XLOOKUP(A199,A198:A797,[1]Sheet3!L7:L606)</f>
        <v>Bhopal</v>
      </c>
      <c r="J199" t="str">
        <f>_xlfn.XLOOKUP(A199,A198:A797,[1]Sheet3!M7:M606)</f>
        <v>Books</v>
      </c>
      <c r="K199" t="str">
        <f>_xlfn.XLOOKUP('Retail Sales'!A8,'Retail Sales'!A7:A606,[1]Sheet3!N7:N606)</f>
        <v>Self-Help Book</v>
      </c>
      <c r="L199" s="5">
        <f>_xlfn.XLOOKUP(A199,A198:A797,[1]Sheet3!P7:P606)</f>
        <v>3</v>
      </c>
      <c r="M199" s="7">
        <f>_xlfn.XLOOKUP(A199,A198:A797,[1]Sheet3!Q7:Q606)</f>
        <v>329.03</v>
      </c>
      <c r="N199" s="9">
        <f>_xlfn.XLOOKUP(A199,A198:A797,[1]Sheet3!S7:S606)</f>
        <v>0.02</v>
      </c>
      <c r="O199" s="7">
        <f>_xlfn.XLOOKUP(A199,A198:A797,[1]Sheet3!T7:T606)</f>
        <v>994.87</v>
      </c>
      <c r="P199" s="7">
        <f>_xlfn.XLOOKUP(A199,A198:A797,[1]Sheet3!U7:U606)</f>
        <v>375.07</v>
      </c>
      <c r="Q199" s="11">
        <f>_xlfn.XLOOKUP(A199,A198:A797,[1]Sheet3!V7:V606)</f>
        <v>0.37700403067737492</v>
      </c>
      <c r="R199" s="7">
        <f>_xlfn.XLOOKUP(A199,A198:A797,[1]Sheet3!W7:W606)</f>
        <v>77.34</v>
      </c>
      <c r="S199" t="str">
        <f>_xlfn.XLOOKUP(A199,A198:A797,[1]Sheet3!X7:X606)</f>
        <v>Credit Card</v>
      </c>
      <c r="T199" s="5">
        <f>_xlfn.XLOOKUP(A199,A198:A797,[1]Sheet3!Z7:Z606)</f>
        <v>5</v>
      </c>
      <c r="U199" t="b">
        <f>_xlfn.XLOOKUP(A199,A198:A797,[1]Sheet3!AA7:AA606)</f>
        <v>1</v>
      </c>
      <c r="V199" t="str">
        <f>_xlfn.XLOOKUP(A199,A198:A797,[1]Sheet3!AC7:AC606)</f>
        <v>Returned</v>
      </c>
      <c r="W199" s="5">
        <f>_xlfn.XLOOKUP(A199,A198:A797,[1]Sheet3!AE7:AE606)</f>
        <v>10</v>
      </c>
    </row>
    <row r="200" spans="1:23" x14ac:dyDescent="0.35">
      <c r="A200" t="s">
        <v>213</v>
      </c>
      <c r="B200" s="1">
        <f>_xlfn.XLOOKUP(A200,A199:A798,[1]Sheet3!C386:C985)</f>
        <v>44468</v>
      </c>
      <c r="C200" t="str">
        <f>_xlfn.XLOOKUP(A200,A199:A798,[1]Sheet3!D386:D985)</f>
        <v>CUST00909</v>
      </c>
      <c r="D200" t="str">
        <f>_xlfn.XLOOKUP(A200,A199:A798,[1]Sheet3!E386:E985)</f>
        <v>Ananya Verma</v>
      </c>
      <c r="E200" s="5">
        <f>_xlfn.XLOOKUP(A200,A199:A798,[1]Sheet3!G386:G985)</f>
        <v>32</v>
      </c>
      <c r="F200" t="str">
        <f>_xlfn.XLOOKUP('Retail Sales'!A387,'Retail Sales'!A386:A985,[1]Sheet3!H386:H985)</f>
        <v>Young Adult</v>
      </c>
      <c r="G200" t="str">
        <f>_xlfn.XLOOKUP(A200,A199:A798,[1]Sheet3!J386:J985)</f>
        <v>Other</v>
      </c>
      <c r="H200" t="str">
        <f>_xlfn.XLOOKUP(A200,A199:A798,[1]Sheet3!K386:K985)</f>
        <v>South</v>
      </c>
      <c r="I200" t="str">
        <f>_xlfn.XLOOKUP(A200,A199:A798,[1]Sheet3!L386:L985)</f>
        <v>Bangalore</v>
      </c>
      <c r="J200" t="str">
        <f>_xlfn.XLOOKUP(A200,A199:A798,[1]Sheet3!M386:M985)</f>
        <v>Furniture</v>
      </c>
      <c r="K200" t="str">
        <f>_xlfn.XLOOKUP('Retail Sales'!A387,'Retail Sales'!A386:A985,[1]Sheet3!N386:N985)</f>
        <v>Sofa</v>
      </c>
      <c r="L200" s="5">
        <f>_xlfn.XLOOKUP(A200,A199:A798,[1]Sheet3!P386:P985)</f>
        <v>6</v>
      </c>
      <c r="M200" s="7">
        <f>_xlfn.XLOOKUP(A200,A199:A798,[1]Sheet3!Q386:Q985)</f>
        <v>3717.72</v>
      </c>
      <c r="N200" s="9">
        <f>_xlfn.XLOOKUP(A200,A199:A798,[1]Sheet3!S386:S985)</f>
        <v>0.22</v>
      </c>
      <c r="O200" s="7">
        <f>_xlfn.XLOOKUP(A200,A199:A798,[1]Sheet3!T386:T985)</f>
        <v>17177.150000000001</v>
      </c>
      <c r="P200" s="7">
        <f>_xlfn.XLOOKUP(A200,A199:A798,[1]Sheet3!U386:U985)</f>
        <v>4949.58</v>
      </c>
      <c r="Q200" s="11">
        <f>_xlfn.XLOOKUP(A200,A199:A798,[1]Sheet3!V386:V985)</f>
        <v>0.2881490817743339</v>
      </c>
      <c r="R200" s="7">
        <f>_xlfn.XLOOKUP(A200,A199:A798,[1]Sheet3!W386:W985)</f>
        <v>62.81</v>
      </c>
      <c r="S200" t="str">
        <f>_xlfn.XLOOKUP(A200,A199:A798,[1]Sheet3!X386:X985)</f>
        <v>Net Banking</v>
      </c>
      <c r="T200" s="5">
        <f>_xlfn.XLOOKUP(A200,A199:A798,[1]Sheet3!Z386:Z985)</f>
        <v>2</v>
      </c>
      <c r="U200" t="b">
        <f>_xlfn.XLOOKUP(A200,A199:A798,[1]Sheet3!AA386:AA985)</f>
        <v>0</v>
      </c>
      <c r="V200" t="str">
        <f>_xlfn.XLOOKUP(A200,A199:A798,[1]Sheet3!AC386:AC985)</f>
        <v>Delivered</v>
      </c>
      <c r="W200" s="5">
        <f>_xlfn.XLOOKUP(A200,A199:A798,[1]Sheet3!AE386:AE985)</f>
        <v>3</v>
      </c>
    </row>
    <row r="201" spans="1:23" x14ac:dyDescent="0.35">
      <c r="A201" t="s">
        <v>1</v>
      </c>
      <c r="B201" s="1">
        <f>_xlfn.XLOOKUP(A201,A200:A799,[1]Sheet3!C598:C1197)</f>
        <v>44469</v>
      </c>
      <c r="C201" t="str">
        <f>_xlfn.XLOOKUP(A201,A200:A799,[1]Sheet3!D598:D1197)</f>
        <v>CUST32469</v>
      </c>
      <c r="D201" t="str">
        <f>_xlfn.XLOOKUP(A201,A200:A799,[1]Sheet3!E598:E1197)</f>
        <v>Aditya Das</v>
      </c>
      <c r="E201" s="5">
        <f>_xlfn.XLOOKUP(A201,A200:A799,[1]Sheet3!G598:G1197)</f>
        <v>31</v>
      </c>
      <c r="F201" t="str">
        <f>_xlfn.XLOOKUP('Retail Sales'!A599,'Retail Sales'!A598:A1197,[1]Sheet3!H598:H1197)</f>
        <v>Young Adult</v>
      </c>
      <c r="G201" t="str">
        <f>_xlfn.XLOOKUP(A201,A200:A799,[1]Sheet3!J598:J1197)</f>
        <v>Male</v>
      </c>
      <c r="H201" t="str">
        <f>_xlfn.XLOOKUP(A201,A200:A799,[1]Sheet3!K598:K1197)</f>
        <v>East</v>
      </c>
      <c r="I201" t="str">
        <f>_xlfn.XLOOKUP(A201,A200:A799,[1]Sheet3!L598:L1197)</f>
        <v>Patna</v>
      </c>
      <c r="J201" t="str">
        <f>_xlfn.XLOOKUP(A201,A200:A799,[1]Sheet3!M598:M1197)</f>
        <v>Books</v>
      </c>
      <c r="K201" t="str">
        <f>_xlfn.XLOOKUP('Retail Sales'!A599,'Retail Sales'!A598:A1197,[1]Sheet3!N598:N1197)</f>
        <v>Comic Book</v>
      </c>
      <c r="L201" s="5">
        <f>_xlfn.XLOOKUP(A201,A200:A799,[1]Sheet3!P598:P1197)</f>
        <v>3</v>
      </c>
      <c r="M201" s="7">
        <f>_xlfn.XLOOKUP(A201,A200:A799,[1]Sheet3!Q598:Q1197)</f>
        <v>751.24</v>
      </c>
      <c r="N201" s="9">
        <f>_xlfn.XLOOKUP(A201,A200:A799,[1]Sheet3!S598:S1197)</f>
        <v>0.34</v>
      </c>
      <c r="O201" s="7">
        <f>_xlfn.XLOOKUP(A201,A200:A799,[1]Sheet3!T598:T1197)</f>
        <v>1754.21</v>
      </c>
      <c r="P201" s="7">
        <f>_xlfn.XLOOKUP(A201,A200:A799,[1]Sheet3!U598:U1197)</f>
        <v>458.13</v>
      </c>
      <c r="Q201" s="11">
        <f>_xlfn.XLOOKUP(A201,A200:A799,[1]Sheet3!V598:V1197)</f>
        <v>0.26116029437752608</v>
      </c>
      <c r="R201" s="7">
        <f>_xlfn.XLOOKUP(A201,A200:A799,[1]Sheet3!W598:W1197)</f>
        <v>103.5</v>
      </c>
      <c r="S201" t="str">
        <f>_xlfn.XLOOKUP(A201,A200:A799,[1]Sheet3!X598:X1197)</f>
        <v>Debit Card</v>
      </c>
      <c r="T201" s="5">
        <f>_xlfn.XLOOKUP(A201,A200:A799,[1]Sheet3!Z598:Z1197)</f>
        <v>3</v>
      </c>
      <c r="U201" t="b">
        <f>_xlfn.XLOOKUP(A201,A200:A799,[1]Sheet3!AA598:AA1197)</f>
        <v>0</v>
      </c>
      <c r="V201" t="str">
        <f>_xlfn.XLOOKUP(A201,A200:A799,[1]Sheet3!AC598:AC1197)</f>
        <v>Delivered</v>
      </c>
      <c r="W201" s="5">
        <f>_xlfn.XLOOKUP(A201,A200:A799,[1]Sheet3!AE598:AE1197)</f>
        <v>10</v>
      </c>
    </row>
    <row r="202" spans="1:23" x14ac:dyDescent="0.35">
      <c r="A202" t="s">
        <v>387</v>
      </c>
      <c r="B202" s="1">
        <f>_xlfn.XLOOKUP(A202,A201:A800,[1]Sheet3!C212:C811)</f>
        <v>44470</v>
      </c>
      <c r="C202" t="str">
        <f>_xlfn.XLOOKUP(A202,A201:A800,[1]Sheet3!D212:D811)</f>
        <v>CUST26109</v>
      </c>
      <c r="D202" t="str">
        <f>_xlfn.XLOOKUP(A202,A201:A800,[1]Sheet3!E212:E811)</f>
        <v>Aditya Gupta</v>
      </c>
      <c r="E202" s="5">
        <f>_xlfn.XLOOKUP(A202,A201:A800,[1]Sheet3!G212:G811)</f>
        <v>52</v>
      </c>
      <c r="F202" t="str">
        <f>_xlfn.XLOOKUP('Retail Sales'!A213,'Retail Sales'!A212:A811,[1]Sheet3!H212:H811)</f>
        <v>Senior</v>
      </c>
      <c r="G202" t="str">
        <f>_xlfn.XLOOKUP(A202,A201:A800,[1]Sheet3!J212:J811)</f>
        <v>Male</v>
      </c>
      <c r="H202" t="str">
        <f>_xlfn.XLOOKUP(A202,A201:A800,[1]Sheet3!K212:K811)</f>
        <v>Central</v>
      </c>
      <c r="I202" t="str">
        <f>_xlfn.XLOOKUP(A202,A201:A800,[1]Sheet3!L212:L811)</f>
        <v>Raipur</v>
      </c>
      <c r="J202" t="str">
        <f>_xlfn.XLOOKUP(A202,A201:A800,[1]Sheet3!M212:M811)</f>
        <v>Sports</v>
      </c>
      <c r="K202" t="str">
        <f>_xlfn.XLOOKUP('Retail Sales'!A213,'Retail Sales'!A212:A811,[1]Sheet3!N212:N811)</f>
        <v>Cycle</v>
      </c>
      <c r="L202" s="5">
        <f>_xlfn.XLOOKUP(A202,A201:A800,[1]Sheet3!P212:P811)</f>
        <v>3</v>
      </c>
      <c r="M202" s="7">
        <f>_xlfn.XLOOKUP(A202,A201:A800,[1]Sheet3!Q212:Q811)</f>
        <v>13585.06</v>
      </c>
      <c r="N202" s="9">
        <f>_xlfn.XLOOKUP(A202,A201:A800,[1]Sheet3!S212:S811)</f>
        <v>0.33</v>
      </c>
      <c r="O202" s="7">
        <f>_xlfn.XLOOKUP(A202,A201:A800,[1]Sheet3!T212:T811)</f>
        <v>26055.86</v>
      </c>
      <c r="P202" s="7">
        <f>_xlfn.XLOOKUP(A202,A201:A800,[1]Sheet3!U212:U811)</f>
        <v>5488.23</v>
      </c>
      <c r="Q202" s="11">
        <f>_xlfn.XLOOKUP(A202,A201:A800,[1]Sheet3!V212:V811)</f>
        <v>0.21063323183345317</v>
      </c>
      <c r="R202" s="7">
        <f>_xlfn.XLOOKUP(A202,A201:A800,[1]Sheet3!W212:W811)</f>
        <v>62.01</v>
      </c>
      <c r="S202" t="str">
        <f>_xlfn.XLOOKUP(A202,A201:A800,[1]Sheet3!X212:X811)</f>
        <v>EMI</v>
      </c>
      <c r="T202" s="5">
        <f>_xlfn.XLOOKUP(A202,A201:A800,[1]Sheet3!Z212:Z811)</f>
        <v>5</v>
      </c>
      <c r="U202" t="b">
        <f>_xlfn.XLOOKUP(A202,A201:A800,[1]Sheet3!AA212:AA811)</f>
        <v>0</v>
      </c>
      <c r="V202" t="str">
        <f>_xlfn.XLOOKUP(A202,A201:A800,[1]Sheet3!AC212:AC811)</f>
        <v>Cancelled</v>
      </c>
      <c r="W202" s="5">
        <f>_xlfn.XLOOKUP(A202,A201:A800,[1]Sheet3!AE212:AE811)</f>
        <v>2</v>
      </c>
    </row>
    <row r="203" spans="1:23" x14ac:dyDescent="0.35">
      <c r="A203" t="s">
        <v>129</v>
      </c>
      <c r="B203" s="1">
        <f>_xlfn.XLOOKUP(A203,A202:A801,[1]Sheet3!C470:C1069)</f>
        <v>44471</v>
      </c>
      <c r="C203" t="str">
        <f>_xlfn.XLOOKUP(A203,A202:A801,[1]Sheet3!D470:D1069)</f>
        <v>CUST32538</v>
      </c>
      <c r="D203" t="str">
        <f>_xlfn.XLOOKUP(A203,A202:A801,[1]Sheet3!E470:E1069)</f>
        <v>Amit Rao</v>
      </c>
      <c r="E203" s="5">
        <f>_xlfn.XLOOKUP(A203,A202:A801,[1]Sheet3!G470:G1069)</f>
        <v>24</v>
      </c>
      <c r="F203" t="str">
        <f>_xlfn.XLOOKUP('Retail Sales'!A471,'Retail Sales'!A470:A1069,[1]Sheet3!H470:H1069)</f>
        <v>Young Adult</v>
      </c>
      <c r="G203" t="str">
        <f>_xlfn.XLOOKUP(A203,A202:A801,[1]Sheet3!J470:J1069)</f>
        <v>Other</v>
      </c>
      <c r="H203" t="str">
        <f>_xlfn.XLOOKUP(A203,A202:A801,[1]Sheet3!K470:K1069)</f>
        <v>South</v>
      </c>
      <c r="I203" t="str">
        <f>_xlfn.XLOOKUP(A203,A202:A801,[1]Sheet3!L470:L1069)</f>
        <v>Bangalore</v>
      </c>
      <c r="J203" t="str">
        <f>_xlfn.XLOOKUP(A203,A202:A801,[1]Sheet3!M470:M1069)</f>
        <v>Electronics</v>
      </c>
      <c r="K203" t="str">
        <f>_xlfn.XLOOKUP('Retail Sales'!A471,'Retail Sales'!A470:A1069,[1]Sheet3!N470:N1069)</f>
        <v>Laptop</v>
      </c>
      <c r="L203" s="5">
        <f>_xlfn.XLOOKUP(A203,A202:A801,[1]Sheet3!P470:P1069)</f>
        <v>10</v>
      </c>
      <c r="M203" s="7">
        <f>_xlfn.XLOOKUP(A203,A202:A801,[1]Sheet3!Q470:Q1069)</f>
        <v>23157.51</v>
      </c>
      <c r="N203" s="9">
        <f>_xlfn.XLOOKUP(A203,A202:A801,[1]Sheet3!S470:S1069)</f>
        <v>0.12</v>
      </c>
      <c r="O203" s="7">
        <f>_xlfn.XLOOKUP(A203,A202:A801,[1]Sheet3!T470:T1069)</f>
        <v>176221.6</v>
      </c>
      <c r="P203" s="7">
        <f>_xlfn.XLOOKUP(A203,A202:A801,[1]Sheet3!U470:U1069)</f>
        <v>21453.69</v>
      </c>
      <c r="Q203" s="11">
        <f>_xlfn.XLOOKUP(A203,A202:A801,[1]Sheet3!V470:V1069)</f>
        <v>0.12174268080643916</v>
      </c>
      <c r="R203" s="7">
        <f>_xlfn.XLOOKUP(A203,A202:A801,[1]Sheet3!W470:W1069)</f>
        <v>53.6</v>
      </c>
      <c r="S203" t="str">
        <f>_xlfn.XLOOKUP(A203,A202:A801,[1]Sheet3!X470:X1069)</f>
        <v>Net Banking</v>
      </c>
      <c r="T203" s="5">
        <f>_xlfn.XLOOKUP(A203,A202:A801,[1]Sheet3!Z470:Z1069)</f>
        <v>3</v>
      </c>
      <c r="U203" t="b">
        <f>_xlfn.XLOOKUP(A203,A202:A801,[1]Sheet3!AA470:AA1069)</f>
        <v>0</v>
      </c>
      <c r="V203" t="str">
        <f>_xlfn.XLOOKUP(A203,A202:A801,[1]Sheet3!AC470:AC1069)</f>
        <v>Delivered</v>
      </c>
      <c r="W203" s="5">
        <f>_xlfn.XLOOKUP(A203,A202:A801,[1]Sheet3!AE470:AE1069)</f>
        <v>4</v>
      </c>
    </row>
    <row r="204" spans="1:23" x14ac:dyDescent="0.35">
      <c r="A204" t="s">
        <v>55</v>
      </c>
      <c r="B204" s="1">
        <f>_xlfn.XLOOKUP(A204,A203:A802,[1]Sheet3!C544:C1143)</f>
        <v>44473</v>
      </c>
      <c r="C204" t="str">
        <f>_xlfn.XLOOKUP(A204,A203:A802,[1]Sheet3!D544:D1143)</f>
        <v>CUST22978</v>
      </c>
      <c r="D204" t="str">
        <f>_xlfn.XLOOKUP(A204,A203:A802,[1]Sheet3!E544:E1143)</f>
        <v>Nikhil Bhat</v>
      </c>
      <c r="E204" s="5">
        <f>_xlfn.XLOOKUP(A204,A203:A802,[1]Sheet3!G544:G1143)</f>
        <v>34.294220665499125</v>
      </c>
      <c r="F204" t="str">
        <f>_xlfn.XLOOKUP('Retail Sales'!A545,'Retail Sales'!A544:A1143,[1]Sheet3!H544:H1143)</f>
        <v>Young Adult</v>
      </c>
      <c r="G204" t="str">
        <f>_xlfn.XLOOKUP(A204,A203:A802,[1]Sheet3!J544:J1143)</f>
        <v>Male</v>
      </c>
      <c r="H204" t="str">
        <f>_xlfn.XLOOKUP(A204,A203:A802,[1]Sheet3!K544:K1143)</f>
        <v>North</v>
      </c>
      <c r="I204" t="str">
        <f>_xlfn.XLOOKUP(A204,A203:A802,[1]Sheet3!L544:L1143)</f>
        <v>Ludhiana</v>
      </c>
      <c r="J204" t="str">
        <f>_xlfn.XLOOKUP(A204,A203:A802,[1]Sheet3!M544:M1143)</f>
        <v>Sports</v>
      </c>
      <c r="K204" t="str">
        <f>_xlfn.XLOOKUP('Retail Sales'!A545,'Retail Sales'!A544:A1143,[1]Sheet3!N544:N1143)</f>
        <v>Cycle</v>
      </c>
      <c r="L204" s="5">
        <f>_xlfn.XLOOKUP(A204,A203:A802,[1]Sheet3!P544:P1143)</f>
        <v>4</v>
      </c>
      <c r="M204" s="7">
        <f>_xlfn.XLOOKUP(A204,A203:A802,[1]Sheet3!Q544:Q1143)</f>
        <v>13459.01</v>
      </c>
      <c r="N204" s="9">
        <f>_xlfn.XLOOKUP(A204,A203:A802,[1]Sheet3!S544:S1143)</f>
        <v>0.32</v>
      </c>
      <c r="O204" s="7">
        <f>_xlfn.XLOOKUP(A204,A203:A802,[1]Sheet3!T544:T1143)</f>
        <v>39215.89</v>
      </c>
      <c r="P204" s="7">
        <f>_xlfn.XLOOKUP(A204,A203:A802,[1]Sheet3!U544:U1143)</f>
        <v>10601.74</v>
      </c>
      <c r="Q204" s="11">
        <f>_xlfn.XLOOKUP(A204,A203:A802,[1]Sheet3!V544:V1143)</f>
        <v>0.27034296556829385</v>
      </c>
      <c r="R204" s="7">
        <f>_xlfn.XLOOKUP(A204,A203:A802,[1]Sheet3!W544:W1143)</f>
        <v>48.42</v>
      </c>
      <c r="S204" t="str">
        <f>_xlfn.XLOOKUP(A204,A203:A802,[1]Sheet3!X544:X1143)</f>
        <v>Credit Card</v>
      </c>
      <c r="T204" s="5">
        <f>_xlfn.XLOOKUP(A204,A203:A802,[1]Sheet3!Z544:Z1143)</f>
        <v>2</v>
      </c>
      <c r="U204" t="b">
        <f>_xlfn.XLOOKUP(A204,A203:A802,[1]Sheet3!AA544:AA1143)</f>
        <v>0</v>
      </c>
      <c r="V204" t="str">
        <f>_xlfn.XLOOKUP(A204,A203:A802,[1]Sheet3!AC544:AC1143)</f>
        <v>Delivered</v>
      </c>
      <c r="W204" s="5">
        <f>_xlfn.XLOOKUP(A204,A203:A802,[1]Sheet3!AE544:AE1143)</f>
        <v>6</v>
      </c>
    </row>
    <row r="205" spans="1:23" x14ac:dyDescent="0.35">
      <c r="A205" t="s">
        <v>106</v>
      </c>
      <c r="B205" s="1">
        <f>_xlfn.XLOOKUP(A205,A204:A803,[1]Sheet3!C493:C1092)</f>
        <v>44477</v>
      </c>
      <c r="C205" t="str">
        <f>_xlfn.XLOOKUP(A205,A204:A803,[1]Sheet3!D493:D1092)</f>
        <v>CUST41321</v>
      </c>
      <c r="D205" t="str">
        <f>_xlfn.XLOOKUP(A205,A204:A803,[1]Sheet3!E493:E1092)</f>
        <v>Ritu Bhat</v>
      </c>
      <c r="E205" s="5">
        <f>_xlfn.XLOOKUP(A205,A204:A803,[1]Sheet3!G493:G1092)</f>
        <v>23</v>
      </c>
      <c r="F205" t="str">
        <f>_xlfn.XLOOKUP('Retail Sales'!A494,'Retail Sales'!A493:A1092,[1]Sheet3!H493:H1092)</f>
        <v>Young Adult</v>
      </c>
      <c r="G205" t="str">
        <f>_xlfn.XLOOKUP(A205,A204:A803,[1]Sheet3!J493:J1092)</f>
        <v>Male</v>
      </c>
      <c r="H205" t="str">
        <f>_xlfn.XLOOKUP(A205,A204:A803,[1]Sheet3!K493:K1092)</f>
        <v>North</v>
      </c>
      <c r="I205" t="str">
        <f>_xlfn.XLOOKUP(A205,A204:A803,[1]Sheet3!L493:L1092)</f>
        <v>Chandigarh</v>
      </c>
      <c r="J205" t="str">
        <f>_xlfn.XLOOKUP(A205,A204:A803,[1]Sheet3!M493:M1092)</f>
        <v>Groceries</v>
      </c>
      <c r="K205" t="str">
        <f>_xlfn.XLOOKUP('Retail Sales'!A494,'Retail Sales'!A493:A1092,[1]Sheet3!N493:N1092)</f>
        <v>Cooking Oil</v>
      </c>
      <c r="L205" s="5">
        <f>_xlfn.XLOOKUP(A205,A204:A803,[1]Sheet3!P493:P1092)</f>
        <v>5</v>
      </c>
      <c r="M205" s="7">
        <f>_xlfn.XLOOKUP(A205,A204:A803,[1]Sheet3!Q493:Q1092)</f>
        <v>312.3</v>
      </c>
      <c r="N205" s="9">
        <f>_xlfn.XLOOKUP(A205,A204:A803,[1]Sheet3!S493:S1092)</f>
        <v>0.12</v>
      </c>
      <c r="O205" s="7">
        <f>_xlfn.XLOOKUP(A205,A204:A803,[1]Sheet3!T493:T1092)</f>
        <v>1270.29</v>
      </c>
      <c r="P205" s="7">
        <f>_xlfn.XLOOKUP(A205,A204:A803,[1]Sheet3!U493:U1092)</f>
        <v>110.96</v>
      </c>
      <c r="Q205" s="11">
        <f>_xlfn.XLOOKUP(A205,A204:A803,[1]Sheet3!V493:V1092)</f>
        <v>8.7350132646875911E-2</v>
      </c>
      <c r="R205" s="7">
        <f>_xlfn.XLOOKUP(A205,A204:A803,[1]Sheet3!W493:W1092)</f>
        <v>25.67</v>
      </c>
      <c r="S205" t="str">
        <f>_xlfn.XLOOKUP(A205,A204:A803,[1]Sheet3!X493:X1092)</f>
        <v>Cash on Delivery</v>
      </c>
      <c r="T205" s="5">
        <f>_xlfn.XLOOKUP(A205,A204:A803,[1]Sheet3!Z493:Z1092)</f>
        <v>3</v>
      </c>
      <c r="U205" t="b">
        <f>_xlfn.XLOOKUP(A205,A204:A803,[1]Sheet3!AA493:AA1092)</f>
        <v>0</v>
      </c>
      <c r="V205" t="str">
        <f>_xlfn.XLOOKUP(A205,A204:A803,[1]Sheet3!AC493:AC1092)</f>
        <v>Delivered</v>
      </c>
      <c r="W205" s="5">
        <f>_xlfn.XLOOKUP(A205,A204:A803,[1]Sheet3!AE493:AE1092)</f>
        <v>8</v>
      </c>
    </row>
    <row r="206" spans="1:23" x14ac:dyDescent="0.35">
      <c r="A206" t="s">
        <v>429</v>
      </c>
      <c r="B206" s="1">
        <f>_xlfn.XLOOKUP(A206,A205:A804,[1]Sheet3!C170:C769)</f>
        <v>44491</v>
      </c>
      <c r="C206" t="str">
        <f>_xlfn.XLOOKUP(A206,A205:A804,[1]Sheet3!D170:D769)</f>
        <v>CUST96946</v>
      </c>
      <c r="D206" t="str">
        <f>_xlfn.XLOOKUP(A206,A205:A804,[1]Sheet3!E170:E769)</f>
        <v>Sunita Sharma</v>
      </c>
      <c r="E206" s="5">
        <f>_xlfn.XLOOKUP(A206,A205:A804,[1]Sheet3!G170:G769)</f>
        <v>53</v>
      </c>
      <c r="F206" t="str">
        <f>_xlfn.XLOOKUP('Retail Sales'!A171,'Retail Sales'!A170:A769,[1]Sheet3!H170:H769)</f>
        <v>Senior</v>
      </c>
      <c r="G206" t="str">
        <f>_xlfn.XLOOKUP(A206,A205:A804,[1]Sheet3!J170:J769)</f>
        <v>Other</v>
      </c>
      <c r="H206" t="str">
        <f>_xlfn.XLOOKUP(A206,A205:A804,[1]Sheet3!K170:K769)</f>
        <v>South</v>
      </c>
      <c r="I206" t="str">
        <f>_xlfn.XLOOKUP(A206,A205:A804,[1]Sheet3!L170:L769)</f>
        <v>Chennai</v>
      </c>
      <c r="J206" t="str">
        <f>_xlfn.XLOOKUP(A206,A205:A804,[1]Sheet3!M170:M769)</f>
        <v>Electronics</v>
      </c>
      <c r="K206" t="str">
        <f>_xlfn.XLOOKUP('Retail Sales'!A171,'Retail Sales'!A170:A769,[1]Sheet3!N170:N769)</f>
        <v>Headphones</v>
      </c>
      <c r="L206" s="5">
        <f>_xlfn.XLOOKUP(A206,A205:A804,[1]Sheet3!P170:P769)</f>
        <v>9</v>
      </c>
      <c r="M206" s="7">
        <f>_xlfn.XLOOKUP(A206,A205:A804,[1]Sheet3!Q170:Q769)</f>
        <v>62284.37</v>
      </c>
      <c r="N206" s="9">
        <f>_xlfn.XLOOKUP(A206,A205:A804,[1]Sheet3!S170:S769)</f>
        <v>0.36</v>
      </c>
      <c r="O206" s="7">
        <f>_xlfn.XLOOKUP(A206,A205:A804,[1]Sheet3!T170:T769)</f>
        <v>295233.56</v>
      </c>
      <c r="P206" s="7">
        <f>_xlfn.XLOOKUP(A206,A205:A804,[1]Sheet3!U170:U769)</f>
        <v>40519.72</v>
      </c>
      <c r="Q206" s="11">
        <f>_xlfn.XLOOKUP(A206,A205:A804,[1]Sheet3!V170:V769)</f>
        <v>0.13724632118381122</v>
      </c>
      <c r="R206" s="7">
        <f>_xlfn.XLOOKUP(A206,A205:A804,[1]Sheet3!W170:W769)</f>
        <v>81.150000000000006</v>
      </c>
      <c r="S206" t="str">
        <f>_xlfn.XLOOKUP(A206,A205:A804,[1]Sheet3!X170:X769)</f>
        <v>Credit Card</v>
      </c>
      <c r="T206" s="5">
        <f>_xlfn.XLOOKUP(A206,A205:A804,[1]Sheet3!Z170:Z769)</f>
        <v>3</v>
      </c>
      <c r="U206" t="b">
        <f>_xlfn.XLOOKUP(A206,A205:A804,[1]Sheet3!AA170:AA769)</f>
        <v>0</v>
      </c>
      <c r="V206" t="str">
        <f>_xlfn.XLOOKUP(A206,A205:A804,[1]Sheet3!AC170:AC769)</f>
        <v>Delivered</v>
      </c>
      <c r="W206" s="5">
        <f>_xlfn.XLOOKUP(A206,A205:A804,[1]Sheet3!AE170:AE769)</f>
        <v>8</v>
      </c>
    </row>
    <row r="207" spans="1:23" x14ac:dyDescent="0.35">
      <c r="A207" t="s">
        <v>243</v>
      </c>
      <c r="B207" s="1">
        <f>_xlfn.XLOOKUP(A207,A206:A805,[1]Sheet3!C356:C955)</f>
        <v>44492</v>
      </c>
      <c r="C207" t="str">
        <f>_xlfn.XLOOKUP(A207,A206:A805,[1]Sheet3!D356:D955)</f>
        <v>CUST80946</v>
      </c>
      <c r="D207" t="str">
        <f>_xlfn.XLOOKUP(A207,A206:A805,[1]Sheet3!E356:E955)</f>
        <v>Nikhil Verma</v>
      </c>
      <c r="E207" s="5">
        <f>_xlfn.XLOOKUP(A207,A206:A805,[1]Sheet3!G356:G955)</f>
        <v>35</v>
      </c>
      <c r="F207" t="str">
        <f>_xlfn.XLOOKUP('Retail Sales'!A357,'Retail Sales'!A356:A955,[1]Sheet3!H356:H955)</f>
        <v>Young Adult</v>
      </c>
      <c r="G207" t="str">
        <f>_xlfn.XLOOKUP(A207,A206:A805,[1]Sheet3!J356:J955)</f>
        <v>Other</v>
      </c>
      <c r="H207" t="str">
        <f>_xlfn.XLOOKUP(A207,A206:A805,[1]Sheet3!K356:K955)</f>
        <v>West</v>
      </c>
      <c r="I207" t="str">
        <f>_xlfn.XLOOKUP(A207,A206:A805,[1]Sheet3!L356:L955)</f>
        <v>Ahmedabad</v>
      </c>
      <c r="J207" t="str">
        <f>_xlfn.XLOOKUP(A207,A206:A805,[1]Sheet3!M356:M955)</f>
        <v>Sports</v>
      </c>
      <c r="K207" t="str">
        <f>_xlfn.XLOOKUP('Retail Sales'!A357,'Retail Sales'!A356:A955,[1]Sheet3!N356:N955)</f>
        <v>Football</v>
      </c>
      <c r="L207" s="5">
        <f>_xlfn.XLOOKUP(A207,A206:A805,[1]Sheet3!P356:P955)</f>
        <v>6</v>
      </c>
      <c r="M207" s="7">
        <f>_xlfn.XLOOKUP(A207,A206:A805,[1]Sheet3!Q356:Q955)</f>
        <v>10030.26</v>
      </c>
      <c r="N207" s="9">
        <f>_xlfn.XLOOKUP(A207,A206:A805,[1]Sheet3!S356:S955)</f>
        <v>0.17</v>
      </c>
      <c r="O207" s="7">
        <f>_xlfn.XLOOKUP(A207,A206:A805,[1]Sheet3!T356:T955)</f>
        <v>51174.21</v>
      </c>
      <c r="P207" s="7">
        <f>_xlfn.XLOOKUP(A207,A206:A805,[1]Sheet3!U356:U955)</f>
        <v>14093.89</v>
      </c>
      <c r="Q207" s="11">
        <f>_xlfn.XLOOKUP(A207,A206:A805,[1]Sheet3!V356:V955)</f>
        <v>0.27541001609990656</v>
      </c>
      <c r="R207" s="7">
        <f>_xlfn.XLOOKUP(A207,A206:A805,[1]Sheet3!W356:W955)</f>
        <v>33.86</v>
      </c>
      <c r="S207" t="str">
        <f>_xlfn.XLOOKUP(A207,A206:A805,[1]Sheet3!X356:X955)</f>
        <v>Net Banking</v>
      </c>
      <c r="T207" s="5">
        <f>_xlfn.XLOOKUP(A207,A206:A805,[1]Sheet3!Z356:Z955)</f>
        <v>4</v>
      </c>
      <c r="U207" t="b">
        <f>_xlfn.XLOOKUP(A207,A206:A805,[1]Sheet3!AA356:AA955)</f>
        <v>0</v>
      </c>
      <c r="V207" t="str">
        <f>_xlfn.XLOOKUP(A207,A206:A805,[1]Sheet3!AC356:AC955)</f>
        <v>Delivered</v>
      </c>
      <c r="W207" s="5">
        <f>_xlfn.XLOOKUP(A207,A206:A805,[1]Sheet3!AE356:AE955)</f>
        <v>8</v>
      </c>
    </row>
    <row r="208" spans="1:23" x14ac:dyDescent="0.35">
      <c r="A208" t="s">
        <v>572</v>
      </c>
      <c r="B208" s="1">
        <f>_xlfn.XLOOKUP(A208,A207:A806,[1]Sheet3!C27:C626)</f>
        <v>44494</v>
      </c>
      <c r="C208" t="str">
        <f>_xlfn.XLOOKUP(A208,A207:A806,[1]Sheet3!D27:D626)</f>
        <v>CUST33809</v>
      </c>
      <c r="D208" t="str">
        <f>_xlfn.XLOOKUP(A208,A207:A806,[1]Sheet3!E27:E626)</f>
        <v>Sanjay Reddy</v>
      </c>
      <c r="E208" s="5">
        <f>_xlfn.XLOOKUP(A208,A207:A806,[1]Sheet3!G27:G626)</f>
        <v>31</v>
      </c>
      <c r="F208" t="str">
        <f>_xlfn.XLOOKUP('Retail Sales'!A28,'Retail Sales'!A27:A626,[1]Sheet3!H27:H626)</f>
        <v>Young Adult</v>
      </c>
      <c r="G208" t="str">
        <f>_xlfn.XLOOKUP(A208,A207:A806,[1]Sheet3!J27:J626)</f>
        <v>Other</v>
      </c>
      <c r="H208" t="str">
        <f>_xlfn.XLOOKUP(A208,A207:A806,[1]Sheet3!K27:K626)</f>
        <v>West</v>
      </c>
      <c r="I208" t="str">
        <f>_xlfn.XLOOKUP(A208,A207:A806,[1]Sheet3!L27:L626)</f>
        <v>Surat</v>
      </c>
      <c r="J208" t="str">
        <f>_xlfn.XLOOKUP(A208,A207:A806,[1]Sheet3!M27:M626)</f>
        <v>Groceries</v>
      </c>
      <c r="K208" t="str">
        <f>_xlfn.XLOOKUP('Retail Sales'!A28,'Retail Sales'!A27:A626,[1]Sheet3!N27:N626)</f>
        <v>Cooking Oil</v>
      </c>
      <c r="L208" s="5">
        <f>_xlfn.XLOOKUP(A208,A207:A806,[1]Sheet3!P27:P626)</f>
        <v>2</v>
      </c>
      <c r="M208" s="7">
        <f>_xlfn.XLOOKUP(A208,A207:A806,[1]Sheet3!Q27:Q626)</f>
        <v>233.12</v>
      </c>
      <c r="N208" s="9">
        <f>_xlfn.XLOOKUP(A208,A207:A806,[1]Sheet3!S27:S626)</f>
        <v>0.28000000000000003</v>
      </c>
      <c r="O208" s="7">
        <f>_xlfn.XLOOKUP(A208,A207:A806,[1]Sheet3!T27:T626)</f>
        <v>322.86</v>
      </c>
      <c r="P208" s="7">
        <f>_xlfn.XLOOKUP(A208,A207:A806,[1]Sheet3!U27:U626)</f>
        <v>21.37</v>
      </c>
      <c r="Q208" s="11">
        <f>_xlfn.XLOOKUP(A208,A207:A806,[1]Sheet3!V27:V626)</f>
        <v>6.6189679737347462E-2</v>
      </c>
      <c r="R208" s="7">
        <f>_xlfn.XLOOKUP(A208,A207:A806,[1]Sheet3!W27:W626)</f>
        <v>57.3</v>
      </c>
      <c r="S208" t="str">
        <f>_xlfn.XLOOKUP(A208,A207:A806,[1]Sheet3!X27:X626)</f>
        <v>Cash on Delivery</v>
      </c>
      <c r="T208" s="5">
        <f>_xlfn.XLOOKUP(A208,A207:A806,[1]Sheet3!Z27:Z626)</f>
        <v>3</v>
      </c>
      <c r="U208" t="b">
        <f>_xlfn.XLOOKUP(A208,A207:A806,[1]Sheet3!AA27:AA626)</f>
        <v>0</v>
      </c>
      <c r="V208" t="str">
        <f>_xlfn.XLOOKUP(A208,A207:A806,[1]Sheet3!AC27:AC626)</f>
        <v>Delivered</v>
      </c>
      <c r="W208" s="5">
        <f>_xlfn.XLOOKUP(A208,A207:A806,[1]Sheet3!AE27:AE626)</f>
        <v>7</v>
      </c>
    </row>
    <row r="209" spans="1:23" x14ac:dyDescent="0.35">
      <c r="A209" t="s">
        <v>564</v>
      </c>
      <c r="B209" s="1">
        <f>_xlfn.XLOOKUP(A209,A208:A807,[1]Sheet3!C35:C634)</f>
        <v>44506</v>
      </c>
      <c r="C209" t="str">
        <f>_xlfn.XLOOKUP(A209,A208:A807,[1]Sheet3!D35:D634)</f>
        <v>CUST41623</v>
      </c>
      <c r="D209" t="str">
        <f>_xlfn.XLOOKUP(A209,A208:A807,[1]Sheet3!E35:E634)</f>
        <v>Vikram Pillai</v>
      </c>
      <c r="E209" s="5">
        <f>_xlfn.XLOOKUP(A209,A208:A807,[1]Sheet3!G35:G634)</f>
        <v>65</v>
      </c>
      <c r="F209" t="str">
        <f>_xlfn.XLOOKUP('Retail Sales'!A36,'Retail Sales'!A35:A634,[1]Sheet3!H35:H634)</f>
        <v>Senior</v>
      </c>
      <c r="G209" t="str">
        <f>_xlfn.XLOOKUP(A209,A208:A807,[1]Sheet3!J35:J634)</f>
        <v>Other</v>
      </c>
      <c r="H209" t="str">
        <f>_xlfn.XLOOKUP(A209,A208:A807,[1]Sheet3!K35:K634)</f>
        <v>North</v>
      </c>
      <c r="I209" t="str">
        <f>_xlfn.XLOOKUP(A209,A208:A807,[1]Sheet3!L35:L634)</f>
        <v>Chandigarh</v>
      </c>
      <c r="J209" t="str">
        <f>_xlfn.XLOOKUP(A209,A208:A807,[1]Sheet3!M35:M634)</f>
        <v>Books</v>
      </c>
      <c r="K209" t="str">
        <f>_xlfn.XLOOKUP('Retail Sales'!A36,'Retail Sales'!A35:A634,[1]Sheet3!N35:N634)</f>
        <v>Comic Book</v>
      </c>
      <c r="L209" s="5">
        <f>_xlfn.XLOOKUP(A209,A208:A807,[1]Sheet3!P35:P634)</f>
        <v>4</v>
      </c>
      <c r="M209" s="7">
        <f>_xlfn.XLOOKUP(A209,A208:A807,[1]Sheet3!Q35:Q634)</f>
        <v>1350.95</v>
      </c>
      <c r="N209" s="9">
        <f>_xlfn.XLOOKUP(A209,A208:A807,[1]Sheet3!S35:S634)</f>
        <v>0.21</v>
      </c>
      <c r="O209" s="7">
        <f>_xlfn.XLOOKUP(A209,A208:A807,[1]Sheet3!T35:T634)</f>
        <v>3635.51</v>
      </c>
      <c r="P209" s="7">
        <f>_xlfn.XLOOKUP(A209,A208:A807,[1]Sheet3!U35:U634)</f>
        <v>1854.28</v>
      </c>
      <c r="Q209" s="11">
        <f>_xlfn.XLOOKUP(A209,A208:A807,[1]Sheet3!V35:V634)</f>
        <v>0.51004673347068219</v>
      </c>
      <c r="R209" s="7">
        <f>_xlfn.XLOOKUP(A209,A208:A807,[1]Sheet3!W35:W634)</f>
        <v>44.83</v>
      </c>
      <c r="S209" t="str">
        <f>_xlfn.XLOOKUP(A209,A208:A807,[1]Sheet3!X35:X634)</f>
        <v>Credit Card</v>
      </c>
      <c r="T209" s="5">
        <f>_xlfn.XLOOKUP(A209,A208:A807,[1]Sheet3!Z35:Z634)</f>
        <v>3</v>
      </c>
      <c r="U209" t="b">
        <f>_xlfn.XLOOKUP(A209,A208:A807,[1]Sheet3!AA35:AA634)</f>
        <v>0</v>
      </c>
      <c r="V209" t="str">
        <f>_xlfn.XLOOKUP(A209,A208:A807,[1]Sheet3!AC35:AC634)</f>
        <v>Delivered</v>
      </c>
      <c r="W209" s="5">
        <f>_xlfn.XLOOKUP(A209,A208:A807,[1]Sheet3!AE35:AE634)</f>
        <v>2</v>
      </c>
    </row>
    <row r="210" spans="1:23" x14ac:dyDescent="0.35">
      <c r="A210" t="s">
        <v>56</v>
      </c>
      <c r="B210" s="1">
        <f>_xlfn.XLOOKUP(A210,A209:A808,[1]Sheet3!C543:C1142)</f>
        <v>44514</v>
      </c>
      <c r="C210" t="str">
        <f>_xlfn.XLOOKUP(A210,A209:A808,[1]Sheet3!D543:D1142)</f>
        <v>CUST58345</v>
      </c>
      <c r="D210" t="str">
        <f>_xlfn.XLOOKUP(A210,A209:A808,[1]Sheet3!E543:E1142)</f>
        <v>Nikhil Mishra</v>
      </c>
      <c r="E210" s="5">
        <f>_xlfn.XLOOKUP(A210,A209:A808,[1]Sheet3!G543:G1142)</f>
        <v>24</v>
      </c>
      <c r="F210" t="str">
        <f>_xlfn.XLOOKUP('Retail Sales'!A544,'Retail Sales'!A543:A1142,[1]Sheet3!H543:H1142)</f>
        <v>Young Adult</v>
      </c>
      <c r="G210" t="str">
        <f>_xlfn.XLOOKUP(A210,A209:A808,[1]Sheet3!J543:J1142)</f>
        <v>Other</v>
      </c>
      <c r="H210" t="str">
        <f>_xlfn.XLOOKUP(A210,A209:A808,[1]Sheet3!K543:K1142)</f>
        <v>South</v>
      </c>
      <c r="I210" t="str">
        <f>_xlfn.XLOOKUP(A210,A209:A808,[1]Sheet3!L543:L1142)</f>
        <v>Kochi</v>
      </c>
      <c r="J210" t="str">
        <f>_xlfn.XLOOKUP(A210,A209:A808,[1]Sheet3!M543:M1142)</f>
        <v>Electronics</v>
      </c>
      <c r="K210" t="str">
        <f>_xlfn.XLOOKUP('Retail Sales'!A544,'Retail Sales'!A543:A1142,[1]Sheet3!N543:N1142)</f>
        <v>Smartphone</v>
      </c>
      <c r="L210" s="5">
        <f>_xlfn.XLOOKUP(A210,A209:A808,[1]Sheet3!P543:P1142)</f>
        <v>7</v>
      </c>
      <c r="M210" s="7">
        <f>_xlfn.XLOOKUP(A210,A209:A808,[1]Sheet3!Q543:Q1142)</f>
        <v>19882.939999999999</v>
      </c>
      <c r="N210" s="9">
        <f>_xlfn.XLOOKUP(A210,A209:A808,[1]Sheet3!S543:S1142)</f>
        <v>0.28999999999999998</v>
      </c>
      <c r="O210" s="7">
        <f>_xlfn.XLOOKUP(A210,A209:A808,[1]Sheet3!T543:T1142)</f>
        <v>79433.81</v>
      </c>
      <c r="P210" s="7">
        <f>_xlfn.XLOOKUP(A210,A209:A808,[1]Sheet3!U543:U1142)</f>
        <v>8287.36</v>
      </c>
      <c r="Q210" s="11">
        <f>_xlfn.XLOOKUP(A210,A209:A808,[1]Sheet3!V543:V1142)</f>
        <v>0.10433038526038221</v>
      </c>
      <c r="R210" s="7">
        <f>_xlfn.XLOOKUP(A210,A209:A808,[1]Sheet3!W543:W1142)</f>
        <v>61</v>
      </c>
      <c r="S210" t="str">
        <f>_xlfn.XLOOKUP(A210,A209:A808,[1]Sheet3!X543:X1142)</f>
        <v>EMI</v>
      </c>
      <c r="T210" s="5">
        <f>_xlfn.XLOOKUP(A210,A209:A808,[1]Sheet3!Z543:Z1142)</f>
        <v>1</v>
      </c>
      <c r="U210" t="b">
        <f>_xlfn.XLOOKUP(A210,A209:A808,[1]Sheet3!AA543:AA1142)</f>
        <v>0</v>
      </c>
      <c r="V210" t="str">
        <f>_xlfn.XLOOKUP(A210,A209:A808,[1]Sheet3!AC543:AC1142)</f>
        <v>Shipped</v>
      </c>
      <c r="W210" s="5">
        <f>_xlfn.XLOOKUP(A210,A209:A808,[1]Sheet3!AE543:AE1142)</f>
        <v>3</v>
      </c>
    </row>
    <row r="211" spans="1:23" x14ac:dyDescent="0.35">
      <c r="A211" t="s">
        <v>223</v>
      </c>
      <c r="B211" s="1">
        <f>_xlfn.XLOOKUP(A211,A210:A809,[1]Sheet3!C376:C975)</f>
        <v>44516</v>
      </c>
      <c r="C211" t="str">
        <f>_xlfn.XLOOKUP(A211,A210:A809,[1]Sheet3!D376:D975)</f>
        <v>CUST61294</v>
      </c>
      <c r="D211" t="str">
        <f>_xlfn.XLOOKUP(A211,A210:A809,[1]Sheet3!E376:E975)</f>
        <v>Shreya Mishra</v>
      </c>
      <c r="E211" s="5">
        <f>_xlfn.XLOOKUP(A211,A210:A809,[1]Sheet3!G376:G975)</f>
        <v>34.294220665499125</v>
      </c>
      <c r="F211" t="str">
        <f>_xlfn.XLOOKUP('Retail Sales'!A377,'Retail Sales'!A376:A975,[1]Sheet3!H376:H975)</f>
        <v>Young Adult</v>
      </c>
      <c r="G211" t="str">
        <f>_xlfn.XLOOKUP(A211,A210:A809,[1]Sheet3!J376:J975)</f>
        <v>Other</v>
      </c>
      <c r="H211" t="str">
        <f>_xlfn.XLOOKUP(A211,A210:A809,[1]Sheet3!K376:K975)</f>
        <v>North</v>
      </c>
      <c r="I211" t="str">
        <f>_xlfn.XLOOKUP(A211,A210:A809,[1]Sheet3!L376:L975)</f>
        <v>Amritsar</v>
      </c>
      <c r="J211" t="str">
        <f>_xlfn.XLOOKUP(A211,A210:A809,[1]Sheet3!M376:M975)</f>
        <v>Groceries</v>
      </c>
      <c r="K211" t="str">
        <f>_xlfn.XLOOKUP('Retail Sales'!A377,'Retail Sales'!A376:A975,[1]Sheet3!N376:N975)</f>
        <v>Rice (5kg)</v>
      </c>
      <c r="L211" s="5">
        <f>_xlfn.XLOOKUP(A211,A210:A809,[1]Sheet3!P376:P975)</f>
        <v>1</v>
      </c>
      <c r="M211" s="7">
        <f>_xlfn.XLOOKUP(A211,A210:A809,[1]Sheet3!Q376:Q975)</f>
        <v>148.49</v>
      </c>
      <c r="N211" s="9">
        <f>_xlfn.XLOOKUP(A211,A210:A809,[1]Sheet3!S376:S975)</f>
        <v>0.12</v>
      </c>
      <c r="O211" s="7">
        <f>_xlfn.XLOOKUP(A211,A210:A809,[1]Sheet3!T376:T975)</f>
        <v>100.14</v>
      </c>
      <c r="P211" s="7">
        <f>_xlfn.XLOOKUP(A211,A210:A809,[1]Sheet3!U376:U975)</f>
        <v>7.46</v>
      </c>
      <c r="Q211" s="11">
        <f>_xlfn.XLOOKUP(A211,A210:A809,[1]Sheet3!V376:V975)</f>
        <v>7.4495706011583784E-2</v>
      </c>
      <c r="R211" s="7">
        <f>_xlfn.XLOOKUP(A211,A210:A809,[1]Sheet3!W376:W975)</f>
        <v>70.77</v>
      </c>
      <c r="S211" t="str">
        <f>_xlfn.XLOOKUP(A211,A210:A809,[1]Sheet3!X376:X975)</f>
        <v>Credit Card</v>
      </c>
      <c r="T211" s="5">
        <f>_xlfn.XLOOKUP(A211,A210:A809,[1]Sheet3!Z376:Z975)</f>
        <v>1</v>
      </c>
      <c r="U211" t="b">
        <f>_xlfn.XLOOKUP(A211,A210:A809,[1]Sheet3!AA376:AA975)</f>
        <v>0</v>
      </c>
      <c r="V211" t="str">
        <f>_xlfn.XLOOKUP(A211,A210:A809,[1]Sheet3!AC376:AC975)</f>
        <v>Delivered</v>
      </c>
      <c r="W211" s="5">
        <f>_xlfn.XLOOKUP(A211,A210:A809,[1]Sheet3!AE376:AE975)</f>
        <v>9</v>
      </c>
    </row>
    <row r="212" spans="1:23" x14ac:dyDescent="0.35">
      <c r="A212" t="s">
        <v>86</v>
      </c>
      <c r="B212" s="1">
        <f>_xlfn.XLOOKUP(A212,A211:A810,[1]Sheet3!C513:C1112)</f>
        <v>44517</v>
      </c>
      <c r="C212" t="str">
        <f>_xlfn.XLOOKUP(A212,A211:A810,[1]Sheet3!D513:D1112)</f>
        <v>CUST25719</v>
      </c>
      <c r="D212" t="str">
        <f>_xlfn.XLOOKUP(A212,A211:A810,[1]Sheet3!E513:E1112)</f>
        <v>Nikhil Chatterjee</v>
      </c>
      <c r="E212" s="5">
        <f>_xlfn.XLOOKUP(A212,A211:A810,[1]Sheet3!G513:G1112)</f>
        <v>42</v>
      </c>
      <c r="F212" t="str">
        <f>_xlfn.XLOOKUP('Retail Sales'!A514,'Retail Sales'!A513:A1112,[1]Sheet3!H513:H1112)</f>
        <v>Adult</v>
      </c>
      <c r="G212" t="str">
        <f>_xlfn.XLOOKUP(A212,A211:A810,[1]Sheet3!J513:J1112)</f>
        <v>Other</v>
      </c>
      <c r="H212" t="str">
        <f>_xlfn.XLOOKUP(A212,A211:A810,[1]Sheet3!K513:K1112)</f>
        <v>North</v>
      </c>
      <c r="I212" t="str">
        <f>_xlfn.XLOOKUP(A212,A211:A810,[1]Sheet3!L513:L1112)</f>
        <v>Ludhiana</v>
      </c>
      <c r="J212" t="str">
        <f>_xlfn.XLOOKUP(A212,A211:A810,[1]Sheet3!M513:M1112)</f>
        <v>Groceries</v>
      </c>
      <c r="K212" t="str">
        <f>_xlfn.XLOOKUP('Retail Sales'!A514,'Retail Sales'!A513:A1112,[1]Sheet3!N513:N1112)</f>
        <v>Tea</v>
      </c>
      <c r="L212" s="5">
        <f>_xlfn.XLOOKUP(A212,A211:A810,[1]Sheet3!P513:P1112)</f>
        <v>3</v>
      </c>
      <c r="M212" s="7">
        <f>_xlfn.XLOOKUP(A212,A211:A810,[1]Sheet3!Q513:Q1112)</f>
        <v>308.05</v>
      </c>
      <c r="N212" s="9">
        <f>_xlfn.XLOOKUP(A212,A211:A810,[1]Sheet3!S513:S1112)</f>
        <v>0.19</v>
      </c>
      <c r="O212" s="7">
        <f>_xlfn.XLOOKUP(A212,A211:A810,[1]Sheet3!T513:T1112)</f>
        <v>531.13</v>
      </c>
      <c r="P212" s="7">
        <f>_xlfn.XLOOKUP(A212,A211:A810,[1]Sheet3!U513:U1112)</f>
        <v>41.25</v>
      </c>
      <c r="Q212" s="11">
        <f>_xlfn.XLOOKUP(A212,A211:A810,[1]Sheet3!V513:V1112)</f>
        <v>7.7664601886543783E-2</v>
      </c>
      <c r="R212" s="7">
        <f>_xlfn.XLOOKUP(A212,A211:A810,[1]Sheet3!W513:W1112)</f>
        <v>45.78</v>
      </c>
      <c r="S212" t="str">
        <f>_xlfn.XLOOKUP(A212,A211:A810,[1]Sheet3!X513:X1112)</f>
        <v>Cash on Delivery</v>
      </c>
      <c r="T212" s="5">
        <f>_xlfn.XLOOKUP(A212,A211:A810,[1]Sheet3!Z513:Z1112)</f>
        <v>3</v>
      </c>
      <c r="U212" t="b">
        <f>_xlfn.XLOOKUP(A212,A211:A810,[1]Sheet3!AA513:AA1112)</f>
        <v>0</v>
      </c>
      <c r="V212" t="str">
        <f>_xlfn.XLOOKUP(A212,A211:A810,[1]Sheet3!AC513:AC1112)</f>
        <v>Delivered</v>
      </c>
      <c r="W212" s="5">
        <f>_xlfn.XLOOKUP(A212,A211:A810,[1]Sheet3!AE513:AE1112)</f>
        <v>2</v>
      </c>
    </row>
    <row r="213" spans="1:23" x14ac:dyDescent="0.35">
      <c r="A213" t="s">
        <v>447</v>
      </c>
      <c r="B213" s="1">
        <f>_xlfn.XLOOKUP(A213,A212:A811,[1]Sheet3!C152:C751)</f>
        <v>44519</v>
      </c>
      <c r="C213" t="str">
        <f>_xlfn.XLOOKUP(A213,A212:A811,[1]Sheet3!D152:D751)</f>
        <v>CUST92130</v>
      </c>
      <c r="D213" t="str">
        <f>_xlfn.XLOOKUP(A213,A212:A811,[1]Sheet3!E152:E751)</f>
        <v>Sunita Shah</v>
      </c>
      <c r="E213" s="5">
        <f>_xlfn.XLOOKUP(A213,A212:A811,[1]Sheet3!G152:G751)</f>
        <v>34.294220665499125</v>
      </c>
      <c r="F213" t="str">
        <f>_xlfn.XLOOKUP('Retail Sales'!A153,'Retail Sales'!A152:A751,[1]Sheet3!H152:H751)</f>
        <v>Young Adult</v>
      </c>
      <c r="G213" t="str">
        <f>_xlfn.XLOOKUP(A213,A212:A811,[1]Sheet3!J152:J751)</f>
        <v>Other</v>
      </c>
      <c r="H213" t="str">
        <f>_xlfn.XLOOKUP(A213,A212:A811,[1]Sheet3!K152:K751)</f>
        <v>Central</v>
      </c>
      <c r="I213" t="str">
        <f>_xlfn.XLOOKUP(A213,A212:A811,[1]Sheet3!L152:L751)</f>
        <v>Nagpur</v>
      </c>
      <c r="J213" t="str">
        <f>_xlfn.XLOOKUP(A213,A212:A811,[1]Sheet3!M152:M751)</f>
        <v>Furniture</v>
      </c>
      <c r="K213" t="str">
        <f>_xlfn.XLOOKUP('Retail Sales'!A153,'Retail Sales'!A152:A751,[1]Sheet3!N152:N751)</f>
        <v>Chair</v>
      </c>
      <c r="L213" s="5">
        <f>_xlfn.XLOOKUP(A213,A212:A811,[1]Sheet3!P152:P751)</f>
        <v>5</v>
      </c>
      <c r="M213" s="7">
        <f>_xlfn.XLOOKUP(A213,A212:A811,[1]Sheet3!Q152:Q751)</f>
        <v>9804.75</v>
      </c>
      <c r="N213" s="9">
        <f>_xlfn.XLOOKUP(A213,A212:A811,[1]Sheet3!S152:S751)</f>
        <v>0.09</v>
      </c>
      <c r="O213" s="7">
        <f>_xlfn.XLOOKUP(A213,A212:A811,[1]Sheet3!T152:T751)</f>
        <v>36117.01</v>
      </c>
      <c r="P213" s="7">
        <f>_xlfn.XLOOKUP(A213,A212:A811,[1]Sheet3!U152:U751)</f>
        <v>8077.49</v>
      </c>
      <c r="Q213" s="11">
        <f>_xlfn.XLOOKUP(A213,A212:A811,[1]Sheet3!V152:V751)</f>
        <v>0.22364780473245152</v>
      </c>
      <c r="R213" s="7">
        <f>_xlfn.XLOOKUP(A213,A212:A811,[1]Sheet3!W152:W751)</f>
        <v>70.12</v>
      </c>
      <c r="S213" t="str">
        <f>_xlfn.XLOOKUP(A213,A212:A811,[1]Sheet3!X152:X751)</f>
        <v>UPI</v>
      </c>
      <c r="T213" s="5">
        <f>_xlfn.XLOOKUP(A213,A212:A811,[1]Sheet3!Z152:Z751)</f>
        <v>1</v>
      </c>
      <c r="U213" t="b">
        <f>_xlfn.XLOOKUP(A213,A212:A811,[1]Sheet3!AA152:AA751)</f>
        <v>0</v>
      </c>
      <c r="V213" t="str">
        <f>_xlfn.XLOOKUP(A213,A212:A811,[1]Sheet3!AC152:AC751)</f>
        <v>Delivered</v>
      </c>
      <c r="W213" s="5">
        <f>_xlfn.XLOOKUP(A213,A212:A811,[1]Sheet3!AE152:AE751)</f>
        <v>5</v>
      </c>
    </row>
    <row r="214" spans="1:23" x14ac:dyDescent="0.35">
      <c r="A214" t="s">
        <v>423</v>
      </c>
      <c r="B214" s="1">
        <f>_xlfn.XLOOKUP(A214,A213:A812,[1]Sheet3!C176:C775)</f>
        <v>44520</v>
      </c>
      <c r="C214" t="str">
        <f>_xlfn.XLOOKUP(A214,A213:A812,[1]Sheet3!D176:D775)</f>
        <v>CUST55972</v>
      </c>
      <c r="D214" t="str">
        <f>_xlfn.XLOOKUP(A214,A213:A812,[1]Sheet3!E176:E775)</f>
        <v>Rohan Kumar</v>
      </c>
      <c r="E214" s="5">
        <f>_xlfn.XLOOKUP(A214,A213:A812,[1]Sheet3!G176:G775)</f>
        <v>47</v>
      </c>
      <c r="F214" t="str">
        <f>_xlfn.XLOOKUP('Retail Sales'!A177,'Retail Sales'!A176:A775,[1]Sheet3!H176:H775)</f>
        <v>Adult</v>
      </c>
      <c r="G214" t="str">
        <f>_xlfn.XLOOKUP(A214,A213:A812,[1]Sheet3!J176:J775)</f>
        <v>Male</v>
      </c>
      <c r="H214" t="str">
        <f>_xlfn.XLOOKUP(A214,A213:A812,[1]Sheet3!K176:K775)</f>
        <v>West</v>
      </c>
      <c r="I214" t="str">
        <f>_xlfn.XLOOKUP(A214,A213:A812,[1]Sheet3!L176:L775)</f>
        <v>Surat</v>
      </c>
      <c r="J214" t="str">
        <f>_xlfn.XLOOKUP(A214,A213:A812,[1]Sheet3!M176:M775)</f>
        <v>Clothing</v>
      </c>
      <c r="K214" t="str">
        <f>_xlfn.XLOOKUP('Retail Sales'!A177,'Retail Sales'!A176:A775,[1]Sheet3!N176:N775)</f>
        <v>Kurta</v>
      </c>
      <c r="L214" s="5">
        <f>_xlfn.XLOOKUP(A214,A213:A812,[1]Sheet3!P176:P775)</f>
        <v>10</v>
      </c>
      <c r="M214" s="7">
        <f>_xlfn.XLOOKUP(A214,A213:A812,[1]Sheet3!Q176:Q775)</f>
        <v>1224.47</v>
      </c>
      <c r="N214" s="9">
        <f>_xlfn.XLOOKUP(A214,A213:A812,[1]Sheet3!S176:S775)</f>
        <v>0.4</v>
      </c>
      <c r="O214" s="7">
        <f>_xlfn.XLOOKUP(A214,A213:A812,[1]Sheet3!T176:T775)</f>
        <v>5546.22</v>
      </c>
      <c r="P214" s="7">
        <f>_xlfn.XLOOKUP(A214,A213:A812,[1]Sheet3!U176:U775)</f>
        <v>2019.44</v>
      </c>
      <c r="Q214" s="11">
        <f>_xlfn.XLOOKUP(A214,A213:A812,[1]Sheet3!V176:V775)</f>
        <v>0.36411105221213724</v>
      </c>
      <c r="R214" s="7">
        <f>_xlfn.XLOOKUP(A214,A213:A812,[1]Sheet3!W176:W775)</f>
        <v>52.99</v>
      </c>
      <c r="S214" t="str">
        <f>_xlfn.XLOOKUP(A214,A213:A812,[1]Sheet3!X176:X775)</f>
        <v>Debit Card</v>
      </c>
      <c r="T214" s="5">
        <f>_xlfn.XLOOKUP(A214,A213:A812,[1]Sheet3!Z176:Z775)</f>
        <v>1</v>
      </c>
      <c r="U214" t="b">
        <f>_xlfn.XLOOKUP(A214,A213:A812,[1]Sheet3!AA176:AA775)</f>
        <v>0</v>
      </c>
      <c r="V214" t="str">
        <f>_xlfn.XLOOKUP(A214,A213:A812,[1]Sheet3!AC176:AC775)</f>
        <v>Delivered</v>
      </c>
      <c r="W214" s="5">
        <f>_xlfn.XLOOKUP(A214,A213:A812,[1]Sheet3!AE176:AE775)</f>
        <v>6</v>
      </c>
    </row>
    <row r="215" spans="1:23" x14ac:dyDescent="0.35">
      <c r="A215" t="s">
        <v>416</v>
      </c>
      <c r="B215" s="1">
        <f>_xlfn.XLOOKUP(A215,A214:A813,[1]Sheet3!C183:C782)</f>
        <v>44520</v>
      </c>
      <c r="C215" t="str">
        <f>_xlfn.XLOOKUP(A215,A214:A813,[1]Sheet3!D183:D782)</f>
        <v>CUST28110</v>
      </c>
      <c r="D215" t="str">
        <f>_xlfn.XLOOKUP(A215,A214:A813,[1]Sheet3!E183:E782)</f>
        <v>Kavya Rao</v>
      </c>
      <c r="E215" s="5">
        <f>_xlfn.XLOOKUP(A215,A214:A813,[1]Sheet3!G183:G782)</f>
        <v>28</v>
      </c>
      <c r="F215" t="str">
        <f>_xlfn.XLOOKUP('Retail Sales'!A184,'Retail Sales'!A183:A782,[1]Sheet3!H183:H782)</f>
        <v>Young Adult</v>
      </c>
      <c r="G215" t="str">
        <f>_xlfn.XLOOKUP(A215,A214:A813,[1]Sheet3!J183:J782)</f>
        <v>Male</v>
      </c>
      <c r="H215" t="str">
        <f>_xlfn.XLOOKUP(A215,A214:A813,[1]Sheet3!K183:K782)</f>
        <v>North</v>
      </c>
      <c r="I215" t="str">
        <f>_xlfn.XLOOKUP(A215,A214:A813,[1]Sheet3!L183:L782)</f>
        <v>Delhi</v>
      </c>
      <c r="J215" t="str">
        <f>_xlfn.XLOOKUP(A215,A214:A813,[1]Sheet3!M183:M782)</f>
        <v>Clothing</v>
      </c>
      <c r="K215" t="str">
        <f>_xlfn.XLOOKUP('Retail Sales'!A184,'Retail Sales'!A183:A782,[1]Sheet3!N183:N782)</f>
        <v>Jeans</v>
      </c>
      <c r="L215" s="5">
        <f>_xlfn.XLOOKUP(A215,A214:A813,[1]Sheet3!P183:P782)</f>
        <v>9</v>
      </c>
      <c r="M215" s="7">
        <f>_xlfn.XLOOKUP(A215,A214:A813,[1]Sheet3!Q183:Q782)</f>
        <v>577.16</v>
      </c>
      <c r="N215" s="9">
        <f>_xlfn.XLOOKUP(A215,A214:A813,[1]Sheet3!S183:S782)</f>
        <v>0.35</v>
      </c>
      <c r="O215" s="7">
        <f>_xlfn.XLOOKUP(A215,A214:A813,[1]Sheet3!T183:T782)</f>
        <v>2706.28</v>
      </c>
      <c r="P215" s="7">
        <f>_xlfn.XLOOKUP(A215,A214:A813,[1]Sheet3!U183:U782)</f>
        <v>896.42</v>
      </c>
      <c r="Q215" s="11">
        <f>_xlfn.XLOOKUP(A215,A214:A813,[1]Sheet3!V183:V782)</f>
        <v>0.33123697474023378</v>
      </c>
      <c r="R215" s="7">
        <f>_xlfn.XLOOKUP(A215,A214:A813,[1]Sheet3!W183:W782)</f>
        <v>45.41</v>
      </c>
      <c r="S215" t="str">
        <f>_xlfn.XLOOKUP(A215,A214:A813,[1]Sheet3!X183:X782)</f>
        <v>UPI</v>
      </c>
      <c r="T215" s="5">
        <f>_xlfn.XLOOKUP(A215,A214:A813,[1]Sheet3!Z183:Z782)</f>
        <v>3</v>
      </c>
      <c r="U215" t="b">
        <f>_xlfn.XLOOKUP(A215,A214:A813,[1]Sheet3!AA183:AA782)</f>
        <v>1</v>
      </c>
      <c r="V215" t="str">
        <f>_xlfn.XLOOKUP(A215,A214:A813,[1]Sheet3!AC183:AC782)</f>
        <v>Returned</v>
      </c>
      <c r="W215" s="5">
        <f>_xlfn.XLOOKUP(A215,A214:A813,[1]Sheet3!AE183:AE782)</f>
        <v>2</v>
      </c>
    </row>
    <row r="216" spans="1:23" x14ac:dyDescent="0.35">
      <c r="A216" t="s">
        <v>88</v>
      </c>
      <c r="B216" s="1">
        <f>_xlfn.XLOOKUP(A216,A215:A814,[1]Sheet3!C511:C1110)</f>
        <v>44523</v>
      </c>
      <c r="C216" t="str">
        <f>_xlfn.XLOOKUP(A216,A215:A814,[1]Sheet3!D511:D1110)</f>
        <v>CUST03481</v>
      </c>
      <c r="D216" t="str">
        <f>_xlfn.XLOOKUP(A216,A215:A814,[1]Sheet3!E511:E1110)</f>
        <v>Rahul Mishra</v>
      </c>
      <c r="E216" s="5">
        <f>_xlfn.XLOOKUP(A216,A215:A814,[1]Sheet3!G511:G1110)</f>
        <v>23</v>
      </c>
      <c r="F216" t="str">
        <f>_xlfn.XLOOKUP('Retail Sales'!A512,'Retail Sales'!A511:A1110,[1]Sheet3!H511:H1110)</f>
        <v>Young Adult</v>
      </c>
      <c r="G216" t="str">
        <f>_xlfn.XLOOKUP(A216,A215:A814,[1]Sheet3!J511:J1110)</f>
        <v>Male</v>
      </c>
      <c r="H216" t="str">
        <f>_xlfn.XLOOKUP(A216,A215:A814,[1]Sheet3!K511:K1110)</f>
        <v>South</v>
      </c>
      <c r="I216" t="str">
        <f>_xlfn.XLOOKUP(A216,A215:A814,[1]Sheet3!L511:L1110)</f>
        <v>Chennai</v>
      </c>
      <c r="J216" t="str">
        <f>_xlfn.XLOOKUP(A216,A215:A814,[1]Sheet3!M511:M1110)</f>
        <v>Furniture</v>
      </c>
      <c r="K216" t="str">
        <f>_xlfn.XLOOKUP('Retail Sales'!A512,'Retail Sales'!A511:A1110,[1]Sheet3!N511:N1110)</f>
        <v>Bed Frame</v>
      </c>
      <c r="L216" s="5">
        <f>_xlfn.XLOOKUP(A216,A215:A814,[1]Sheet3!P511:P1110)</f>
        <v>7</v>
      </c>
      <c r="M216" s="7">
        <f>_xlfn.XLOOKUP(A216,A215:A814,[1]Sheet3!Q511:Q1110)</f>
        <v>32709.32</v>
      </c>
      <c r="N216" s="9">
        <f>_xlfn.XLOOKUP(A216,A215:A814,[1]Sheet3!S511:S1110)</f>
        <v>0.15</v>
      </c>
      <c r="O216" s="7">
        <f>_xlfn.XLOOKUP(A216,A215:A814,[1]Sheet3!T511:T1110)</f>
        <v>154037.82999999999</v>
      </c>
      <c r="P216" s="7">
        <f>_xlfn.XLOOKUP(A216,A215:A814,[1]Sheet3!U511:U1110)</f>
        <v>40170.160000000003</v>
      </c>
      <c r="Q216" s="11">
        <f>_xlfn.XLOOKUP(A216,A215:A814,[1]Sheet3!V511:V1110)</f>
        <v>0.26078113408894432</v>
      </c>
      <c r="R216" s="7">
        <f>_xlfn.XLOOKUP(A216,A215:A814,[1]Sheet3!W511:W1110)</f>
        <v>86.06</v>
      </c>
      <c r="S216" t="str">
        <f>_xlfn.XLOOKUP(A216,A215:A814,[1]Sheet3!X511:X1110)</f>
        <v>Cash on Delivery</v>
      </c>
      <c r="T216" s="5">
        <f>_xlfn.XLOOKUP(A216,A215:A814,[1]Sheet3!Z511:Z1110)</f>
        <v>2</v>
      </c>
      <c r="U216" t="b">
        <f>_xlfn.XLOOKUP(A216,A215:A814,[1]Sheet3!AA511:AA1110)</f>
        <v>0</v>
      </c>
      <c r="V216" t="str">
        <f>_xlfn.XLOOKUP(A216,A215:A814,[1]Sheet3!AC511:AC1110)</f>
        <v>Delivered</v>
      </c>
      <c r="W216" s="5">
        <f>_xlfn.XLOOKUP(A216,A215:A814,[1]Sheet3!AE511:AE1110)</f>
        <v>1</v>
      </c>
    </row>
    <row r="217" spans="1:23" x14ac:dyDescent="0.35">
      <c r="A217" t="s">
        <v>139</v>
      </c>
      <c r="B217" s="1">
        <f>_xlfn.XLOOKUP(A217,A216:A815,[1]Sheet3!C460:C1059)</f>
        <v>44529</v>
      </c>
      <c r="C217" t="str">
        <f>_xlfn.XLOOKUP(A217,A216:A815,[1]Sheet3!D460:D1059)</f>
        <v>CUST23869</v>
      </c>
      <c r="D217" t="str">
        <f>_xlfn.XLOOKUP(A217,A216:A815,[1]Sheet3!E460:E1059)</f>
        <v>Amit Reddy</v>
      </c>
      <c r="E217" s="5">
        <f>_xlfn.XLOOKUP(A217,A216:A815,[1]Sheet3!G460:G1059)</f>
        <v>54</v>
      </c>
      <c r="F217" t="str">
        <f>_xlfn.XLOOKUP('Retail Sales'!A461,'Retail Sales'!A460:A1059,[1]Sheet3!H460:H1059)</f>
        <v>Senior</v>
      </c>
      <c r="G217" t="str">
        <f>_xlfn.XLOOKUP(A217,A216:A815,[1]Sheet3!J460:J1059)</f>
        <v>Other</v>
      </c>
      <c r="H217" t="str">
        <f>_xlfn.XLOOKUP(A217,A216:A815,[1]Sheet3!K460:K1059)</f>
        <v>South</v>
      </c>
      <c r="I217" t="str">
        <f>_xlfn.XLOOKUP(A217,A216:A815,[1]Sheet3!L460:L1059)</f>
        <v>Bangalore</v>
      </c>
      <c r="J217" t="str">
        <f>_xlfn.XLOOKUP(A217,A216:A815,[1]Sheet3!M460:M1059)</f>
        <v>Books</v>
      </c>
      <c r="K217" t="str">
        <f>_xlfn.XLOOKUP('Retail Sales'!A461,'Retail Sales'!A460:A1059,[1]Sheet3!N460:N1059)</f>
        <v>Fiction Novel</v>
      </c>
      <c r="L217" s="5">
        <f>_xlfn.XLOOKUP(A217,A216:A815,[1]Sheet3!P460:P1059)</f>
        <v>3</v>
      </c>
      <c r="M217" s="7">
        <f>_xlfn.XLOOKUP(A217,A216:A815,[1]Sheet3!Q460:Q1059)</f>
        <v>789.1</v>
      </c>
      <c r="N217" s="9">
        <f>_xlfn.XLOOKUP(A217,A216:A815,[1]Sheet3!S460:S1059)</f>
        <v>0.18</v>
      </c>
      <c r="O217" s="7">
        <f>_xlfn.XLOOKUP(A217,A216:A815,[1]Sheet3!T460:T1059)</f>
        <v>1449.86</v>
      </c>
      <c r="P217" s="7">
        <f>_xlfn.XLOOKUP(A217,A216:A815,[1]Sheet3!U460:U1059)</f>
        <v>562.04</v>
      </c>
      <c r="Q217" s="11">
        <f>_xlfn.XLOOKUP(A217,A216:A815,[1]Sheet3!V460:V1059)</f>
        <v>0.38765122149724801</v>
      </c>
      <c r="R217" s="7">
        <f>_xlfn.XLOOKUP(A217,A216:A815,[1]Sheet3!W460:W1059)</f>
        <v>72.430000000000007</v>
      </c>
      <c r="S217" t="str">
        <f>_xlfn.XLOOKUP(A217,A216:A815,[1]Sheet3!X460:X1059)</f>
        <v>UPI</v>
      </c>
      <c r="T217" s="5">
        <f>_xlfn.XLOOKUP(A217,A216:A815,[1]Sheet3!Z460:Z1059)</f>
        <v>3</v>
      </c>
      <c r="U217" t="b">
        <f>_xlfn.XLOOKUP(A217,A216:A815,[1]Sheet3!AA460:AA1059)</f>
        <v>0</v>
      </c>
      <c r="V217" t="str">
        <f>_xlfn.XLOOKUP(A217,A216:A815,[1]Sheet3!AC460:AC1059)</f>
        <v>Cancelled</v>
      </c>
      <c r="W217" s="5">
        <f>_xlfn.XLOOKUP(A217,A216:A815,[1]Sheet3!AE460:AE1059)</f>
        <v>2</v>
      </c>
    </row>
    <row r="218" spans="1:23" x14ac:dyDescent="0.35">
      <c r="A218" t="s">
        <v>362</v>
      </c>
      <c r="B218" s="1">
        <f>_xlfn.XLOOKUP(A218,A217:A816,[1]Sheet3!C237:C836)</f>
        <v>44532</v>
      </c>
      <c r="C218" t="str">
        <f>_xlfn.XLOOKUP(A218,A217:A816,[1]Sheet3!D237:D836)</f>
        <v>CUST42665</v>
      </c>
      <c r="D218" t="str">
        <f>_xlfn.XLOOKUP(A218,A217:A816,[1]Sheet3!E237:E836)</f>
        <v>Shreya Chatterjee</v>
      </c>
      <c r="E218" s="5">
        <f>_xlfn.XLOOKUP(A218,A217:A816,[1]Sheet3!G237:G836)</f>
        <v>24</v>
      </c>
      <c r="F218" t="str">
        <f>_xlfn.XLOOKUP('Retail Sales'!A238,'Retail Sales'!A237:A836,[1]Sheet3!H237:H836)</f>
        <v>Young Adult</v>
      </c>
      <c r="G218" t="str">
        <f>_xlfn.XLOOKUP(A218,A217:A816,[1]Sheet3!J237:J836)</f>
        <v>Male</v>
      </c>
      <c r="H218" t="str">
        <f>_xlfn.XLOOKUP(A218,A217:A816,[1]Sheet3!K237:K836)</f>
        <v>South</v>
      </c>
      <c r="I218" t="str">
        <f>_xlfn.XLOOKUP(A218,A217:A816,[1]Sheet3!L237:L836)</f>
        <v>Kochi</v>
      </c>
      <c r="J218" t="str">
        <f>_xlfn.XLOOKUP(A218,A217:A816,[1]Sheet3!M237:M836)</f>
        <v>Groceries</v>
      </c>
      <c r="K218" t="str">
        <f>_xlfn.XLOOKUP('Retail Sales'!A238,'Retail Sales'!A237:A836,[1]Sheet3!N237:N836)</f>
        <v>Rice (5kg)</v>
      </c>
      <c r="L218" s="5">
        <f>_xlfn.XLOOKUP(A218,A217:A816,[1]Sheet3!P237:P836)</f>
        <v>1</v>
      </c>
      <c r="M218" s="7">
        <f>_xlfn.XLOOKUP(A218,A217:A816,[1]Sheet3!Q237:Q836)</f>
        <v>359.04</v>
      </c>
      <c r="N218" s="9">
        <f>_xlfn.XLOOKUP(A218,A217:A816,[1]Sheet3!S237:S836)</f>
        <v>0.01</v>
      </c>
      <c r="O218" s="7">
        <f>_xlfn.XLOOKUP(A218,A217:A816,[1]Sheet3!T237:T836)</f>
        <v>276.45999999999998</v>
      </c>
      <c r="P218" s="7">
        <f>_xlfn.XLOOKUP(A218,A217:A816,[1]Sheet3!U237:U836)</f>
        <v>18.11</v>
      </c>
      <c r="Q218" s="11">
        <f>_xlfn.XLOOKUP(A218,A217:A816,[1]Sheet3!V237:V836)</f>
        <v>6.5506764088837446E-2</v>
      </c>
      <c r="R218" s="7">
        <f>_xlfn.XLOOKUP(A218,A217:A816,[1]Sheet3!W237:W836)</f>
        <v>72.66</v>
      </c>
      <c r="S218" t="str">
        <f>_xlfn.XLOOKUP(A218,A217:A816,[1]Sheet3!X237:X836)</f>
        <v>Cash on Delivery</v>
      </c>
      <c r="T218" s="5">
        <f>_xlfn.XLOOKUP(A218,A217:A816,[1]Sheet3!Z237:Z836)</f>
        <v>3</v>
      </c>
      <c r="U218" t="b">
        <f>_xlfn.XLOOKUP(A218,A217:A816,[1]Sheet3!AA237:AA836)</f>
        <v>0</v>
      </c>
      <c r="V218" t="str">
        <f>_xlfn.XLOOKUP(A218,A217:A816,[1]Sheet3!AC237:AC836)</f>
        <v>Delivered</v>
      </c>
      <c r="W218" s="5">
        <f>_xlfn.XLOOKUP(A218,A217:A816,[1]Sheet3!AE237:AE836)</f>
        <v>10</v>
      </c>
    </row>
    <row r="219" spans="1:23" x14ac:dyDescent="0.35">
      <c r="A219" t="s">
        <v>463</v>
      </c>
      <c r="B219" s="1">
        <f>_xlfn.XLOOKUP(A219,A218:A817,[1]Sheet3!C136:C735)</f>
        <v>44539</v>
      </c>
      <c r="C219" t="str">
        <f>_xlfn.XLOOKUP(A219,A218:A817,[1]Sheet3!D136:D735)</f>
        <v>CUST51398</v>
      </c>
      <c r="D219" t="str">
        <f>_xlfn.XLOOKUP(A219,A218:A817,[1]Sheet3!E136:E735)</f>
        <v>Karan Bose</v>
      </c>
      <c r="E219" s="5">
        <f>_xlfn.XLOOKUP(A219,A218:A817,[1]Sheet3!G136:G735)</f>
        <v>36</v>
      </c>
      <c r="F219" t="str">
        <f>_xlfn.XLOOKUP('Retail Sales'!A137,'Retail Sales'!A136:A735,[1]Sheet3!H136:H735)</f>
        <v>Adult</v>
      </c>
      <c r="G219" t="str">
        <f>_xlfn.XLOOKUP(A219,A218:A817,[1]Sheet3!J136:J735)</f>
        <v>Female</v>
      </c>
      <c r="H219" t="str">
        <f>_xlfn.XLOOKUP(A219,A218:A817,[1]Sheet3!K136:K735)</f>
        <v>North</v>
      </c>
      <c r="I219" t="str">
        <f>_xlfn.XLOOKUP(A219,A218:A817,[1]Sheet3!L136:L735)</f>
        <v>Delhi</v>
      </c>
      <c r="J219" t="str">
        <f>_xlfn.XLOOKUP(A219,A218:A817,[1]Sheet3!M136:M735)</f>
        <v>Books</v>
      </c>
      <c r="K219" t="str">
        <f>_xlfn.XLOOKUP('Retail Sales'!A137,'Retail Sales'!A136:A735,[1]Sheet3!N136:N735)</f>
        <v>Self-Help Book</v>
      </c>
      <c r="L219" s="5">
        <f>_xlfn.XLOOKUP(A219,A218:A817,[1]Sheet3!P136:P735)</f>
        <v>3</v>
      </c>
      <c r="M219" s="7">
        <f>_xlfn.XLOOKUP(A219,A218:A817,[1]Sheet3!Q136:Q735)</f>
        <v>586.88</v>
      </c>
      <c r="N219" s="9">
        <f>_xlfn.XLOOKUP(A219,A218:A817,[1]Sheet3!S136:S735)</f>
        <v>0.33</v>
      </c>
      <c r="O219" s="7">
        <f>_xlfn.XLOOKUP(A219,A218:A817,[1]Sheet3!T136:T735)</f>
        <v>916.67</v>
      </c>
      <c r="P219" s="7">
        <f>_xlfn.XLOOKUP(A219,A218:A817,[1]Sheet3!U136:U735)</f>
        <v>373.51</v>
      </c>
      <c r="Q219" s="11">
        <f>_xlfn.XLOOKUP(A219,A218:A817,[1]Sheet3!V136:V735)</f>
        <v>0.40746397285828051</v>
      </c>
      <c r="R219" s="7">
        <f>_xlfn.XLOOKUP(A219,A218:A817,[1]Sheet3!W136:W735)</f>
        <v>36.450000000000003</v>
      </c>
      <c r="S219" t="str">
        <f>_xlfn.XLOOKUP(A219,A218:A817,[1]Sheet3!X136:X735)</f>
        <v>EMI</v>
      </c>
      <c r="T219" s="5">
        <f>_xlfn.XLOOKUP(A219,A218:A817,[1]Sheet3!Z136:Z735)</f>
        <v>4</v>
      </c>
      <c r="U219" t="b">
        <f>_xlfn.XLOOKUP(A219,A218:A817,[1]Sheet3!AA136:AA735)</f>
        <v>0</v>
      </c>
      <c r="V219" t="str">
        <f>_xlfn.XLOOKUP(A219,A218:A817,[1]Sheet3!AC136:AC735)</f>
        <v>Delivered</v>
      </c>
      <c r="W219" s="5">
        <f>_xlfn.XLOOKUP(A219,A218:A817,[1]Sheet3!AE136:AE735)</f>
        <v>1</v>
      </c>
    </row>
    <row r="220" spans="1:23" x14ac:dyDescent="0.35">
      <c r="A220" t="s">
        <v>238</v>
      </c>
      <c r="B220" s="1">
        <f>_xlfn.XLOOKUP(A220,A219:A818,[1]Sheet3!C361:C960)</f>
        <v>44543</v>
      </c>
      <c r="C220" t="str">
        <f>_xlfn.XLOOKUP(A220,A219:A818,[1]Sheet3!D361:D960)</f>
        <v>CUST89482</v>
      </c>
      <c r="D220" t="str">
        <f>_xlfn.XLOOKUP(A220,A219:A818,[1]Sheet3!E361:E960)</f>
        <v>Nisha Chatterjee</v>
      </c>
      <c r="E220" s="5">
        <f>_xlfn.XLOOKUP(A220,A219:A818,[1]Sheet3!G361:G960)</f>
        <v>38</v>
      </c>
      <c r="F220" t="str">
        <f>_xlfn.XLOOKUP('Retail Sales'!A362,'Retail Sales'!A361:A960,[1]Sheet3!H361:H960)</f>
        <v>Adult</v>
      </c>
      <c r="G220" t="str">
        <f>_xlfn.XLOOKUP(A220,A219:A818,[1]Sheet3!J361:J960)</f>
        <v>Male</v>
      </c>
      <c r="H220" t="str">
        <f>_xlfn.XLOOKUP(A220,A219:A818,[1]Sheet3!K361:K960)</f>
        <v>South</v>
      </c>
      <c r="I220" t="str">
        <f>_xlfn.XLOOKUP(A220,A219:A818,[1]Sheet3!L361:L960)</f>
        <v>Kochi</v>
      </c>
      <c r="J220" t="str">
        <f>_xlfn.XLOOKUP(A220,A219:A818,[1]Sheet3!M361:M960)</f>
        <v>Books</v>
      </c>
      <c r="K220" t="str">
        <f>_xlfn.XLOOKUP('Retail Sales'!A362,'Retail Sales'!A361:A960,[1]Sheet3!N361:N960)</f>
        <v>Self-Help Book</v>
      </c>
      <c r="L220" s="5">
        <f>_xlfn.XLOOKUP(A220,A219:A818,[1]Sheet3!P361:P960)</f>
        <v>7</v>
      </c>
      <c r="M220" s="7">
        <f>_xlfn.XLOOKUP(A220,A219:A818,[1]Sheet3!Q361:Q960)</f>
        <v>233.11</v>
      </c>
      <c r="N220" s="9">
        <f>_xlfn.XLOOKUP(A220,A219:A818,[1]Sheet3!S361:S960)</f>
        <v>0.36</v>
      </c>
      <c r="O220" s="7">
        <f>_xlfn.XLOOKUP(A220,A219:A818,[1]Sheet3!T361:T960)</f>
        <v>762.89</v>
      </c>
      <c r="P220" s="7">
        <f>_xlfn.XLOOKUP(A220,A219:A818,[1]Sheet3!U361:U960)</f>
        <v>271.36</v>
      </c>
      <c r="Q220" s="11">
        <f>_xlfn.XLOOKUP(A220,A219:A818,[1]Sheet3!V361:V960)</f>
        <v>0.35570003539173412</v>
      </c>
      <c r="R220" s="7">
        <f>_xlfn.XLOOKUP(A220,A219:A818,[1]Sheet3!W361:W960)</f>
        <v>71.2</v>
      </c>
      <c r="S220" t="str">
        <f>_xlfn.XLOOKUP(A220,A219:A818,[1]Sheet3!X361:X960)</f>
        <v>UPI</v>
      </c>
      <c r="T220" s="5">
        <f>_xlfn.XLOOKUP(A220,A219:A818,[1]Sheet3!Z361:Z960)</f>
        <v>3</v>
      </c>
      <c r="U220" t="b">
        <f>_xlfn.XLOOKUP(A220,A219:A818,[1]Sheet3!AA361:AA960)</f>
        <v>0</v>
      </c>
      <c r="V220" t="str">
        <f>_xlfn.XLOOKUP(A220,A219:A818,[1]Sheet3!AC361:AC960)</f>
        <v>Delivered</v>
      </c>
      <c r="W220" s="5">
        <f>_xlfn.XLOOKUP(A220,A219:A818,[1]Sheet3!AE361:AE960)</f>
        <v>2</v>
      </c>
    </row>
    <row r="221" spans="1:23" x14ac:dyDescent="0.35">
      <c r="A221" t="s">
        <v>427</v>
      </c>
      <c r="B221" s="1">
        <f>_xlfn.XLOOKUP(A221,A220:A819,[1]Sheet3!C172:C771)</f>
        <v>44544</v>
      </c>
      <c r="C221" t="str">
        <f>_xlfn.XLOOKUP(A221,A220:A819,[1]Sheet3!D172:D771)</f>
        <v>CUST72370</v>
      </c>
      <c r="D221" t="str">
        <f>_xlfn.XLOOKUP(A221,A220:A819,[1]Sheet3!E172:E771)</f>
        <v>Priya Verma</v>
      </c>
      <c r="E221" s="5">
        <f>_xlfn.XLOOKUP(A221,A220:A819,[1]Sheet3!G172:G771)</f>
        <v>34</v>
      </c>
      <c r="F221" t="str">
        <f>_xlfn.XLOOKUP('Retail Sales'!A173,'Retail Sales'!A172:A771,[1]Sheet3!H172:H771)</f>
        <v>Young Adult</v>
      </c>
      <c r="G221" t="str">
        <f>_xlfn.XLOOKUP(A221,A220:A819,[1]Sheet3!J172:J771)</f>
        <v>Other</v>
      </c>
      <c r="H221" t="str">
        <f>_xlfn.XLOOKUP(A221,A220:A819,[1]Sheet3!K172:K771)</f>
        <v>North</v>
      </c>
      <c r="I221" t="str">
        <f>_xlfn.XLOOKUP(A221,A220:A819,[1]Sheet3!L172:L771)</f>
        <v>Delhi</v>
      </c>
      <c r="J221" t="str">
        <f>_xlfn.XLOOKUP(A221,A220:A819,[1]Sheet3!M172:M771)</f>
        <v>Sports</v>
      </c>
      <c r="K221" t="str">
        <f>_xlfn.XLOOKUP('Retail Sales'!A173,'Retail Sales'!A172:A771,[1]Sheet3!N172:N771)</f>
        <v>Dumbbells</v>
      </c>
      <c r="L221" s="5">
        <f>_xlfn.XLOOKUP(A221,A220:A819,[1]Sheet3!P172:P771)</f>
        <v>2</v>
      </c>
      <c r="M221" s="7">
        <f>_xlfn.XLOOKUP(A221,A220:A819,[1]Sheet3!Q172:Q771)</f>
        <v>4486.05</v>
      </c>
      <c r="N221" s="9">
        <f>_xlfn.XLOOKUP(A221,A220:A819,[1]Sheet3!S172:S771)</f>
        <v>0.19793402777777783</v>
      </c>
      <c r="O221" s="7">
        <f>_xlfn.XLOOKUP(A221,A220:A819,[1]Sheet3!T172:T771)</f>
        <v>5037.7700000000004</v>
      </c>
      <c r="P221" s="7">
        <f>_xlfn.XLOOKUP(A221,A220:A819,[1]Sheet3!U172:U771)</f>
        <v>1061.82</v>
      </c>
      <c r="Q221" s="11">
        <f>_xlfn.XLOOKUP(A221,A220:A819,[1]Sheet3!V172:V771)</f>
        <v>0.21077182959920757</v>
      </c>
      <c r="R221" s="7">
        <f>_xlfn.XLOOKUP(A221,A220:A819,[1]Sheet3!W172:W771)</f>
        <v>70.400000000000006</v>
      </c>
      <c r="S221" t="str">
        <f>_xlfn.XLOOKUP(A221,A220:A819,[1]Sheet3!X172:X771)</f>
        <v>UPI</v>
      </c>
      <c r="T221" s="5">
        <f>_xlfn.XLOOKUP(A221,A220:A819,[1]Sheet3!Z172:Z771)</f>
        <v>4</v>
      </c>
      <c r="U221" t="b">
        <f>_xlfn.XLOOKUP(A221,A220:A819,[1]Sheet3!AA172:AA771)</f>
        <v>0</v>
      </c>
      <c r="V221" t="str">
        <f>_xlfn.XLOOKUP(A221,A220:A819,[1]Sheet3!AC172:AC771)</f>
        <v>Delivered</v>
      </c>
      <c r="W221" s="5">
        <f>_xlfn.XLOOKUP(A221,A220:A819,[1]Sheet3!AE172:AE771)</f>
        <v>5</v>
      </c>
    </row>
    <row r="222" spans="1:23" x14ac:dyDescent="0.35">
      <c r="A222" t="s">
        <v>27</v>
      </c>
      <c r="B222" s="1">
        <f>_xlfn.XLOOKUP(A222,A221:A820,[1]Sheet3!C572:C1171)</f>
        <v>44544</v>
      </c>
      <c r="C222" t="str">
        <f>_xlfn.XLOOKUP(A222,A221:A820,[1]Sheet3!D572:D1171)</f>
        <v>CUST58607</v>
      </c>
      <c r="D222" t="str">
        <f>_xlfn.XLOOKUP(A222,A221:A820,[1]Sheet3!E572:E1171)</f>
        <v>Kavya Kumar</v>
      </c>
      <c r="E222" s="5">
        <f>_xlfn.XLOOKUP(A222,A221:A820,[1]Sheet3!G572:G1171)</f>
        <v>25</v>
      </c>
      <c r="F222" t="str">
        <f>_xlfn.XLOOKUP('Retail Sales'!A573,'Retail Sales'!A572:A1171,[1]Sheet3!H572:H1171)</f>
        <v>Young Adult</v>
      </c>
      <c r="G222" t="str">
        <f>_xlfn.XLOOKUP(A222,A221:A820,[1]Sheet3!J572:J1171)</f>
        <v>Male</v>
      </c>
      <c r="H222" t="str">
        <f>_xlfn.XLOOKUP(A222,A221:A820,[1]Sheet3!K572:K1171)</f>
        <v>Central</v>
      </c>
      <c r="I222" t="str">
        <f>_xlfn.XLOOKUP(A222,A221:A820,[1]Sheet3!L572:L1171)</f>
        <v>Indore</v>
      </c>
      <c r="J222" t="str">
        <f>_xlfn.XLOOKUP(A222,A221:A820,[1]Sheet3!M572:M1171)</f>
        <v>Beauty</v>
      </c>
      <c r="K222" t="str">
        <f>_xlfn.XLOOKUP('Retail Sales'!A573,'Retail Sales'!A572:A1171,[1]Sheet3!N572:N1171)</f>
        <v>Face Cream</v>
      </c>
      <c r="L222" s="5">
        <f>_xlfn.XLOOKUP(A222,A221:A820,[1]Sheet3!P572:P1171)</f>
        <v>1</v>
      </c>
      <c r="M222" s="7">
        <f>_xlfn.XLOOKUP(A222,A221:A820,[1]Sheet3!Q572:Q1171)</f>
        <v>2412.42</v>
      </c>
      <c r="N222" s="9">
        <f>_xlfn.XLOOKUP(A222,A221:A820,[1]Sheet3!S572:S1171)</f>
        <v>0.02</v>
      </c>
      <c r="O222" s="7">
        <f>_xlfn.XLOOKUP(A222,A221:A820,[1]Sheet3!T572:T1171)</f>
        <v>1867.03</v>
      </c>
      <c r="P222" s="7">
        <f>_xlfn.XLOOKUP(A222,A221:A820,[1]Sheet3!U572:U1171)</f>
        <v>770.96</v>
      </c>
      <c r="Q222" s="11">
        <f>_xlfn.XLOOKUP(A222,A221:A820,[1]Sheet3!V572:V1171)</f>
        <v>0.41293391107802235</v>
      </c>
      <c r="R222" s="7">
        <f>_xlfn.XLOOKUP(A222,A221:A820,[1]Sheet3!W572:W1171)</f>
        <v>51.08</v>
      </c>
      <c r="S222" t="str">
        <f>_xlfn.XLOOKUP(A222,A221:A820,[1]Sheet3!X572:X1171)</f>
        <v>Cash on Delivery</v>
      </c>
      <c r="T222" s="5">
        <f>_xlfn.XLOOKUP(A222,A221:A820,[1]Sheet3!Z572:Z1171)</f>
        <v>1</v>
      </c>
      <c r="U222" t="b">
        <f>_xlfn.XLOOKUP(A222,A221:A820,[1]Sheet3!AA572:AA1171)</f>
        <v>0</v>
      </c>
      <c r="V222" t="str">
        <f>_xlfn.XLOOKUP(A222,A221:A820,[1]Sheet3!AC572:AC1171)</f>
        <v>Delivered</v>
      </c>
      <c r="W222" s="5">
        <f>_xlfn.XLOOKUP(A222,A221:A820,[1]Sheet3!AE572:AE1171)</f>
        <v>10</v>
      </c>
    </row>
    <row r="223" spans="1:23" x14ac:dyDescent="0.35">
      <c r="A223" t="s">
        <v>207</v>
      </c>
      <c r="B223" s="1">
        <f>_xlfn.XLOOKUP(A223,A222:A821,[1]Sheet3!C392:C991)</f>
        <v>44555</v>
      </c>
      <c r="C223" t="str">
        <f>_xlfn.XLOOKUP(A223,A222:A821,[1]Sheet3!D392:D991)</f>
        <v>CUST54344</v>
      </c>
      <c r="D223" t="str">
        <f>_xlfn.XLOOKUP(A223,A222:A821,[1]Sheet3!E392:E991)</f>
        <v>Nisha Bhat</v>
      </c>
      <c r="E223" s="5">
        <f>_xlfn.XLOOKUP(A223,A222:A821,[1]Sheet3!G392:G991)</f>
        <v>27</v>
      </c>
      <c r="F223" t="str">
        <f>_xlfn.XLOOKUP('Retail Sales'!A393,'Retail Sales'!A392:A991,[1]Sheet3!H392:H991)</f>
        <v>Young Adult</v>
      </c>
      <c r="G223" t="str">
        <f>_xlfn.XLOOKUP(A223,A222:A821,[1]Sheet3!J392:J991)</f>
        <v>Female</v>
      </c>
      <c r="H223" t="str">
        <f>_xlfn.XLOOKUP(A223,A222:A821,[1]Sheet3!K392:K991)</f>
        <v>North</v>
      </c>
      <c r="I223" t="str">
        <f>_xlfn.XLOOKUP(A223,A222:A821,[1]Sheet3!L392:L991)</f>
        <v>Amritsar</v>
      </c>
      <c r="J223" t="str">
        <f>_xlfn.XLOOKUP(A223,A222:A821,[1]Sheet3!M392:M991)</f>
        <v>Beauty</v>
      </c>
      <c r="K223" t="str">
        <f>_xlfn.XLOOKUP('Retail Sales'!A393,'Retail Sales'!A392:A991,[1]Sheet3!N392:N991)</f>
        <v>Sunscreen</v>
      </c>
      <c r="L223" s="5">
        <f>_xlfn.XLOOKUP(A223,A222:A821,[1]Sheet3!P392:P991)</f>
        <v>1</v>
      </c>
      <c r="M223" s="7">
        <f>_xlfn.XLOOKUP(A223,A222:A821,[1]Sheet3!Q392:Q991)</f>
        <v>805.29</v>
      </c>
      <c r="N223" s="9">
        <f>_xlfn.XLOOKUP(A223,A222:A821,[1]Sheet3!S392:S991)</f>
        <v>0.36</v>
      </c>
      <c r="O223" s="7">
        <f>_xlfn.XLOOKUP(A223,A222:A821,[1]Sheet3!T392:T991)</f>
        <v>359.88</v>
      </c>
      <c r="P223" s="7">
        <f>_xlfn.XLOOKUP(A223,A222:A821,[1]Sheet3!U392:U991)</f>
        <v>172.3</v>
      </c>
      <c r="Q223" s="11">
        <f>_xlfn.XLOOKUP(A223,A222:A821,[1]Sheet3!V392:V991)</f>
        <v>0.4787707013448928</v>
      </c>
      <c r="R223" s="7">
        <f>_xlfn.XLOOKUP(A223,A222:A821,[1]Sheet3!W392:W991)</f>
        <v>52.35</v>
      </c>
      <c r="S223" t="str">
        <f>_xlfn.XLOOKUP(A223,A222:A821,[1]Sheet3!X392:X991)</f>
        <v>Net Banking</v>
      </c>
      <c r="T223" s="5">
        <f>_xlfn.XLOOKUP(A223,A222:A821,[1]Sheet3!Z392:Z991)</f>
        <v>3</v>
      </c>
      <c r="U223" t="b">
        <f>_xlfn.XLOOKUP(A223,A222:A821,[1]Sheet3!AA392:AA991)</f>
        <v>0</v>
      </c>
      <c r="V223" t="str">
        <f>_xlfn.XLOOKUP(A223,A222:A821,[1]Sheet3!AC392:AC991)</f>
        <v>Delivered</v>
      </c>
      <c r="W223" s="5">
        <f>_xlfn.XLOOKUP(A223,A222:A821,[1]Sheet3!AE392:AE991)</f>
        <v>6</v>
      </c>
    </row>
    <row r="224" spans="1:23" x14ac:dyDescent="0.35">
      <c r="A224" t="s">
        <v>198</v>
      </c>
      <c r="B224" s="1">
        <f>_xlfn.XLOOKUP(A224,A223:A822,[1]Sheet3!C401:C1000)</f>
        <v>44557</v>
      </c>
      <c r="C224" t="str">
        <f>_xlfn.XLOOKUP(A224,A223:A822,[1]Sheet3!D401:D1000)</f>
        <v>CUST42701</v>
      </c>
      <c r="D224" t="str">
        <f>_xlfn.XLOOKUP(A224,A223:A822,[1]Sheet3!E401:E1000)</f>
        <v>Aarav Joshi</v>
      </c>
      <c r="E224" s="5">
        <f>_xlfn.XLOOKUP(A224,A223:A822,[1]Sheet3!G401:G1000)</f>
        <v>48</v>
      </c>
      <c r="F224" t="str">
        <f>_xlfn.XLOOKUP('Retail Sales'!A402,'Retail Sales'!A401:A1000,[1]Sheet3!H401:H1000)</f>
        <v>Adult</v>
      </c>
      <c r="G224" t="str">
        <f>_xlfn.XLOOKUP(A224,A223:A822,[1]Sheet3!J401:J1000)</f>
        <v>Male</v>
      </c>
      <c r="H224" t="str">
        <f>_xlfn.XLOOKUP(A224,A223:A822,[1]Sheet3!K401:K1000)</f>
        <v>South</v>
      </c>
      <c r="I224" t="str">
        <f>_xlfn.XLOOKUP(A224,A223:A822,[1]Sheet3!L401:L1000)</f>
        <v>Kochi</v>
      </c>
      <c r="J224" t="str">
        <f>_xlfn.XLOOKUP(A224,A223:A822,[1]Sheet3!M401:M1000)</f>
        <v>Clothing</v>
      </c>
      <c r="K224" t="str">
        <f>_xlfn.XLOOKUP('Retail Sales'!A402,'Retail Sales'!A401:A1000,[1]Sheet3!N401:N1000)</f>
        <v>Jacket</v>
      </c>
      <c r="L224" s="5">
        <f>_xlfn.XLOOKUP(A224,A223:A822,[1]Sheet3!P401:P1000)</f>
        <v>10</v>
      </c>
      <c r="M224" s="7">
        <f>_xlfn.XLOOKUP(A224,A223:A822,[1]Sheet3!Q401:Q1000)</f>
        <v>593.54999999999995</v>
      </c>
      <c r="N224" s="9">
        <f>_xlfn.XLOOKUP(A224,A223:A822,[1]Sheet3!S401:S1000)</f>
        <v>0.18</v>
      </c>
      <c r="O224" s="7">
        <f>_xlfn.XLOOKUP(A224,A223:A822,[1]Sheet3!T401:T1000)</f>
        <v>3624.78</v>
      </c>
      <c r="P224" s="7">
        <f>_xlfn.XLOOKUP(A224,A223:A822,[1]Sheet3!U401:U1000)</f>
        <v>896.12</v>
      </c>
      <c r="Q224" s="11">
        <f>_xlfn.XLOOKUP(A224,A223:A822,[1]Sheet3!V401:V1000)</f>
        <v>0.2472205209695485</v>
      </c>
      <c r="R224" s="7">
        <f>_xlfn.XLOOKUP(A224,A223:A822,[1]Sheet3!W401:W1000)</f>
        <v>78</v>
      </c>
      <c r="S224" t="str">
        <f>_xlfn.XLOOKUP(A224,A223:A822,[1]Sheet3!X401:X1000)</f>
        <v>Debit Card</v>
      </c>
      <c r="T224" s="5">
        <f>_xlfn.XLOOKUP(A224,A223:A822,[1]Sheet3!Z401:Z1000)</f>
        <v>5</v>
      </c>
      <c r="U224" t="b">
        <f>_xlfn.XLOOKUP(A224,A223:A822,[1]Sheet3!AA401:AA1000)</f>
        <v>0</v>
      </c>
      <c r="V224" t="str">
        <f>_xlfn.XLOOKUP(A224,A223:A822,[1]Sheet3!AC401:AC1000)</f>
        <v>Delivered</v>
      </c>
      <c r="W224" s="5">
        <f>_xlfn.XLOOKUP(A224,A223:A822,[1]Sheet3!AE401:AE1000)</f>
        <v>9</v>
      </c>
    </row>
    <row r="225" spans="1:23" x14ac:dyDescent="0.35">
      <c r="A225" t="s">
        <v>410</v>
      </c>
      <c r="B225" s="1">
        <f>_xlfn.XLOOKUP(A225,A224:A823,[1]Sheet3!C189:C788)</f>
        <v>44561</v>
      </c>
      <c r="C225" t="str">
        <f>_xlfn.XLOOKUP(A225,A224:A823,[1]Sheet3!D189:D788)</f>
        <v>CUST78194</v>
      </c>
      <c r="D225" t="str">
        <f>_xlfn.XLOOKUP(A225,A224:A823,[1]Sheet3!E189:E788)</f>
        <v>Shreya Mishra</v>
      </c>
      <c r="E225" s="5">
        <f>_xlfn.XLOOKUP(A225,A224:A823,[1]Sheet3!G189:G788)</f>
        <v>58</v>
      </c>
      <c r="F225" t="str">
        <f>_xlfn.XLOOKUP('Retail Sales'!A190,'Retail Sales'!A189:A788,[1]Sheet3!H189:H788)</f>
        <v>Senior</v>
      </c>
      <c r="G225" t="str">
        <f>_xlfn.XLOOKUP(A225,A224:A823,[1]Sheet3!J189:J788)</f>
        <v>Male</v>
      </c>
      <c r="H225" t="str">
        <f>_xlfn.XLOOKUP(A225,A224:A823,[1]Sheet3!K189:K788)</f>
        <v>West</v>
      </c>
      <c r="I225" t="str">
        <f>_xlfn.XLOOKUP(A225,A224:A823,[1]Sheet3!L189:L788)</f>
        <v>Mumbai</v>
      </c>
      <c r="J225" t="str">
        <f>_xlfn.XLOOKUP(A225,A224:A823,[1]Sheet3!M189:M788)</f>
        <v>Sports</v>
      </c>
      <c r="K225" t="str">
        <f>_xlfn.XLOOKUP('Retail Sales'!A190,'Retail Sales'!A189:A788,[1]Sheet3!N189:N788)</f>
        <v>Yoga Mat</v>
      </c>
      <c r="L225" s="5">
        <f>_xlfn.XLOOKUP(A225,A224:A823,[1]Sheet3!P189:P788)</f>
        <v>3</v>
      </c>
      <c r="M225" s="7">
        <f>_xlfn.XLOOKUP(A225,A224:A823,[1]Sheet3!Q189:Q788)</f>
        <v>726.67</v>
      </c>
      <c r="N225" s="9">
        <f>_xlfn.XLOOKUP(A225,A224:A823,[1]Sheet3!S189:S788)</f>
        <v>0.34</v>
      </c>
      <c r="O225" s="7">
        <f>_xlfn.XLOOKUP(A225,A224:A823,[1]Sheet3!T189:T788)</f>
        <v>1042.72</v>
      </c>
      <c r="P225" s="7">
        <f>_xlfn.XLOOKUP(A225,A224:A823,[1]Sheet3!U189:U788)</f>
        <v>281.95</v>
      </c>
      <c r="Q225" s="11">
        <f>_xlfn.XLOOKUP(A225,A224:A823,[1]Sheet3!V189:V788)</f>
        <v>0.27039857296301978</v>
      </c>
      <c r="R225" s="7">
        <f>_xlfn.XLOOKUP(A225,A224:A823,[1]Sheet3!W189:W788)</f>
        <v>34.18</v>
      </c>
      <c r="S225" t="str">
        <f>_xlfn.XLOOKUP(A225,A224:A823,[1]Sheet3!X189:X788)</f>
        <v>Cash on Delivery</v>
      </c>
      <c r="T225" s="5">
        <f>_xlfn.XLOOKUP(A225,A224:A823,[1]Sheet3!Z189:Z788)</f>
        <v>1</v>
      </c>
      <c r="U225" t="b">
        <f>_xlfn.XLOOKUP(A225,A224:A823,[1]Sheet3!AA189:AA788)</f>
        <v>0</v>
      </c>
      <c r="V225" t="str">
        <f>_xlfn.XLOOKUP(A225,A224:A823,[1]Sheet3!AC189:AC788)</f>
        <v>Shipped</v>
      </c>
      <c r="W225" s="5">
        <f>_xlfn.XLOOKUP(A225,A224:A823,[1]Sheet3!AE189:AE788)</f>
        <v>9</v>
      </c>
    </row>
    <row r="226" spans="1:23" x14ac:dyDescent="0.35">
      <c r="A226" t="s">
        <v>142</v>
      </c>
      <c r="B226" s="1">
        <f>_xlfn.XLOOKUP(A226,A225:A824,[1]Sheet3!C457:C1056)</f>
        <v>44570</v>
      </c>
      <c r="C226" t="str">
        <f>_xlfn.XLOOKUP(A226,A225:A824,[1]Sheet3!D457:D1056)</f>
        <v>CUST72759</v>
      </c>
      <c r="D226" t="str">
        <f>_xlfn.XLOOKUP(A226,A225:A824,[1]Sheet3!E457:E1056)</f>
        <v>Pooja Patel</v>
      </c>
      <c r="E226" s="5">
        <f>_xlfn.XLOOKUP(A226,A225:A824,[1]Sheet3!G457:G1056)</f>
        <v>26</v>
      </c>
      <c r="F226" t="str">
        <f>_xlfn.XLOOKUP('Retail Sales'!A458,'Retail Sales'!A457:A1056,[1]Sheet3!H457:H1056)</f>
        <v>Young Adult</v>
      </c>
      <c r="G226" t="str">
        <f>_xlfn.XLOOKUP(A226,A225:A824,[1]Sheet3!J457:J1056)</f>
        <v>Other</v>
      </c>
      <c r="H226" t="str">
        <f>_xlfn.XLOOKUP(A226,A225:A824,[1]Sheet3!K457:K1056)</f>
        <v>South</v>
      </c>
      <c r="I226" t="str">
        <f>_xlfn.XLOOKUP(A226,A225:A824,[1]Sheet3!L457:L1056)</f>
        <v>Hyderabad</v>
      </c>
      <c r="J226" t="str">
        <f>_xlfn.XLOOKUP(A226,A225:A824,[1]Sheet3!M457:M1056)</f>
        <v>Furniture</v>
      </c>
      <c r="K226" t="str">
        <f>_xlfn.XLOOKUP('Retail Sales'!A458,'Retail Sales'!A457:A1056,[1]Sheet3!N457:N1056)</f>
        <v>Chair</v>
      </c>
      <c r="L226" s="5">
        <f>_xlfn.XLOOKUP(A226,A225:A824,[1]Sheet3!P457:P1056)</f>
        <v>7</v>
      </c>
      <c r="M226" s="7">
        <f>_xlfn.XLOOKUP(A226,A225:A824,[1]Sheet3!Q457:Q1056)</f>
        <v>2529.87</v>
      </c>
      <c r="N226" s="9">
        <f>_xlfn.XLOOKUP(A226,A225:A824,[1]Sheet3!S457:S1056)</f>
        <v>0.12</v>
      </c>
      <c r="O226" s="7">
        <f>_xlfn.XLOOKUP(A226,A225:A824,[1]Sheet3!T457:T1056)</f>
        <v>14719.17</v>
      </c>
      <c r="P226" s="7">
        <f>_xlfn.XLOOKUP(A226,A225:A824,[1]Sheet3!U457:U1056)</f>
        <v>4154.01</v>
      </c>
      <c r="Q226" s="11">
        <f>_xlfn.XLOOKUP(A226,A225:A824,[1]Sheet3!V457:V1056)</f>
        <v>0.28221767939360715</v>
      </c>
      <c r="R226" s="7">
        <f>_xlfn.XLOOKUP(A226,A225:A824,[1]Sheet3!W457:W1056)</f>
        <v>90.47</v>
      </c>
      <c r="S226" t="str">
        <f>_xlfn.XLOOKUP(A226,A225:A824,[1]Sheet3!X457:X1056)</f>
        <v>EMI</v>
      </c>
      <c r="T226" s="5">
        <f>_xlfn.XLOOKUP(A226,A225:A824,[1]Sheet3!Z457:Z1056)</f>
        <v>5</v>
      </c>
      <c r="U226" t="b">
        <f>_xlfn.XLOOKUP(A226,A225:A824,[1]Sheet3!AA457:AA1056)</f>
        <v>0</v>
      </c>
      <c r="V226" t="str">
        <f>_xlfn.XLOOKUP(A226,A225:A824,[1]Sheet3!AC457:AC1056)</f>
        <v>Delivered</v>
      </c>
      <c r="W226" s="5">
        <f>_xlfn.XLOOKUP(A226,A225:A824,[1]Sheet3!AE457:AE1056)</f>
        <v>5</v>
      </c>
    </row>
    <row r="227" spans="1:23" x14ac:dyDescent="0.35">
      <c r="A227" t="s">
        <v>50</v>
      </c>
      <c r="B227" s="1">
        <f>_xlfn.XLOOKUP(A227,A226:A825,[1]Sheet3!C549:C1148)</f>
        <v>44584</v>
      </c>
      <c r="C227" t="str">
        <f>_xlfn.XLOOKUP(A227,A226:A825,[1]Sheet3!D549:D1148)</f>
        <v>CUST13726</v>
      </c>
      <c r="D227" t="str">
        <f>_xlfn.XLOOKUP(A227,A226:A825,[1]Sheet3!E549:E1148)</f>
        <v>Sanjay Joshi</v>
      </c>
      <c r="E227" s="5">
        <f>_xlfn.XLOOKUP(A227,A226:A825,[1]Sheet3!G549:G1148)</f>
        <v>42</v>
      </c>
      <c r="F227" t="str">
        <f>_xlfn.XLOOKUP('Retail Sales'!A550,'Retail Sales'!A549:A1148,[1]Sheet3!H549:H1148)</f>
        <v>Adult</v>
      </c>
      <c r="G227" t="str">
        <f>_xlfn.XLOOKUP(A227,A226:A825,[1]Sheet3!J549:J1148)</f>
        <v>Other</v>
      </c>
      <c r="H227" t="str">
        <f>_xlfn.XLOOKUP(A227,A226:A825,[1]Sheet3!K549:K1148)</f>
        <v>East</v>
      </c>
      <c r="I227" t="str">
        <f>_xlfn.XLOOKUP(A227,A226:A825,[1]Sheet3!L549:L1148)</f>
        <v>Guwahati</v>
      </c>
      <c r="J227" t="str">
        <f>_xlfn.XLOOKUP(A227,A226:A825,[1]Sheet3!M549:M1148)</f>
        <v>Books</v>
      </c>
      <c r="K227" t="str">
        <f>_xlfn.XLOOKUP('Retail Sales'!A550,'Retail Sales'!A549:A1148,[1]Sheet3!N549:N1148)</f>
        <v>Self-Help Book</v>
      </c>
      <c r="L227" s="5">
        <f>_xlfn.XLOOKUP(A227,A226:A825,[1]Sheet3!P549:P1148)</f>
        <v>1</v>
      </c>
      <c r="M227" s="7">
        <f>_xlfn.XLOOKUP(A227,A226:A825,[1]Sheet3!Q549:Q1148)</f>
        <v>293.64999999999998</v>
      </c>
      <c r="N227" s="9">
        <f>_xlfn.XLOOKUP(A227,A226:A825,[1]Sheet3!S549:S1148)</f>
        <v>0.21</v>
      </c>
      <c r="O227" s="7">
        <f>_xlfn.XLOOKUP(A227,A226:A825,[1]Sheet3!T549:T1148)</f>
        <v>216.04</v>
      </c>
      <c r="P227" s="7">
        <f>_xlfn.XLOOKUP(A227,A226:A825,[1]Sheet3!U549:U1148)</f>
        <v>87.2</v>
      </c>
      <c r="Q227" s="11">
        <f>_xlfn.XLOOKUP(A227,A226:A825,[1]Sheet3!V549:V1148)</f>
        <v>0.40362895760044437</v>
      </c>
      <c r="R227" s="7">
        <f>_xlfn.XLOOKUP(A227,A226:A825,[1]Sheet3!W549:W1148)</f>
        <v>77.91</v>
      </c>
      <c r="S227" t="str">
        <f>_xlfn.XLOOKUP(A227,A226:A825,[1]Sheet3!X549:X1148)</f>
        <v>Credit Card</v>
      </c>
      <c r="T227" s="5">
        <f>_xlfn.XLOOKUP(A227,A226:A825,[1]Sheet3!Z549:Z1148)</f>
        <v>3</v>
      </c>
      <c r="U227" t="b">
        <f>_xlfn.XLOOKUP(A227,A226:A825,[1]Sheet3!AA549:AA1148)</f>
        <v>0</v>
      </c>
      <c r="V227" t="str">
        <f>_xlfn.XLOOKUP(A227,A226:A825,[1]Sheet3!AC549:AC1148)</f>
        <v>Shipped</v>
      </c>
      <c r="W227" s="5">
        <f>_xlfn.XLOOKUP(A227,A226:A825,[1]Sheet3!AE549:AE1148)</f>
        <v>3</v>
      </c>
    </row>
    <row r="228" spans="1:23" x14ac:dyDescent="0.35">
      <c r="A228" t="s">
        <v>353</v>
      </c>
      <c r="B228" s="1">
        <f>_xlfn.XLOOKUP(A228,A227:A826,[1]Sheet3!C246:C845)</f>
        <v>44585</v>
      </c>
      <c r="C228" t="str">
        <f>_xlfn.XLOOKUP(A228,A227:A826,[1]Sheet3!D246:D845)</f>
        <v>CUST37446</v>
      </c>
      <c r="D228" t="str">
        <f>_xlfn.XLOOKUP(A228,A227:A826,[1]Sheet3!E246:E845)</f>
        <v>Shreya Das</v>
      </c>
      <c r="E228" s="5">
        <f>_xlfn.XLOOKUP(A228,A227:A826,[1]Sheet3!G246:G845)</f>
        <v>66</v>
      </c>
      <c r="F228" t="str">
        <f>_xlfn.XLOOKUP('Retail Sales'!A247,'Retail Sales'!A246:A845,[1]Sheet3!H246:H845)</f>
        <v>Elderly</v>
      </c>
      <c r="G228" t="str">
        <f>_xlfn.XLOOKUP(A228,A227:A826,[1]Sheet3!J246:J845)</f>
        <v>Other</v>
      </c>
      <c r="H228" t="str">
        <f>_xlfn.XLOOKUP(A228,A227:A826,[1]Sheet3!K246:K845)</f>
        <v>North</v>
      </c>
      <c r="I228" t="str">
        <f>_xlfn.XLOOKUP(A228,A227:A826,[1]Sheet3!L246:L845)</f>
        <v>Delhi</v>
      </c>
      <c r="J228" t="str">
        <f>_xlfn.XLOOKUP(A228,A227:A826,[1]Sheet3!M246:M845)</f>
        <v>Beauty</v>
      </c>
      <c r="K228" t="str">
        <f>_xlfn.XLOOKUP('Retail Sales'!A247,'Retail Sales'!A246:A845,[1]Sheet3!N246:N845)</f>
        <v>Lipstick</v>
      </c>
      <c r="L228" s="5">
        <f>_xlfn.XLOOKUP(A228,A227:A826,[1]Sheet3!P246:P845)</f>
        <v>9</v>
      </c>
      <c r="M228" s="7">
        <f>_xlfn.XLOOKUP(A228,A227:A826,[1]Sheet3!Q246:Q845)</f>
        <v>265.25</v>
      </c>
      <c r="N228" s="9">
        <f>_xlfn.XLOOKUP(A228,A227:A826,[1]Sheet3!S246:S845)</f>
        <v>0.18</v>
      </c>
      <c r="O228" s="7">
        <f>_xlfn.XLOOKUP(A228,A227:A826,[1]Sheet3!T246:T845)</f>
        <v>1737.45</v>
      </c>
      <c r="P228" s="7">
        <f>_xlfn.XLOOKUP(A228,A227:A826,[1]Sheet3!U246:U845)</f>
        <v>685.06</v>
      </c>
      <c r="Q228" s="11">
        <f>_xlfn.XLOOKUP(A228,A227:A826,[1]Sheet3!V246:V845)</f>
        <v>0.39429048317937204</v>
      </c>
      <c r="R228" s="7">
        <f>_xlfn.XLOOKUP(A228,A227:A826,[1]Sheet3!W246:W845)</f>
        <v>28.69</v>
      </c>
      <c r="S228" t="str">
        <f>_xlfn.XLOOKUP(A228,A227:A826,[1]Sheet3!X246:X845)</f>
        <v>Credit Card</v>
      </c>
      <c r="T228" s="5">
        <f>_xlfn.XLOOKUP(A228,A227:A826,[1]Sheet3!Z246:Z845)</f>
        <v>2</v>
      </c>
      <c r="U228" t="b">
        <f>_xlfn.XLOOKUP(A228,A227:A826,[1]Sheet3!AA246:AA845)</f>
        <v>0</v>
      </c>
      <c r="V228" t="str">
        <f>_xlfn.XLOOKUP(A228,A227:A826,[1]Sheet3!AC246:AC845)</f>
        <v>Delivered</v>
      </c>
      <c r="W228" s="5">
        <f>_xlfn.XLOOKUP(A228,A227:A826,[1]Sheet3!AE246:AE845)</f>
        <v>5</v>
      </c>
    </row>
    <row r="229" spans="1:23" x14ac:dyDescent="0.35">
      <c r="A229" t="s">
        <v>507</v>
      </c>
      <c r="B229" s="1">
        <f>_xlfn.XLOOKUP(A229,A228:A827,[1]Sheet3!C92:C691)</f>
        <v>44589</v>
      </c>
      <c r="C229" t="str">
        <f>_xlfn.XLOOKUP(A229,A228:A827,[1]Sheet3!D92:D691)</f>
        <v>CUST22943</v>
      </c>
      <c r="D229" t="str">
        <f>_xlfn.XLOOKUP(A229,A228:A827,[1]Sheet3!E92:E691)</f>
        <v>Nisha Shah</v>
      </c>
      <c r="E229" s="5">
        <f>_xlfn.XLOOKUP(A229,A228:A827,[1]Sheet3!G92:G691)</f>
        <v>42</v>
      </c>
      <c r="F229" t="str">
        <f>_xlfn.XLOOKUP('Retail Sales'!A93,'Retail Sales'!A92:A691,[1]Sheet3!H92:H691)</f>
        <v>Adult</v>
      </c>
      <c r="G229" t="str">
        <f>_xlfn.XLOOKUP(A229,A228:A827,[1]Sheet3!J92:J691)</f>
        <v>Male</v>
      </c>
      <c r="H229" t="str">
        <f>_xlfn.XLOOKUP(A229,A228:A827,[1]Sheet3!K92:K691)</f>
        <v>North</v>
      </c>
      <c r="I229" t="str">
        <f>_xlfn.XLOOKUP(A229,A228:A827,[1]Sheet3!L92:L691)</f>
        <v>Amritsar</v>
      </c>
      <c r="J229" t="str">
        <f>_xlfn.XLOOKUP(A229,A228:A827,[1]Sheet3!M92:M691)</f>
        <v>Sports</v>
      </c>
      <c r="K229" t="str">
        <f>_xlfn.XLOOKUP('Retail Sales'!A93,'Retail Sales'!A92:A691,[1]Sheet3!N92:N691)</f>
        <v>Tennis Racket</v>
      </c>
      <c r="L229" s="5">
        <f>_xlfn.XLOOKUP(A229,A228:A827,[1]Sheet3!P92:P691)</f>
        <v>10</v>
      </c>
      <c r="M229" s="7">
        <f>_xlfn.XLOOKUP(A229,A228:A827,[1]Sheet3!Q92:Q691)</f>
        <v>6054.48</v>
      </c>
      <c r="N229" s="9">
        <f>_xlfn.XLOOKUP(A229,A228:A827,[1]Sheet3!S92:S691)</f>
        <v>0.06</v>
      </c>
      <c r="O229" s="7">
        <f>_xlfn.XLOOKUP(A229,A228:A827,[1]Sheet3!T92:T691)</f>
        <v>48184.42</v>
      </c>
      <c r="P229" s="7">
        <f>_xlfn.XLOOKUP(A229,A228:A827,[1]Sheet3!U92:U691)</f>
        <v>9832.73</v>
      </c>
      <c r="Q229" s="11">
        <f>_xlfn.XLOOKUP(A229,A228:A827,[1]Sheet3!V92:V691)</f>
        <v>0.20406450881841059</v>
      </c>
      <c r="R229" s="7">
        <f>_xlfn.XLOOKUP(A229,A228:A827,[1]Sheet3!W92:W691)</f>
        <v>59.24</v>
      </c>
      <c r="S229" t="str">
        <f>_xlfn.XLOOKUP(A229,A228:A827,[1]Sheet3!X92:X691)</f>
        <v>Credit Card</v>
      </c>
      <c r="T229" s="5">
        <f>_xlfn.XLOOKUP(A229,A228:A827,[1]Sheet3!Z92:Z691)</f>
        <v>1</v>
      </c>
      <c r="U229" t="b">
        <f>_xlfn.XLOOKUP(A229,A228:A827,[1]Sheet3!AA92:AA691)</f>
        <v>1</v>
      </c>
      <c r="V229" t="str">
        <f>_xlfn.XLOOKUP(A229,A228:A827,[1]Sheet3!AC92:AC691)</f>
        <v>Returned</v>
      </c>
      <c r="W229" s="5">
        <f>_xlfn.XLOOKUP(A229,A228:A827,[1]Sheet3!AE92:AE691)</f>
        <v>6</v>
      </c>
    </row>
    <row r="230" spans="1:23" x14ac:dyDescent="0.35">
      <c r="A230" t="s">
        <v>359</v>
      </c>
      <c r="B230" s="1">
        <f>_xlfn.XLOOKUP(A230,A229:A828,[1]Sheet3!C240:C839)</f>
        <v>44589</v>
      </c>
      <c r="C230" t="str">
        <f>_xlfn.XLOOKUP(A230,A229:A828,[1]Sheet3!D240:D839)</f>
        <v>CUST75005</v>
      </c>
      <c r="D230" t="str">
        <f>_xlfn.XLOOKUP(A230,A229:A828,[1]Sheet3!E240:E839)</f>
        <v>Meera Bhat</v>
      </c>
      <c r="E230" s="5">
        <f>_xlfn.XLOOKUP(A230,A229:A828,[1]Sheet3!G240:G839)</f>
        <v>16</v>
      </c>
      <c r="F230" t="str">
        <f>_xlfn.XLOOKUP('Retail Sales'!A241,'Retail Sales'!A240:A839,[1]Sheet3!H240:H839)</f>
        <v>Teen</v>
      </c>
      <c r="G230" t="str">
        <f>_xlfn.XLOOKUP(A230,A229:A828,[1]Sheet3!J240:J839)</f>
        <v>Female</v>
      </c>
      <c r="H230" t="str">
        <f>_xlfn.XLOOKUP(A230,A229:A828,[1]Sheet3!K240:K839)</f>
        <v>South</v>
      </c>
      <c r="I230" t="str">
        <f>_xlfn.XLOOKUP(A230,A229:A828,[1]Sheet3!L240:L839)</f>
        <v>Bangalore</v>
      </c>
      <c r="J230" t="str">
        <f>_xlfn.XLOOKUP(A230,A229:A828,[1]Sheet3!M240:M839)</f>
        <v>Sports</v>
      </c>
      <c r="K230" t="str">
        <f>_xlfn.XLOOKUP('Retail Sales'!A241,'Retail Sales'!A240:A839,[1]Sheet3!N240:N839)</f>
        <v>Tennis Racket</v>
      </c>
      <c r="L230" s="5">
        <f>_xlfn.XLOOKUP(A230,A229:A828,[1]Sheet3!P240:P839)</f>
        <v>3</v>
      </c>
      <c r="M230" s="7">
        <f>_xlfn.XLOOKUP(A230,A229:A828,[1]Sheet3!Q240:Q839)</f>
        <v>14928.96</v>
      </c>
      <c r="N230" s="9">
        <f>_xlfn.XLOOKUP(A230,A229:A828,[1]Sheet3!S240:S839)</f>
        <v>0.4</v>
      </c>
      <c r="O230" s="7">
        <f>_xlfn.XLOOKUP(A230,A229:A828,[1]Sheet3!T240:T839)</f>
        <v>21823.19</v>
      </c>
      <c r="P230" s="7">
        <f>_xlfn.XLOOKUP(A230,A229:A828,[1]Sheet3!U240:U839)</f>
        <v>4574.82</v>
      </c>
      <c r="Q230" s="11">
        <f>_xlfn.XLOOKUP(A230,A229:A828,[1]Sheet3!V240:V839)</f>
        <v>0.20963113092082322</v>
      </c>
      <c r="R230" s="7">
        <f>_xlfn.XLOOKUP(A230,A229:A828,[1]Sheet3!W240:W839)</f>
        <v>60.83</v>
      </c>
      <c r="S230" t="str">
        <f>_xlfn.XLOOKUP(A230,A229:A828,[1]Sheet3!X240:X839)</f>
        <v>UPI</v>
      </c>
      <c r="T230" s="5">
        <f>_xlfn.XLOOKUP(A230,A229:A828,[1]Sheet3!Z240:Z839)</f>
        <v>1</v>
      </c>
      <c r="U230" t="b">
        <f>_xlfn.XLOOKUP(A230,A229:A828,[1]Sheet3!AA240:AA839)</f>
        <v>0</v>
      </c>
      <c r="V230" t="str">
        <f>_xlfn.XLOOKUP(A230,A229:A828,[1]Sheet3!AC240:AC839)</f>
        <v>Delivered</v>
      </c>
      <c r="W230" s="5">
        <f>_xlfn.XLOOKUP(A230,A229:A828,[1]Sheet3!AE240:AE839)</f>
        <v>8</v>
      </c>
    </row>
    <row r="231" spans="1:23" x14ac:dyDescent="0.35">
      <c r="A231" t="s">
        <v>587</v>
      </c>
      <c r="B231" s="1">
        <f>_xlfn.XLOOKUP(A231,A230:A829,[1]Sheet3!C12:C611)</f>
        <v>44589</v>
      </c>
      <c r="C231" t="str">
        <f>_xlfn.XLOOKUP(A231,A230:A829,[1]Sheet3!D12:D611)</f>
        <v>CUST47772</v>
      </c>
      <c r="D231" t="str">
        <f>_xlfn.XLOOKUP(A231,A230:A829,[1]Sheet3!E12:E611)</f>
        <v>Shreya Bose</v>
      </c>
      <c r="E231" s="5">
        <f>_xlfn.XLOOKUP(A231,A230:A829,[1]Sheet3!G12:G611)</f>
        <v>14</v>
      </c>
      <c r="F231" t="str">
        <f>_xlfn.XLOOKUP('Retail Sales'!A13,'Retail Sales'!A12:A611,[1]Sheet3!H12:H611)</f>
        <v>Teen</v>
      </c>
      <c r="G231" t="str">
        <f>_xlfn.XLOOKUP(A231,A230:A829,[1]Sheet3!J12:J611)</f>
        <v>Female</v>
      </c>
      <c r="H231" t="str">
        <f>_xlfn.XLOOKUP(A231,A230:A829,[1]Sheet3!K12:K611)</f>
        <v>West</v>
      </c>
      <c r="I231" t="str">
        <f>_xlfn.XLOOKUP(A231,A230:A829,[1]Sheet3!L12:L611)</f>
        <v>Ahmedabad</v>
      </c>
      <c r="J231" t="str">
        <f>_xlfn.XLOOKUP(A231,A230:A829,[1]Sheet3!M12:M611)</f>
        <v>Groceries</v>
      </c>
      <c r="K231" t="str">
        <f>_xlfn.XLOOKUP('Retail Sales'!A13,'Retail Sales'!A12:A611,[1]Sheet3!N12:N611)</f>
        <v>Dal (1kg)</v>
      </c>
      <c r="L231" s="5">
        <f>_xlfn.XLOOKUP(A231,A230:A829,[1]Sheet3!P12:P611)</f>
        <v>2</v>
      </c>
      <c r="M231" s="7">
        <f>_xlfn.XLOOKUP(A231,A230:A829,[1]Sheet3!Q12:Q611)</f>
        <v>274.81</v>
      </c>
      <c r="N231" s="9">
        <f>_xlfn.XLOOKUP(A231,A230:A829,[1]Sheet3!S12:S611)</f>
        <v>0.15</v>
      </c>
      <c r="O231" s="7">
        <f>_xlfn.XLOOKUP(A231,A230:A829,[1]Sheet3!T12:T611)</f>
        <v>379.5</v>
      </c>
      <c r="P231" s="7">
        <f>_xlfn.XLOOKUP(A231,A230:A829,[1]Sheet3!U12:U611)</f>
        <v>24.26</v>
      </c>
      <c r="Q231" s="11">
        <f>_xlfn.XLOOKUP(A231,A230:A829,[1]Sheet3!V12:V611)</f>
        <v>6.3926218708827406E-2</v>
      </c>
      <c r="R231" s="7">
        <f>_xlfn.XLOOKUP(A231,A230:A829,[1]Sheet3!W12:W611)</f>
        <v>46.69</v>
      </c>
      <c r="S231" t="str">
        <f>_xlfn.XLOOKUP(A231,A230:A829,[1]Sheet3!X12:X611)</f>
        <v>EMI</v>
      </c>
      <c r="T231" s="5">
        <f>_xlfn.XLOOKUP(A231,A230:A829,[1]Sheet3!Z12:Z611)</f>
        <v>4</v>
      </c>
      <c r="U231" t="b">
        <f>_xlfn.XLOOKUP(A231,A230:A829,[1]Sheet3!AA12:AA611)</f>
        <v>0</v>
      </c>
      <c r="V231" t="str">
        <f>_xlfn.XLOOKUP(A231,A230:A829,[1]Sheet3!AC12:AC611)</f>
        <v>Delivered</v>
      </c>
      <c r="W231" s="5">
        <f>_xlfn.XLOOKUP(A231,A230:A829,[1]Sheet3!AE12:AE611)</f>
        <v>4</v>
      </c>
    </row>
    <row r="232" spans="1:23" x14ac:dyDescent="0.35">
      <c r="A232" t="s">
        <v>124</v>
      </c>
      <c r="B232" s="1">
        <f>_xlfn.XLOOKUP(A232,A231:A830,[1]Sheet3!C475:C1074)</f>
        <v>44591</v>
      </c>
      <c r="C232" t="str">
        <f>_xlfn.XLOOKUP(A232,A231:A830,[1]Sheet3!D475:D1074)</f>
        <v>CUST81394</v>
      </c>
      <c r="D232" t="str">
        <f>_xlfn.XLOOKUP(A232,A231:A830,[1]Sheet3!E475:E1074)</f>
        <v>Nikhil Kumar</v>
      </c>
      <c r="E232" s="5">
        <f>_xlfn.XLOOKUP(A232,A231:A830,[1]Sheet3!G475:G1074)</f>
        <v>27</v>
      </c>
      <c r="F232" t="str">
        <f>_xlfn.XLOOKUP('Retail Sales'!A476,'Retail Sales'!A475:A1074,[1]Sheet3!H475:H1074)</f>
        <v>Young Adult</v>
      </c>
      <c r="G232" t="str">
        <f>_xlfn.XLOOKUP(A232,A231:A830,[1]Sheet3!J475:J1074)</f>
        <v>Male</v>
      </c>
      <c r="H232" t="str">
        <f>_xlfn.XLOOKUP(A232,A231:A830,[1]Sheet3!K475:K1074)</f>
        <v>North</v>
      </c>
      <c r="I232" t="str">
        <f>_xlfn.XLOOKUP(A232,A231:A830,[1]Sheet3!L475:L1074)</f>
        <v>Amritsar</v>
      </c>
      <c r="J232" t="str">
        <f>_xlfn.XLOOKUP(A232,A231:A830,[1]Sheet3!M475:M1074)</f>
        <v>Beauty</v>
      </c>
      <c r="K232" t="str">
        <f>_xlfn.XLOOKUP('Retail Sales'!A476,'Retail Sales'!A475:A1074,[1]Sheet3!N475:N1074)</f>
        <v>Hair Oil</v>
      </c>
      <c r="L232" s="5">
        <f>_xlfn.XLOOKUP(A232,A231:A830,[1]Sheet3!P475:P1074)</f>
        <v>10</v>
      </c>
      <c r="M232" s="7">
        <f>_xlfn.XLOOKUP(A232,A231:A830,[1]Sheet3!Q475:Q1074)</f>
        <v>2477.1</v>
      </c>
      <c r="N232" s="9">
        <f>_xlfn.XLOOKUP(A232,A231:A830,[1]Sheet3!S475:S1074)</f>
        <v>0.19</v>
      </c>
      <c r="O232" s="7">
        <f>_xlfn.XLOOKUP(A232,A231:A830,[1]Sheet3!T475:T1074)</f>
        <v>19204</v>
      </c>
      <c r="P232" s="7">
        <f>_xlfn.XLOOKUP(A232,A231:A830,[1]Sheet3!U475:U1074)</f>
        <v>9210.86</v>
      </c>
      <c r="Q232" s="11">
        <f>_xlfn.XLOOKUP(A232,A231:A830,[1]Sheet3!V475:V1074)</f>
        <v>0.47963236825661326</v>
      </c>
      <c r="R232" s="7">
        <f>_xlfn.XLOOKUP(A232,A231:A830,[1]Sheet3!W475:W1074)</f>
        <v>24.71</v>
      </c>
      <c r="S232" t="str">
        <f>_xlfn.XLOOKUP(A232,A231:A830,[1]Sheet3!X475:X1074)</f>
        <v>Credit Card</v>
      </c>
      <c r="T232" s="5">
        <f>_xlfn.XLOOKUP(A232,A231:A830,[1]Sheet3!Z475:Z1074)</f>
        <v>5</v>
      </c>
      <c r="U232" t="b">
        <f>_xlfn.XLOOKUP(A232,A231:A830,[1]Sheet3!AA475:AA1074)</f>
        <v>0</v>
      </c>
      <c r="V232" t="str">
        <f>_xlfn.XLOOKUP(A232,A231:A830,[1]Sheet3!AC475:AC1074)</f>
        <v>Cancelled</v>
      </c>
      <c r="W232" s="5">
        <f>_xlfn.XLOOKUP(A232,A231:A830,[1]Sheet3!AE475:AE1074)</f>
        <v>8</v>
      </c>
    </row>
    <row r="233" spans="1:23" x14ac:dyDescent="0.35">
      <c r="A233" t="s">
        <v>232</v>
      </c>
      <c r="B233" s="1">
        <f>_xlfn.XLOOKUP(A233,A232:A831,[1]Sheet3!C367:C966)</f>
        <v>44591</v>
      </c>
      <c r="C233" t="str">
        <f>_xlfn.XLOOKUP(A233,A232:A831,[1]Sheet3!D367:D966)</f>
        <v>CUST33909</v>
      </c>
      <c r="D233" t="str">
        <f>_xlfn.XLOOKUP(A233,A232:A831,[1]Sheet3!E367:E966)</f>
        <v>Amit Reddy</v>
      </c>
      <c r="E233" s="5">
        <f>_xlfn.XLOOKUP(A233,A232:A831,[1]Sheet3!G367:G966)</f>
        <v>28</v>
      </c>
      <c r="F233" t="str">
        <f>_xlfn.XLOOKUP('Retail Sales'!A368,'Retail Sales'!A367:A966,[1]Sheet3!H367:H966)</f>
        <v>Young Adult</v>
      </c>
      <c r="G233" t="str">
        <f>_xlfn.XLOOKUP(A233,A232:A831,[1]Sheet3!J367:J966)</f>
        <v>Female</v>
      </c>
      <c r="H233" t="str">
        <f>_xlfn.XLOOKUP(A233,A232:A831,[1]Sheet3!K367:K966)</f>
        <v>North</v>
      </c>
      <c r="I233" t="str">
        <f>_xlfn.XLOOKUP(A233,A232:A831,[1]Sheet3!L367:L966)</f>
        <v>Chandigarh</v>
      </c>
      <c r="J233" t="str">
        <f>_xlfn.XLOOKUP(A233,A232:A831,[1]Sheet3!M367:M966)</f>
        <v>Books</v>
      </c>
      <c r="K233" t="str">
        <f>_xlfn.XLOOKUP('Retail Sales'!A368,'Retail Sales'!A367:A966,[1]Sheet3!N367:N966)</f>
        <v>Comic Book</v>
      </c>
      <c r="L233" s="5">
        <f>_xlfn.XLOOKUP(A233,A232:A831,[1]Sheet3!P367:P966)</f>
        <v>4</v>
      </c>
      <c r="M233" s="7">
        <f>_xlfn.XLOOKUP(A233,A232:A831,[1]Sheet3!Q367:Q966)</f>
        <v>1134.8900000000001</v>
      </c>
      <c r="N233" s="9">
        <f>_xlfn.XLOOKUP(A233,A232:A831,[1]Sheet3!S367:S966)</f>
        <v>0.05</v>
      </c>
      <c r="O233" s="7">
        <f>_xlfn.XLOOKUP(A233,A232:A831,[1]Sheet3!T367:T966)</f>
        <v>3201.22</v>
      </c>
      <c r="P233" s="7">
        <f>_xlfn.XLOOKUP(A233,A232:A831,[1]Sheet3!U367:U966)</f>
        <v>939.71</v>
      </c>
      <c r="Q233" s="11">
        <f>_xlfn.XLOOKUP(A233,A232:A831,[1]Sheet3!V367:V966)</f>
        <v>0.29354746003086324</v>
      </c>
      <c r="R233" s="7">
        <f>_xlfn.XLOOKUP(A233,A232:A831,[1]Sheet3!W367:W966)</f>
        <v>68.97</v>
      </c>
      <c r="S233" t="str">
        <f>_xlfn.XLOOKUP(A233,A232:A831,[1]Sheet3!X367:X966)</f>
        <v>Net Banking</v>
      </c>
      <c r="T233" s="5">
        <f>_xlfn.XLOOKUP(A233,A232:A831,[1]Sheet3!Z367:Z966)</f>
        <v>4</v>
      </c>
      <c r="U233" t="b">
        <f>_xlfn.XLOOKUP(A233,A232:A831,[1]Sheet3!AA367:AA966)</f>
        <v>0</v>
      </c>
      <c r="V233" t="str">
        <f>_xlfn.XLOOKUP(A233,A232:A831,[1]Sheet3!AC367:AC966)</f>
        <v>Delivered</v>
      </c>
      <c r="W233" s="5">
        <f>_xlfn.XLOOKUP(A233,A232:A831,[1]Sheet3!AE367:AE966)</f>
        <v>2</v>
      </c>
    </row>
    <row r="234" spans="1:23" x14ac:dyDescent="0.35">
      <c r="A234" t="s">
        <v>145</v>
      </c>
      <c r="B234" s="1">
        <f>_xlfn.XLOOKUP(A234,A233:A832,[1]Sheet3!C454:C1053)</f>
        <v>44593</v>
      </c>
      <c r="C234" t="str">
        <f>_xlfn.XLOOKUP(A234,A233:A832,[1]Sheet3!D454:D1053)</f>
        <v>CUST71903</v>
      </c>
      <c r="D234" t="str">
        <f>_xlfn.XLOOKUP(A234,A233:A832,[1]Sheet3!E454:E1053)</f>
        <v>Rahul Sharma</v>
      </c>
      <c r="E234" s="5">
        <f>_xlfn.XLOOKUP(A234,A233:A832,[1]Sheet3!G454:G1053)</f>
        <v>30</v>
      </c>
      <c r="F234" t="str">
        <f>_xlfn.XLOOKUP('Retail Sales'!A455,'Retail Sales'!A454:A1053,[1]Sheet3!H454:H1053)</f>
        <v>Young Adult</v>
      </c>
      <c r="G234" t="str">
        <f>_xlfn.XLOOKUP(A234,A233:A832,[1]Sheet3!J454:J1053)</f>
        <v>Female</v>
      </c>
      <c r="H234" t="str">
        <f>_xlfn.XLOOKUP(A234,A233:A832,[1]Sheet3!K454:K1053)</f>
        <v>East</v>
      </c>
      <c r="I234" t="str">
        <f>_xlfn.XLOOKUP(A234,A233:A832,[1]Sheet3!L454:L1053)</f>
        <v>Bhubaneswar</v>
      </c>
      <c r="J234" t="str">
        <f>_xlfn.XLOOKUP(A234,A233:A832,[1]Sheet3!M454:M1053)</f>
        <v>Beauty</v>
      </c>
      <c r="K234" t="str">
        <f>_xlfn.XLOOKUP('Retail Sales'!A455,'Retail Sales'!A454:A1053,[1]Sheet3!N454:N1053)</f>
        <v>Shampoo</v>
      </c>
      <c r="L234" s="5">
        <f>_xlfn.XLOOKUP(A234,A233:A832,[1]Sheet3!P454:P1053)</f>
        <v>10</v>
      </c>
      <c r="M234" s="7">
        <f>_xlfn.XLOOKUP(A234,A233:A832,[1]Sheet3!Q454:Q1053)</f>
        <v>1797.87</v>
      </c>
      <c r="N234" s="9">
        <f>_xlfn.XLOOKUP(A234,A233:A832,[1]Sheet3!S454:S1053)</f>
        <v>0.31</v>
      </c>
      <c r="O234" s="7">
        <f>_xlfn.XLOOKUP(A234,A233:A832,[1]Sheet3!T454:T1053)</f>
        <v>12188.57</v>
      </c>
      <c r="P234" s="7">
        <f>_xlfn.XLOOKUP(A234,A233:A832,[1]Sheet3!U454:U1053)</f>
        <v>2948.45</v>
      </c>
      <c r="Q234" s="11">
        <f>_xlfn.XLOOKUP(A234,A233:A832,[1]Sheet3!V454:V1053)</f>
        <v>0.24190286473310649</v>
      </c>
      <c r="R234" s="7">
        <f>_xlfn.XLOOKUP(A234,A233:A832,[1]Sheet3!W454:W1053)</f>
        <v>85.14</v>
      </c>
      <c r="S234" t="str">
        <f>_xlfn.XLOOKUP(A234,A233:A832,[1]Sheet3!X454:X1053)</f>
        <v>Cash on Delivery</v>
      </c>
      <c r="T234" s="5">
        <f>_xlfn.XLOOKUP(A234,A233:A832,[1]Sheet3!Z454:Z1053)</f>
        <v>3</v>
      </c>
      <c r="U234" t="b">
        <f>_xlfn.XLOOKUP(A234,A233:A832,[1]Sheet3!AA454:AA1053)</f>
        <v>0</v>
      </c>
      <c r="V234" t="str">
        <f>_xlfn.XLOOKUP(A234,A233:A832,[1]Sheet3!AC454:AC1053)</f>
        <v>Shipped</v>
      </c>
      <c r="W234" s="5">
        <f>_xlfn.XLOOKUP(A234,A233:A832,[1]Sheet3!AE454:AE1053)</f>
        <v>4</v>
      </c>
    </row>
    <row r="235" spans="1:23" x14ac:dyDescent="0.35">
      <c r="A235" t="s">
        <v>284</v>
      </c>
      <c r="B235" s="1">
        <f>_xlfn.XLOOKUP(A235,A234:A833,[1]Sheet3!C315:C914)</f>
        <v>44593</v>
      </c>
      <c r="C235" t="str">
        <f>_xlfn.XLOOKUP(A235,A234:A833,[1]Sheet3!D315:D914)</f>
        <v>CUST49015</v>
      </c>
      <c r="D235" t="str">
        <f>_xlfn.XLOOKUP(A235,A234:A833,[1]Sheet3!E315:E914)</f>
        <v>Pooja Iyer</v>
      </c>
      <c r="E235" s="5">
        <f>_xlfn.XLOOKUP(A235,A234:A833,[1]Sheet3!G315:G914)</f>
        <v>31</v>
      </c>
      <c r="F235" t="str">
        <f>_xlfn.XLOOKUP('Retail Sales'!A316,'Retail Sales'!A315:A914,[1]Sheet3!H315:H914)</f>
        <v>Young Adult</v>
      </c>
      <c r="G235" t="str">
        <f>_xlfn.XLOOKUP(A235,A234:A833,[1]Sheet3!J315:J914)</f>
        <v>Male</v>
      </c>
      <c r="H235" t="str">
        <f>_xlfn.XLOOKUP(A235,A234:A833,[1]Sheet3!K315:K914)</f>
        <v>Central</v>
      </c>
      <c r="I235" t="str">
        <f>_xlfn.XLOOKUP(A235,A234:A833,[1]Sheet3!L315:L914)</f>
        <v>Indore</v>
      </c>
      <c r="J235" t="str">
        <f>_xlfn.XLOOKUP(A235,A234:A833,[1]Sheet3!M315:M914)</f>
        <v>Beauty</v>
      </c>
      <c r="K235" t="str">
        <f>_xlfn.XLOOKUP('Retail Sales'!A316,'Retail Sales'!A315:A914,[1]Sheet3!N315:N914)</f>
        <v>Face Cream</v>
      </c>
      <c r="L235" s="5">
        <f>_xlfn.XLOOKUP(A235,A234:A833,[1]Sheet3!P315:P914)</f>
        <v>7.0954861111111107</v>
      </c>
      <c r="M235" s="7">
        <f>_xlfn.XLOOKUP(A235,A234:A833,[1]Sheet3!Q315:Q914)</f>
        <v>1868.65</v>
      </c>
      <c r="N235" s="9">
        <f>_xlfn.XLOOKUP(A235,A234:A833,[1]Sheet3!S315:S914)</f>
        <v>0.06</v>
      </c>
      <c r="O235" s="7">
        <f>_xlfn.XLOOKUP(A235,A234:A833,[1]Sheet3!T315:T914)</f>
        <v>1684.76</v>
      </c>
      <c r="P235" s="7">
        <f>_xlfn.XLOOKUP(A235,A234:A833,[1]Sheet3!U315:U914)</f>
        <v>667.36</v>
      </c>
      <c r="Q235" s="11">
        <f>_xlfn.XLOOKUP(A235,A234:A833,[1]Sheet3!V315:V914)</f>
        <v>0.39611576723094094</v>
      </c>
      <c r="R235" s="7">
        <f>_xlfn.XLOOKUP(A235,A234:A833,[1]Sheet3!W315:W914)</f>
        <v>71.239999999999995</v>
      </c>
      <c r="S235" t="str">
        <f>_xlfn.XLOOKUP(A235,A234:A833,[1]Sheet3!X315:X914)</f>
        <v>UPI</v>
      </c>
      <c r="T235" s="5">
        <f>_xlfn.XLOOKUP(A235,A234:A833,[1]Sheet3!Z315:Z914)</f>
        <v>4</v>
      </c>
      <c r="U235" t="b">
        <f>_xlfn.XLOOKUP(A235,A234:A833,[1]Sheet3!AA315:AA914)</f>
        <v>0</v>
      </c>
      <c r="V235" t="str">
        <f>_xlfn.XLOOKUP(A235,A234:A833,[1]Sheet3!AC315:AC914)</f>
        <v>Delivered</v>
      </c>
      <c r="W235" s="5">
        <f>_xlfn.XLOOKUP(A235,A234:A833,[1]Sheet3!AE315:AE914)</f>
        <v>2</v>
      </c>
    </row>
    <row r="236" spans="1:23" x14ac:dyDescent="0.35">
      <c r="A236" t="s">
        <v>168</v>
      </c>
      <c r="B236" s="1">
        <f>_xlfn.XLOOKUP(A236,A235:A834,[1]Sheet3!C431:C1030)</f>
        <v>44597</v>
      </c>
      <c r="C236" t="str">
        <f>_xlfn.XLOOKUP(A236,A235:A834,[1]Sheet3!D431:D1030)</f>
        <v>CUST05033</v>
      </c>
      <c r="D236" t="str">
        <f>_xlfn.XLOOKUP(A236,A235:A834,[1]Sheet3!E431:E1030)</f>
        <v>Pooja Mishra</v>
      </c>
      <c r="E236" s="5">
        <f>_xlfn.XLOOKUP(A236,A235:A834,[1]Sheet3!G431:G1030)</f>
        <v>22</v>
      </c>
      <c r="F236" t="str">
        <f>_xlfn.XLOOKUP('Retail Sales'!A432,'Retail Sales'!A431:A1030,[1]Sheet3!H431:H1030)</f>
        <v>Young Adult</v>
      </c>
      <c r="G236" t="str">
        <f>_xlfn.XLOOKUP(A236,A235:A834,[1]Sheet3!J431:J1030)</f>
        <v>Male</v>
      </c>
      <c r="H236" t="str">
        <f>_xlfn.XLOOKUP(A236,A235:A834,[1]Sheet3!K431:K1030)</f>
        <v>West</v>
      </c>
      <c r="I236" t="str">
        <f>_xlfn.XLOOKUP(A236,A235:A834,[1]Sheet3!L431:L1030)</f>
        <v>Ahmedabad</v>
      </c>
      <c r="J236" t="str">
        <f>_xlfn.XLOOKUP(A236,A235:A834,[1]Sheet3!M431:M1030)</f>
        <v>Sports</v>
      </c>
      <c r="K236" t="str">
        <f>_xlfn.XLOOKUP('Retail Sales'!A432,'Retail Sales'!A431:A1030,[1]Sheet3!N431:N1030)</f>
        <v>Football</v>
      </c>
      <c r="L236" s="5">
        <f>_xlfn.XLOOKUP(A236,A235:A834,[1]Sheet3!P431:P1030)</f>
        <v>8</v>
      </c>
      <c r="M236" s="7">
        <f>_xlfn.XLOOKUP(A236,A235:A834,[1]Sheet3!Q431:Q1030)</f>
        <v>11620.56</v>
      </c>
      <c r="N236" s="9">
        <f>_xlfn.XLOOKUP(A236,A235:A834,[1]Sheet3!S431:S1030)</f>
        <v>0.18</v>
      </c>
      <c r="O236" s="7">
        <f>_xlfn.XLOOKUP(A236,A235:A834,[1]Sheet3!T431:T1030)</f>
        <v>89828.71</v>
      </c>
      <c r="P236" s="7">
        <f>_xlfn.XLOOKUP(A236,A235:A834,[1]Sheet3!U431:U1030)</f>
        <v>25898.31</v>
      </c>
      <c r="Q236" s="11">
        <f>_xlfn.XLOOKUP(A236,A235:A834,[1]Sheet3!V431:V1030)</f>
        <v>0.28830771364745189</v>
      </c>
      <c r="R236" s="7">
        <f>_xlfn.XLOOKUP(A236,A235:A834,[1]Sheet3!W431:W1030)</f>
        <v>50.64</v>
      </c>
      <c r="S236" t="str">
        <f>_xlfn.XLOOKUP(A236,A235:A834,[1]Sheet3!X431:X1030)</f>
        <v>Debit Card</v>
      </c>
      <c r="T236" s="5">
        <f>_xlfn.XLOOKUP(A236,A235:A834,[1]Sheet3!Z431:Z1030)</f>
        <v>4</v>
      </c>
      <c r="U236" t="b">
        <f>_xlfn.XLOOKUP(A236,A235:A834,[1]Sheet3!AA431:AA1030)</f>
        <v>0</v>
      </c>
      <c r="V236" t="str">
        <f>_xlfn.XLOOKUP(A236,A235:A834,[1]Sheet3!AC431:AC1030)</f>
        <v>Delivered</v>
      </c>
      <c r="W236" s="5">
        <f>_xlfn.XLOOKUP(A236,A235:A834,[1]Sheet3!AE431:AE1030)</f>
        <v>2</v>
      </c>
    </row>
    <row r="237" spans="1:23" x14ac:dyDescent="0.35">
      <c r="A237" t="s">
        <v>144</v>
      </c>
      <c r="B237" s="1">
        <f>_xlfn.XLOOKUP(A237,A236:A835,[1]Sheet3!C455:C1054)</f>
        <v>44600</v>
      </c>
      <c r="C237" t="str">
        <f>_xlfn.XLOOKUP(A237,A236:A835,[1]Sheet3!D455:D1054)</f>
        <v>CUST81381</v>
      </c>
      <c r="D237" t="str">
        <f>_xlfn.XLOOKUP(A237,A236:A835,[1]Sheet3!E455:E1054)</f>
        <v>Aarav Bose</v>
      </c>
      <c r="E237" s="5">
        <f>_xlfn.XLOOKUP(A237,A236:A835,[1]Sheet3!G455:G1054)</f>
        <v>65</v>
      </c>
      <c r="F237" t="str">
        <f>_xlfn.XLOOKUP('Retail Sales'!A456,'Retail Sales'!A455:A1054,[1]Sheet3!H455:H1054)</f>
        <v>Senior</v>
      </c>
      <c r="G237" t="str">
        <f>_xlfn.XLOOKUP(A237,A236:A835,[1]Sheet3!J455:J1054)</f>
        <v>Male</v>
      </c>
      <c r="H237" t="str">
        <f>_xlfn.XLOOKUP(A237,A236:A835,[1]Sheet3!K455:K1054)</f>
        <v>North</v>
      </c>
      <c r="I237" t="str">
        <f>_xlfn.XLOOKUP(A237,A236:A835,[1]Sheet3!L455:L1054)</f>
        <v>Chandigarh</v>
      </c>
      <c r="J237" t="str">
        <f>_xlfn.XLOOKUP(A237,A236:A835,[1]Sheet3!M455:M1054)</f>
        <v>Groceries</v>
      </c>
      <c r="K237" t="str">
        <f>_xlfn.XLOOKUP('Retail Sales'!A456,'Retail Sales'!A455:A1054,[1]Sheet3!N455:N1054)</f>
        <v>Flour</v>
      </c>
      <c r="L237" s="5">
        <f>_xlfn.XLOOKUP(A237,A236:A835,[1]Sheet3!P455:P1054)</f>
        <v>10</v>
      </c>
      <c r="M237" s="7">
        <f>_xlfn.XLOOKUP(A237,A236:A835,[1]Sheet3!Q455:Q1054)</f>
        <v>299.20999999999998</v>
      </c>
      <c r="N237" s="9">
        <f>_xlfn.XLOOKUP(A237,A236:A835,[1]Sheet3!S455:S1054)</f>
        <v>0.19</v>
      </c>
      <c r="O237" s="7">
        <f>_xlfn.XLOOKUP(A237,A236:A835,[1]Sheet3!T455:T1054)</f>
        <v>2491.46</v>
      </c>
      <c r="P237" s="7">
        <f>_xlfn.XLOOKUP(A237,A236:A835,[1]Sheet3!U455:U1054)</f>
        <v>268.35000000000002</v>
      </c>
      <c r="Q237" s="11">
        <f>_xlfn.XLOOKUP(A237,A236:A835,[1]Sheet3!V455:V1054)</f>
        <v>0.1077079302898702</v>
      </c>
      <c r="R237" s="7">
        <f>_xlfn.XLOOKUP(A237,A236:A835,[1]Sheet3!W455:W1054)</f>
        <v>16.739999999999998</v>
      </c>
      <c r="S237" t="str">
        <f>_xlfn.XLOOKUP(A237,A236:A835,[1]Sheet3!X455:X1054)</f>
        <v>Net Banking</v>
      </c>
      <c r="T237" s="5">
        <f>_xlfn.XLOOKUP(A237,A236:A835,[1]Sheet3!Z455:Z1054)</f>
        <v>3</v>
      </c>
      <c r="U237" t="b">
        <f>_xlfn.XLOOKUP(A237,A236:A835,[1]Sheet3!AA455:AA1054)</f>
        <v>0</v>
      </c>
      <c r="V237" t="str">
        <f>_xlfn.XLOOKUP(A237,A236:A835,[1]Sheet3!AC455:AC1054)</f>
        <v>Delivered</v>
      </c>
      <c r="W237" s="5">
        <f>_xlfn.XLOOKUP(A237,A236:A835,[1]Sheet3!AE455:AE1054)</f>
        <v>9</v>
      </c>
    </row>
    <row r="238" spans="1:23" x14ac:dyDescent="0.35">
      <c r="A238" t="s">
        <v>513</v>
      </c>
      <c r="B238" s="1">
        <f>_xlfn.XLOOKUP(A238,A237:A836,[1]Sheet3!C86:C685)</f>
        <v>44606</v>
      </c>
      <c r="C238" t="str">
        <f>_xlfn.XLOOKUP(A238,A237:A836,[1]Sheet3!D86:D685)</f>
        <v>CUST14531</v>
      </c>
      <c r="D238" t="str">
        <f>_xlfn.XLOOKUP(A238,A237:A836,[1]Sheet3!E86:E685)</f>
        <v>Meera Gupta</v>
      </c>
      <c r="E238" s="5">
        <f>_xlfn.XLOOKUP(A238,A237:A836,[1]Sheet3!G86:G685)</f>
        <v>27</v>
      </c>
      <c r="F238" t="str">
        <f>_xlfn.XLOOKUP('Retail Sales'!A87,'Retail Sales'!A86:A685,[1]Sheet3!H86:H685)</f>
        <v>Young Adult</v>
      </c>
      <c r="G238" t="str">
        <f>_xlfn.XLOOKUP(A238,A237:A836,[1]Sheet3!J86:J685)</f>
        <v>Male</v>
      </c>
      <c r="H238" t="str">
        <f>_xlfn.XLOOKUP(A238,A237:A836,[1]Sheet3!K86:K685)</f>
        <v>North</v>
      </c>
      <c r="I238" t="str">
        <f>_xlfn.XLOOKUP(A238,A237:A836,[1]Sheet3!L86:L685)</f>
        <v>Ludhiana</v>
      </c>
      <c r="J238" t="str">
        <f>_xlfn.XLOOKUP(A238,A237:A836,[1]Sheet3!M86:M685)</f>
        <v>Furniture</v>
      </c>
      <c r="K238" t="str">
        <f>_xlfn.XLOOKUP('Retail Sales'!A87,'Retail Sales'!A86:A685,[1]Sheet3!N86:N685)</f>
        <v>Wardrobe</v>
      </c>
      <c r="L238" s="5">
        <f>_xlfn.XLOOKUP(A238,A237:A836,[1]Sheet3!P86:P685)</f>
        <v>9</v>
      </c>
      <c r="M238" s="7">
        <f>_xlfn.XLOOKUP(A238,A237:A836,[1]Sheet3!Q86:Q685)</f>
        <v>14001.85</v>
      </c>
      <c r="N238" s="9">
        <f>_xlfn.XLOOKUP(A238,A237:A836,[1]Sheet3!S86:S685)</f>
        <v>0.05</v>
      </c>
      <c r="O238" s="7">
        <f>_xlfn.XLOOKUP(A238,A237:A836,[1]Sheet3!T86:T685)</f>
        <v>118164.26</v>
      </c>
      <c r="P238" s="7">
        <f>_xlfn.XLOOKUP(A238,A237:A836,[1]Sheet3!U86:U685)</f>
        <v>40660.47</v>
      </c>
      <c r="Q238" s="11">
        <f>_xlfn.XLOOKUP(A238,A237:A836,[1]Sheet3!V86:V685)</f>
        <v>0.34410125362778898</v>
      </c>
      <c r="R238" s="7">
        <f>_xlfn.XLOOKUP(A238,A237:A836,[1]Sheet3!W86:W685)</f>
        <v>55.44</v>
      </c>
      <c r="S238" t="str">
        <f>_xlfn.XLOOKUP(A238,A237:A836,[1]Sheet3!X86:X685)</f>
        <v>UPI</v>
      </c>
      <c r="T238" s="5">
        <f>_xlfn.XLOOKUP(A238,A237:A836,[1]Sheet3!Z86:Z685)</f>
        <v>1</v>
      </c>
      <c r="U238" t="b">
        <f>_xlfn.XLOOKUP(A238,A237:A836,[1]Sheet3!AA86:AA685)</f>
        <v>1</v>
      </c>
      <c r="V238" t="str">
        <f>_xlfn.XLOOKUP(A238,A237:A836,[1]Sheet3!AC86:AC685)</f>
        <v>Returned</v>
      </c>
      <c r="W238" s="5">
        <f>_xlfn.XLOOKUP(A238,A237:A836,[1]Sheet3!AE86:AE685)</f>
        <v>1</v>
      </c>
    </row>
    <row r="239" spans="1:23" x14ac:dyDescent="0.35">
      <c r="A239" t="s">
        <v>173</v>
      </c>
      <c r="B239" s="1">
        <f>_xlfn.XLOOKUP(A239,A238:A837,[1]Sheet3!C426:C1025)</f>
        <v>44613</v>
      </c>
      <c r="C239" t="str">
        <f>_xlfn.XLOOKUP(A239,A238:A837,[1]Sheet3!D426:D1025)</f>
        <v>CUST87890</v>
      </c>
      <c r="D239" t="str">
        <f>_xlfn.XLOOKUP(A239,A238:A837,[1]Sheet3!E426:E1025)</f>
        <v>Karan Mishra</v>
      </c>
      <c r="E239" s="5">
        <f>_xlfn.XLOOKUP(A239,A238:A837,[1]Sheet3!G426:G1025)</f>
        <v>46</v>
      </c>
      <c r="F239" t="str">
        <f>_xlfn.XLOOKUP('Retail Sales'!A427,'Retail Sales'!A426:A1025,[1]Sheet3!H426:H1025)</f>
        <v>Adult</v>
      </c>
      <c r="G239" t="str">
        <f>_xlfn.XLOOKUP(A239,A238:A837,[1]Sheet3!J426:J1025)</f>
        <v>Other</v>
      </c>
      <c r="H239" t="str">
        <f>_xlfn.XLOOKUP(A239,A238:A837,[1]Sheet3!K426:K1025)</f>
        <v>Central</v>
      </c>
      <c r="I239" t="str">
        <f>_xlfn.XLOOKUP(A239,A238:A837,[1]Sheet3!L426:L1025)</f>
        <v>Nagpur</v>
      </c>
      <c r="J239" t="str">
        <f>_xlfn.XLOOKUP(A239,A238:A837,[1]Sheet3!M426:M1025)</f>
        <v>Books</v>
      </c>
      <c r="K239" t="str">
        <f>_xlfn.XLOOKUP('Retail Sales'!A427,'Retail Sales'!A426:A1025,[1]Sheet3!N426:N1025)</f>
        <v>Textbook</v>
      </c>
      <c r="L239" s="5">
        <f>_xlfn.XLOOKUP(A239,A238:A837,[1]Sheet3!P426:P1025)</f>
        <v>4</v>
      </c>
      <c r="M239" s="7">
        <f>_xlfn.XLOOKUP(A239,A238:A837,[1]Sheet3!Q426:Q1025)</f>
        <v>378.9</v>
      </c>
      <c r="N239" s="9">
        <f>_xlfn.XLOOKUP(A239,A238:A837,[1]Sheet3!S426:S1025)</f>
        <v>0.39</v>
      </c>
      <c r="O239" s="7">
        <f>_xlfn.XLOOKUP(A239,A238:A837,[1]Sheet3!T426:T1025)</f>
        <v>957.41</v>
      </c>
      <c r="P239" s="7">
        <f>_xlfn.XLOOKUP(A239,A238:A837,[1]Sheet3!U426:U1025)</f>
        <v>235.48</v>
      </c>
      <c r="Q239" s="11">
        <f>_xlfn.XLOOKUP(A239,A238:A837,[1]Sheet3!V426:V1025)</f>
        <v>0.24595523339008366</v>
      </c>
      <c r="R239" s="7">
        <f>_xlfn.XLOOKUP(A239,A238:A837,[1]Sheet3!W426:W1025)</f>
        <v>29.15</v>
      </c>
      <c r="S239" t="str">
        <f>_xlfn.XLOOKUP(A239,A238:A837,[1]Sheet3!X426:X1025)</f>
        <v>Credit Card</v>
      </c>
      <c r="T239" s="5">
        <f>_xlfn.XLOOKUP(A239,A238:A837,[1]Sheet3!Z426:Z1025)</f>
        <v>5</v>
      </c>
      <c r="U239" t="b">
        <f>_xlfn.XLOOKUP(A239,A238:A837,[1]Sheet3!AA426:AA1025)</f>
        <v>0</v>
      </c>
      <c r="V239" t="str">
        <f>_xlfn.XLOOKUP(A239,A238:A837,[1]Sheet3!AC426:AC1025)</f>
        <v>Delivered</v>
      </c>
      <c r="W239" s="5">
        <f>_xlfn.XLOOKUP(A239,A238:A837,[1]Sheet3!AE426:AE1025)</f>
        <v>3</v>
      </c>
    </row>
    <row r="240" spans="1:23" x14ac:dyDescent="0.35">
      <c r="A240" t="s">
        <v>270</v>
      </c>
      <c r="B240" s="1">
        <f>_xlfn.XLOOKUP(A240,A239:A838,[1]Sheet3!C329:C928)</f>
        <v>44617</v>
      </c>
      <c r="C240" t="str">
        <f>_xlfn.XLOOKUP(A240,A239:A838,[1]Sheet3!D329:D928)</f>
        <v>CUST42783</v>
      </c>
      <c r="D240" t="str">
        <f>_xlfn.XLOOKUP(A240,A239:A838,[1]Sheet3!E329:E928)</f>
        <v>Ritu Das</v>
      </c>
      <c r="E240" s="5">
        <f>_xlfn.XLOOKUP(A240,A239:A838,[1]Sheet3!G329:G928)</f>
        <v>25</v>
      </c>
      <c r="F240" t="str">
        <f>_xlfn.XLOOKUP('Retail Sales'!A330,'Retail Sales'!A329:A928,[1]Sheet3!H329:H928)</f>
        <v>Young Adult</v>
      </c>
      <c r="G240" t="str">
        <f>_xlfn.XLOOKUP(A240,A239:A838,[1]Sheet3!J329:J928)</f>
        <v>Other</v>
      </c>
      <c r="H240" t="str">
        <f>_xlfn.XLOOKUP(A240,A239:A838,[1]Sheet3!K329:K928)</f>
        <v>Central</v>
      </c>
      <c r="I240" t="str">
        <f>_xlfn.XLOOKUP(A240,A239:A838,[1]Sheet3!L329:L928)</f>
        <v>Indore</v>
      </c>
      <c r="J240" t="str">
        <f>_xlfn.XLOOKUP(A240,A239:A838,[1]Sheet3!M329:M928)</f>
        <v>Sports</v>
      </c>
      <c r="K240" t="str">
        <f>_xlfn.XLOOKUP('Retail Sales'!A330,'Retail Sales'!A329:A928,[1]Sheet3!N329:N928)</f>
        <v>Tennis Racket</v>
      </c>
      <c r="L240" s="5">
        <f>_xlfn.XLOOKUP(A240,A239:A838,[1]Sheet3!P329:P928)</f>
        <v>1</v>
      </c>
      <c r="M240" s="7">
        <f>_xlfn.XLOOKUP(A240,A239:A838,[1]Sheet3!Q329:Q928)</f>
        <v>7835.77</v>
      </c>
      <c r="N240" s="9">
        <f>_xlfn.XLOOKUP(A240,A239:A838,[1]Sheet3!S329:S928)</f>
        <v>0.08</v>
      </c>
      <c r="O240" s="7">
        <f>_xlfn.XLOOKUP(A240,A239:A838,[1]Sheet3!T329:T928)</f>
        <v>6868.24</v>
      </c>
      <c r="P240" s="7">
        <f>_xlfn.XLOOKUP(A240,A239:A838,[1]Sheet3!U329:U928)</f>
        <v>1599.65</v>
      </c>
      <c r="Q240" s="11">
        <f>_xlfn.XLOOKUP(A240,A239:A838,[1]Sheet3!V329:V928)</f>
        <v>0.23290537313780535</v>
      </c>
      <c r="R240" s="7">
        <f>_xlfn.XLOOKUP(A240,A239:A838,[1]Sheet3!W329:W928)</f>
        <v>44.2</v>
      </c>
      <c r="S240" t="str">
        <f>_xlfn.XLOOKUP(A240,A239:A838,[1]Sheet3!X329:X928)</f>
        <v>Credit Card</v>
      </c>
      <c r="T240" s="5">
        <f>_xlfn.XLOOKUP(A240,A239:A838,[1]Sheet3!Z329:Z928)</f>
        <v>3</v>
      </c>
      <c r="U240" t="b">
        <f>_xlfn.XLOOKUP(A240,A239:A838,[1]Sheet3!AA329:AA928)</f>
        <v>1</v>
      </c>
      <c r="V240" t="str">
        <f>_xlfn.XLOOKUP(A240,A239:A838,[1]Sheet3!AC329:AC928)</f>
        <v>Returned</v>
      </c>
      <c r="W240" s="5">
        <f>_xlfn.XLOOKUP(A240,A239:A838,[1]Sheet3!AE329:AE928)</f>
        <v>5</v>
      </c>
    </row>
    <row r="241" spans="1:23" x14ac:dyDescent="0.35">
      <c r="A241" t="s">
        <v>189</v>
      </c>
      <c r="B241" s="1">
        <f>_xlfn.XLOOKUP(A241,A240:A839,[1]Sheet3!C410:C1009)</f>
        <v>44622</v>
      </c>
      <c r="C241" t="str">
        <f>_xlfn.XLOOKUP(A241,A240:A839,[1]Sheet3!D410:D1009)</f>
        <v>CUST31446</v>
      </c>
      <c r="D241" t="str">
        <f>_xlfn.XLOOKUP(A241,A240:A839,[1]Sheet3!E410:E1009)</f>
        <v>Priya Singh</v>
      </c>
      <c r="E241" s="5">
        <f>_xlfn.XLOOKUP(A241,A240:A839,[1]Sheet3!G410:G1009)</f>
        <v>57</v>
      </c>
      <c r="F241" t="str">
        <f>_xlfn.XLOOKUP('Retail Sales'!A411,'Retail Sales'!A410:A1009,[1]Sheet3!H410:H1009)</f>
        <v>Senior</v>
      </c>
      <c r="G241" t="str">
        <f>_xlfn.XLOOKUP(A241,A240:A839,[1]Sheet3!J410:J1009)</f>
        <v>Female</v>
      </c>
      <c r="H241" t="str">
        <f>_xlfn.XLOOKUP(A241,A240:A839,[1]Sheet3!K410:K1009)</f>
        <v>North</v>
      </c>
      <c r="I241" t="str">
        <f>_xlfn.XLOOKUP(A241,A240:A839,[1]Sheet3!L410:L1009)</f>
        <v>Chandigarh</v>
      </c>
      <c r="J241" t="str">
        <f>_xlfn.XLOOKUP(A241,A240:A839,[1]Sheet3!M410:M1009)</f>
        <v>Beauty</v>
      </c>
      <c r="K241" t="str">
        <f>_xlfn.XLOOKUP('Retail Sales'!A411,'Retail Sales'!A410:A1009,[1]Sheet3!N410:N1009)</f>
        <v>Face Cream</v>
      </c>
      <c r="L241" s="5">
        <f>_xlfn.XLOOKUP(A241,A240:A839,[1]Sheet3!P410:P1009)</f>
        <v>6</v>
      </c>
      <c r="M241" s="7">
        <f>_xlfn.XLOOKUP(A241,A240:A839,[1]Sheet3!Q410:Q1009)</f>
        <v>583.99</v>
      </c>
      <c r="N241" s="9">
        <f>_xlfn.XLOOKUP(A241,A240:A839,[1]Sheet3!S410:S1009)</f>
        <v>0.26</v>
      </c>
      <c r="O241" s="7">
        <f>_xlfn.XLOOKUP(A241,A240:A839,[1]Sheet3!T410:T1009)</f>
        <v>2822.23</v>
      </c>
      <c r="P241" s="7">
        <f>_xlfn.XLOOKUP(A241,A240:A839,[1]Sheet3!U410:U1009)</f>
        <v>1322.69</v>
      </c>
      <c r="Q241" s="11">
        <f>_xlfn.XLOOKUP(A241,A240:A839,[1]Sheet3!V410:V1009)</f>
        <v>0.46866839343356143</v>
      </c>
      <c r="R241" s="7">
        <f>_xlfn.XLOOKUP(A241,A240:A839,[1]Sheet3!W410:W1009)</f>
        <v>22.05</v>
      </c>
      <c r="S241" t="str">
        <f>_xlfn.XLOOKUP(A241,A240:A839,[1]Sheet3!X410:X1009)</f>
        <v>Credit Card</v>
      </c>
      <c r="T241" s="5">
        <f>_xlfn.XLOOKUP(A241,A240:A839,[1]Sheet3!Z410:Z1009)</f>
        <v>4</v>
      </c>
      <c r="U241" t="b">
        <f>_xlfn.XLOOKUP(A241,A240:A839,[1]Sheet3!AA410:AA1009)</f>
        <v>0</v>
      </c>
      <c r="V241" t="str">
        <f>_xlfn.XLOOKUP(A241,A240:A839,[1]Sheet3!AC410:AC1009)</f>
        <v>Shipped</v>
      </c>
      <c r="W241" s="5">
        <f>_xlfn.XLOOKUP(A241,A240:A839,[1]Sheet3!AE410:AE1009)</f>
        <v>6</v>
      </c>
    </row>
    <row r="242" spans="1:23" x14ac:dyDescent="0.35">
      <c r="A242" t="s">
        <v>357</v>
      </c>
      <c r="B242" s="1">
        <f>_xlfn.XLOOKUP(A242,A241:A840,[1]Sheet3!C242:C841)</f>
        <v>44624</v>
      </c>
      <c r="C242" t="str">
        <f>_xlfn.XLOOKUP(A242,A241:A840,[1]Sheet3!D242:D841)</f>
        <v>CUST10753</v>
      </c>
      <c r="D242" t="str">
        <f>_xlfn.XLOOKUP(A242,A241:A840,[1]Sheet3!E242:E841)</f>
        <v>Kavya Kumar</v>
      </c>
      <c r="E242" s="5">
        <f>_xlfn.XLOOKUP(A242,A241:A840,[1]Sheet3!G242:G841)</f>
        <v>51</v>
      </c>
      <c r="F242" t="str">
        <f>_xlfn.XLOOKUP('Retail Sales'!A243,'Retail Sales'!A242:A841,[1]Sheet3!H242:H841)</f>
        <v>Senior</v>
      </c>
      <c r="G242" t="str">
        <f>_xlfn.XLOOKUP(A242,A241:A840,[1]Sheet3!J242:J841)</f>
        <v>Male</v>
      </c>
      <c r="H242" t="str">
        <f>_xlfn.XLOOKUP(A242,A241:A840,[1]Sheet3!K242:K841)</f>
        <v>Central</v>
      </c>
      <c r="I242" t="str">
        <f>_xlfn.XLOOKUP(A242,A241:A840,[1]Sheet3!L242:L841)</f>
        <v>Indore</v>
      </c>
      <c r="J242" t="str">
        <f>_xlfn.XLOOKUP(A242,A241:A840,[1]Sheet3!M242:M841)</f>
        <v>Beauty</v>
      </c>
      <c r="K242" t="str">
        <f>_xlfn.XLOOKUP('Retail Sales'!A243,'Retail Sales'!A242:A841,[1]Sheet3!N242:N841)</f>
        <v>Face Cream</v>
      </c>
      <c r="L242" s="5">
        <f>_xlfn.XLOOKUP(A242,A241:A840,[1]Sheet3!P242:P841)</f>
        <v>6</v>
      </c>
      <c r="M242" s="7">
        <f>_xlfn.XLOOKUP(A242,A241:A840,[1]Sheet3!Q242:Q841)</f>
        <v>153.84</v>
      </c>
      <c r="N242" s="9">
        <f>_xlfn.XLOOKUP(A242,A241:A840,[1]Sheet3!S242:S841)</f>
        <v>0.09</v>
      </c>
      <c r="O242" s="7">
        <f>_xlfn.XLOOKUP(A242,A241:A840,[1]Sheet3!T242:T841)</f>
        <v>1006.96</v>
      </c>
      <c r="P242" s="7">
        <f>_xlfn.XLOOKUP(A242,A241:A840,[1]Sheet3!U242:U841)</f>
        <v>616.53</v>
      </c>
      <c r="Q242" s="11">
        <f>_xlfn.XLOOKUP(A242,A241:A840,[1]Sheet3!V242:V841)</f>
        <v>0.61226861047112091</v>
      </c>
      <c r="R242" s="7">
        <f>_xlfn.XLOOKUP(A242,A241:A840,[1]Sheet3!W242:W841)</f>
        <v>54.61</v>
      </c>
      <c r="S242" t="str">
        <f>_xlfn.XLOOKUP(A242,A241:A840,[1]Sheet3!X242:X841)</f>
        <v>Debit Card</v>
      </c>
      <c r="T242" s="5">
        <f>_xlfn.XLOOKUP(A242,A241:A840,[1]Sheet3!Z242:Z841)</f>
        <v>3</v>
      </c>
      <c r="U242" t="b">
        <f>_xlfn.XLOOKUP(A242,A241:A840,[1]Sheet3!AA242:AA841)</f>
        <v>0</v>
      </c>
      <c r="V242" t="str">
        <f>_xlfn.XLOOKUP(A242,A241:A840,[1]Sheet3!AC242:AC841)</f>
        <v>Delivered</v>
      </c>
      <c r="W242" s="5">
        <f>_xlfn.XLOOKUP(A242,A241:A840,[1]Sheet3!AE242:AE841)</f>
        <v>9</v>
      </c>
    </row>
    <row r="243" spans="1:23" x14ac:dyDescent="0.35">
      <c r="A243" t="s">
        <v>582</v>
      </c>
      <c r="B243" s="1">
        <f>_xlfn.XLOOKUP(A243,A242:A841,[1]Sheet3!C17:C616)</f>
        <v>44634</v>
      </c>
      <c r="C243" t="str">
        <f>_xlfn.XLOOKUP(A243,A242:A841,[1]Sheet3!D17:D616)</f>
        <v>CUST08792</v>
      </c>
      <c r="D243" t="str">
        <f>_xlfn.XLOOKUP(A243,A242:A841,[1]Sheet3!E17:E616)</f>
        <v>Rahul Gupta</v>
      </c>
      <c r="E243" s="5">
        <f>_xlfn.XLOOKUP(A243,A242:A841,[1]Sheet3!G17:G616)</f>
        <v>26</v>
      </c>
      <c r="F243" t="str">
        <f>_xlfn.XLOOKUP('Retail Sales'!A18,'Retail Sales'!A17:A616,[1]Sheet3!H17:H616)</f>
        <v>Young Adult</v>
      </c>
      <c r="G243" t="str">
        <f>_xlfn.XLOOKUP(A243,A242:A841,[1]Sheet3!J17:J616)</f>
        <v>Male</v>
      </c>
      <c r="H243" t="str">
        <f>_xlfn.XLOOKUP(A243,A242:A841,[1]Sheet3!K17:K616)</f>
        <v>South</v>
      </c>
      <c r="I243" t="str">
        <f>_xlfn.XLOOKUP(A243,A242:A841,[1]Sheet3!L17:L616)</f>
        <v>Bangalore</v>
      </c>
      <c r="J243" t="str">
        <f>_xlfn.XLOOKUP(A243,A242:A841,[1]Sheet3!M17:M616)</f>
        <v>Clothing</v>
      </c>
      <c r="K243" t="str">
        <f>_xlfn.XLOOKUP('Retail Sales'!A18,'Retail Sales'!A17:A616,[1]Sheet3!N17:N616)</f>
        <v>Dress</v>
      </c>
      <c r="L243" s="5">
        <f>_xlfn.XLOOKUP(A243,A242:A841,[1]Sheet3!P17:P616)</f>
        <v>10</v>
      </c>
      <c r="M243" s="7">
        <f>_xlfn.XLOOKUP(A243,A242:A841,[1]Sheet3!Q17:Q616)</f>
        <v>1706.05</v>
      </c>
      <c r="N243" s="9">
        <f>_xlfn.XLOOKUP(A243,A242:A841,[1]Sheet3!S17:S616)</f>
        <v>0.04</v>
      </c>
      <c r="O243" s="7">
        <f>_xlfn.XLOOKUP(A243,A242:A841,[1]Sheet3!T17:T616)</f>
        <v>17995.41</v>
      </c>
      <c r="P243" s="7">
        <f>_xlfn.XLOOKUP(A243,A242:A841,[1]Sheet3!U17:U616)</f>
        <v>6453.4</v>
      </c>
      <c r="Q243" s="11">
        <f>_xlfn.XLOOKUP(A243,A242:A841,[1]Sheet3!V17:V616)</f>
        <v>0.35861366870774269</v>
      </c>
      <c r="R243" s="7">
        <f>_xlfn.XLOOKUP(A243,A242:A841,[1]Sheet3!W17:W616)</f>
        <v>89.15</v>
      </c>
      <c r="S243" t="str">
        <f>_xlfn.XLOOKUP(A243,A242:A841,[1]Sheet3!X17:X616)</f>
        <v>UPI</v>
      </c>
      <c r="T243" s="5">
        <f>_xlfn.XLOOKUP(A243,A242:A841,[1]Sheet3!Z17:Z616)</f>
        <v>5</v>
      </c>
      <c r="U243" t="b">
        <f>_xlfn.XLOOKUP(A243,A242:A841,[1]Sheet3!AA17:AA616)</f>
        <v>0</v>
      </c>
      <c r="V243" t="str">
        <f>_xlfn.XLOOKUP(A243,A242:A841,[1]Sheet3!AC17:AC616)</f>
        <v>Delivered</v>
      </c>
      <c r="W243" s="5">
        <f>_xlfn.XLOOKUP(A243,A242:A841,[1]Sheet3!AE17:AE616)</f>
        <v>4</v>
      </c>
    </row>
    <row r="244" spans="1:23" x14ac:dyDescent="0.35">
      <c r="A244" t="s">
        <v>199</v>
      </c>
      <c r="B244" s="1">
        <f>_xlfn.XLOOKUP(A244,A243:A842,[1]Sheet3!C400:C999)</f>
        <v>44636</v>
      </c>
      <c r="C244" t="str">
        <f>_xlfn.XLOOKUP(A244,A243:A842,[1]Sheet3!D400:D999)</f>
        <v>CUST07773</v>
      </c>
      <c r="D244" t="str">
        <f>_xlfn.XLOOKUP(A244,A243:A842,[1]Sheet3!E400:E999)</f>
        <v>Karan Gupta</v>
      </c>
      <c r="E244" s="5">
        <f>_xlfn.XLOOKUP(A244,A243:A842,[1]Sheet3!G400:G999)</f>
        <v>41</v>
      </c>
      <c r="F244" t="str">
        <f>_xlfn.XLOOKUP('Retail Sales'!A401,'Retail Sales'!A400:A999,[1]Sheet3!H400:H999)</f>
        <v>Adult</v>
      </c>
      <c r="G244" t="str">
        <f>_xlfn.XLOOKUP(A244,A243:A842,[1]Sheet3!J400:J999)</f>
        <v>Female</v>
      </c>
      <c r="H244" t="str">
        <f>_xlfn.XLOOKUP(A244,A243:A842,[1]Sheet3!K400:K999)</f>
        <v>South</v>
      </c>
      <c r="I244" t="str">
        <f>_xlfn.XLOOKUP(A244,A243:A842,[1]Sheet3!L400:L999)</f>
        <v>Hyderabad</v>
      </c>
      <c r="J244" t="str">
        <f>_xlfn.XLOOKUP(A244,A243:A842,[1]Sheet3!M400:M999)</f>
        <v>Books</v>
      </c>
      <c r="K244" t="str">
        <f>_xlfn.XLOOKUP('Retail Sales'!A401,'Retail Sales'!A400:A999,[1]Sheet3!N400:N999)</f>
        <v>Comic Book</v>
      </c>
      <c r="L244" s="5">
        <f>_xlfn.XLOOKUP(A244,A243:A842,[1]Sheet3!P400:P999)</f>
        <v>2</v>
      </c>
      <c r="M244" s="7">
        <f>_xlfn.XLOOKUP(A244,A243:A842,[1]Sheet3!Q400:Q999)</f>
        <v>1012.58</v>
      </c>
      <c r="N244" s="9">
        <f>_xlfn.XLOOKUP(A244,A243:A842,[1]Sheet3!S400:S999)</f>
        <v>0.19793402777777783</v>
      </c>
      <c r="O244" s="7">
        <f>_xlfn.XLOOKUP(A244,A243:A842,[1]Sheet3!T400:T999)</f>
        <v>2058.59</v>
      </c>
      <c r="P244" s="7">
        <f>_xlfn.XLOOKUP(A244,A243:A842,[1]Sheet3!U400:U999)</f>
        <v>942.39</v>
      </c>
      <c r="Q244" s="11">
        <f>_xlfn.XLOOKUP(A244,A243:A842,[1]Sheet3!V400:V999)</f>
        <v>0.45778421152342136</v>
      </c>
      <c r="R244" s="7">
        <f>_xlfn.XLOOKUP(A244,A243:A842,[1]Sheet3!W400:W999)</f>
        <v>79.239999999999995</v>
      </c>
      <c r="S244" t="str">
        <f>_xlfn.XLOOKUP(A244,A243:A842,[1]Sheet3!X400:X999)</f>
        <v>UPI</v>
      </c>
      <c r="T244" s="5">
        <f>_xlfn.XLOOKUP(A244,A243:A842,[1]Sheet3!Z400:Z999)</f>
        <v>5</v>
      </c>
      <c r="U244" t="b">
        <f>_xlfn.XLOOKUP(A244,A243:A842,[1]Sheet3!AA400:AA999)</f>
        <v>0</v>
      </c>
      <c r="V244" t="str">
        <f>_xlfn.XLOOKUP(A244,A243:A842,[1]Sheet3!AC400:AC999)</f>
        <v>Delivered</v>
      </c>
      <c r="W244" s="5">
        <f>_xlfn.XLOOKUP(A244,A243:A842,[1]Sheet3!AE400:AE999)</f>
        <v>5</v>
      </c>
    </row>
    <row r="245" spans="1:23" x14ac:dyDescent="0.35">
      <c r="A245" t="s">
        <v>320</v>
      </c>
      <c r="B245" s="1">
        <f>_xlfn.XLOOKUP(A245,A244:A843,[1]Sheet3!C279:C878)</f>
        <v>44636</v>
      </c>
      <c r="C245" t="str">
        <f>_xlfn.XLOOKUP(A245,A244:A843,[1]Sheet3!D279:D878)</f>
        <v>CUST58449</v>
      </c>
      <c r="D245" t="str">
        <f>_xlfn.XLOOKUP(A245,A244:A843,[1]Sheet3!E279:E878)</f>
        <v>Priya Chatterjee</v>
      </c>
      <c r="E245" s="5">
        <f>_xlfn.XLOOKUP(A245,A244:A843,[1]Sheet3!G279:G878)</f>
        <v>34.294220665499125</v>
      </c>
      <c r="F245" t="str">
        <f>_xlfn.XLOOKUP('Retail Sales'!A280,'Retail Sales'!A279:A878,[1]Sheet3!H279:H878)</f>
        <v>Young Adult</v>
      </c>
      <c r="G245" t="str">
        <f>_xlfn.XLOOKUP(A245,A244:A843,[1]Sheet3!J279:J878)</f>
        <v>Female</v>
      </c>
      <c r="H245" t="str">
        <f>_xlfn.XLOOKUP(A245,A244:A843,[1]Sheet3!K279:K878)</f>
        <v>North</v>
      </c>
      <c r="I245" t="str">
        <f>_xlfn.XLOOKUP(A245,A244:A843,[1]Sheet3!L279:L878)</f>
        <v>Delhi</v>
      </c>
      <c r="J245" t="str">
        <f>_xlfn.XLOOKUP(A245,A244:A843,[1]Sheet3!M279:M878)</f>
        <v>Clothing</v>
      </c>
      <c r="K245" t="str">
        <f>_xlfn.XLOOKUP('Retail Sales'!A280,'Retail Sales'!A279:A878,[1]Sheet3!N279:N878)</f>
        <v>Jeans</v>
      </c>
      <c r="L245" s="5">
        <f>_xlfn.XLOOKUP(A245,A244:A843,[1]Sheet3!P279:P878)</f>
        <v>5</v>
      </c>
      <c r="M245" s="7">
        <f>_xlfn.XLOOKUP(A245,A244:A843,[1]Sheet3!Q279:Q878)</f>
        <v>2505.4</v>
      </c>
      <c r="N245" s="9">
        <f>_xlfn.XLOOKUP(A245,A244:A843,[1]Sheet3!S279:S878)</f>
        <v>0.11</v>
      </c>
      <c r="O245" s="7">
        <f>_xlfn.XLOOKUP(A245,A244:A843,[1]Sheet3!T279:T878)</f>
        <v>12039.52</v>
      </c>
      <c r="P245" s="7">
        <f>_xlfn.XLOOKUP(A245,A244:A843,[1]Sheet3!U279:U878)</f>
        <v>4140.53</v>
      </c>
      <c r="Q245" s="11">
        <f>_xlfn.XLOOKUP(A245,A244:A843,[1]Sheet3!V279:V878)</f>
        <v>0.34391155129108136</v>
      </c>
      <c r="R245" s="7">
        <f>_xlfn.XLOOKUP(A245,A244:A843,[1]Sheet3!W279:W878)</f>
        <v>57.65</v>
      </c>
      <c r="S245" t="str">
        <f>_xlfn.XLOOKUP(A245,A244:A843,[1]Sheet3!X279:X878)</f>
        <v>Cash on Delivery</v>
      </c>
      <c r="T245" s="5">
        <f>_xlfn.XLOOKUP(A245,A244:A843,[1]Sheet3!Z279:Z878)</f>
        <v>3</v>
      </c>
      <c r="U245" t="b">
        <f>_xlfn.XLOOKUP(A245,A244:A843,[1]Sheet3!AA279:AA878)</f>
        <v>0</v>
      </c>
      <c r="V245" t="str">
        <f>_xlfn.XLOOKUP(A245,A244:A843,[1]Sheet3!AC279:AC878)</f>
        <v>Delivered</v>
      </c>
      <c r="W245" s="5">
        <f>_xlfn.XLOOKUP(A245,A244:A843,[1]Sheet3!AE279:AE878)</f>
        <v>1</v>
      </c>
    </row>
    <row r="246" spans="1:23" x14ac:dyDescent="0.35">
      <c r="A246" t="s">
        <v>290</v>
      </c>
      <c r="B246" s="1">
        <f>_xlfn.XLOOKUP(A246,A245:A844,[1]Sheet3!C309:C908)</f>
        <v>44637</v>
      </c>
      <c r="C246" t="str">
        <f>_xlfn.XLOOKUP(A246,A245:A844,[1]Sheet3!D309:D908)</f>
        <v>CUST42492</v>
      </c>
      <c r="D246" t="str">
        <f>_xlfn.XLOOKUP(A246,A245:A844,[1]Sheet3!E309:E908)</f>
        <v>Nikhil Bose</v>
      </c>
      <c r="E246" s="5">
        <f>_xlfn.XLOOKUP(A246,A245:A844,[1]Sheet3!G309:G908)</f>
        <v>26</v>
      </c>
      <c r="F246" t="str">
        <f>_xlfn.XLOOKUP('Retail Sales'!A310,'Retail Sales'!A309:A908,[1]Sheet3!H309:H908)</f>
        <v>Young Adult</v>
      </c>
      <c r="G246" t="str">
        <f>_xlfn.XLOOKUP(A246,A245:A844,[1]Sheet3!J309:J908)</f>
        <v>Male</v>
      </c>
      <c r="H246" t="str">
        <f>_xlfn.XLOOKUP(A246,A245:A844,[1]Sheet3!K309:K908)</f>
        <v>South</v>
      </c>
      <c r="I246" t="str">
        <f>_xlfn.XLOOKUP(A246,A245:A844,[1]Sheet3!L309:L908)</f>
        <v>Bangalore</v>
      </c>
      <c r="J246" t="str">
        <f>_xlfn.XLOOKUP(A246,A245:A844,[1]Sheet3!M309:M908)</f>
        <v>Beauty</v>
      </c>
      <c r="K246" t="str">
        <f>_xlfn.XLOOKUP('Retail Sales'!A310,'Retail Sales'!A309:A908,[1]Sheet3!N309:N908)</f>
        <v>Sunscreen</v>
      </c>
      <c r="L246" s="5">
        <f>_xlfn.XLOOKUP(A246,A245:A844,[1]Sheet3!P309:P908)</f>
        <v>2</v>
      </c>
      <c r="M246" s="7">
        <f>_xlfn.XLOOKUP(A246,A245:A844,[1]Sheet3!Q309:Q908)</f>
        <v>563.96</v>
      </c>
      <c r="N246" s="9">
        <f>_xlfn.XLOOKUP(A246,A245:A844,[1]Sheet3!S309:S908)</f>
        <v>0.19793402777777783</v>
      </c>
      <c r="O246" s="7">
        <f>_xlfn.XLOOKUP(A246,A245:A844,[1]Sheet3!T309:T908)</f>
        <v>1382.93</v>
      </c>
      <c r="P246" s="7">
        <f>_xlfn.XLOOKUP(A246,A245:A844,[1]Sheet3!U309:U908)</f>
        <v>529.71</v>
      </c>
      <c r="Q246" s="11">
        <f>_xlfn.XLOOKUP(A246,A245:A844,[1]Sheet3!V309:V908)</f>
        <v>0.38303457152567377</v>
      </c>
      <c r="R246" s="7">
        <f>_xlfn.XLOOKUP(A246,A245:A844,[1]Sheet3!W309:W908)</f>
        <v>100.92</v>
      </c>
      <c r="S246" t="str">
        <f>_xlfn.XLOOKUP(A246,A245:A844,[1]Sheet3!X309:X908)</f>
        <v>Cash on Delivery</v>
      </c>
      <c r="T246" s="5">
        <f>_xlfn.XLOOKUP(A246,A245:A844,[1]Sheet3!Z309:Z908)</f>
        <v>4</v>
      </c>
      <c r="U246" t="b">
        <f>_xlfn.XLOOKUP(A246,A245:A844,[1]Sheet3!AA309:AA908)</f>
        <v>0</v>
      </c>
      <c r="V246" t="str">
        <f>_xlfn.XLOOKUP(A246,A245:A844,[1]Sheet3!AC309:AC908)</f>
        <v>Delivered</v>
      </c>
      <c r="W246" s="5">
        <f>_xlfn.XLOOKUP(A246,A245:A844,[1]Sheet3!AE309:AE908)</f>
        <v>1</v>
      </c>
    </row>
    <row r="247" spans="1:23" x14ac:dyDescent="0.35">
      <c r="A247" t="s">
        <v>275</v>
      </c>
      <c r="B247" s="1">
        <f>_xlfn.XLOOKUP(A247,A246:A845,[1]Sheet3!C324:C923)</f>
        <v>44646</v>
      </c>
      <c r="C247" t="str">
        <f>_xlfn.XLOOKUP(A247,A246:A845,[1]Sheet3!D324:D923)</f>
        <v>CUST02321</v>
      </c>
      <c r="D247" t="str">
        <f>_xlfn.XLOOKUP(A247,A246:A845,[1]Sheet3!E324:E923)</f>
        <v>Sunita Patel</v>
      </c>
      <c r="E247" s="5">
        <f>_xlfn.XLOOKUP(A247,A246:A845,[1]Sheet3!G324:G923)</f>
        <v>26</v>
      </c>
      <c r="F247" t="str">
        <f>_xlfn.XLOOKUP('Retail Sales'!A325,'Retail Sales'!A324:A923,[1]Sheet3!H324:H923)</f>
        <v>Young Adult</v>
      </c>
      <c r="G247" t="str">
        <f>_xlfn.XLOOKUP(A247,A246:A845,[1]Sheet3!J324:J923)</f>
        <v>Female</v>
      </c>
      <c r="H247" t="str">
        <f>_xlfn.XLOOKUP(A247,A246:A845,[1]Sheet3!K324:K923)</f>
        <v>West</v>
      </c>
      <c r="I247" t="str">
        <f>_xlfn.XLOOKUP(A247,A246:A845,[1]Sheet3!L324:L923)</f>
        <v>Surat</v>
      </c>
      <c r="J247" t="str">
        <f>_xlfn.XLOOKUP(A247,A246:A845,[1]Sheet3!M324:M923)</f>
        <v>Beauty</v>
      </c>
      <c r="K247" t="str">
        <f>_xlfn.XLOOKUP('Retail Sales'!A325,'Retail Sales'!A324:A923,[1]Sheet3!N324:N923)</f>
        <v>Shampoo</v>
      </c>
      <c r="L247" s="5">
        <f>_xlfn.XLOOKUP(A247,A246:A845,[1]Sheet3!P324:P923)</f>
        <v>10</v>
      </c>
      <c r="M247" s="7">
        <f>_xlfn.XLOOKUP(A247,A246:A845,[1]Sheet3!Q324:Q923)</f>
        <v>160.57</v>
      </c>
      <c r="N247" s="9">
        <f>_xlfn.XLOOKUP(A247,A246:A845,[1]Sheet3!S324:S923)</f>
        <v>0.38</v>
      </c>
      <c r="O247" s="7">
        <f>_xlfn.XLOOKUP(A247,A246:A845,[1]Sheet3!T324:T923)</f>
        <v>1214.0999999999999</v>
      </c>
      <c r="P247" s="7">
        <f>_xlfn.XLOOKUP(A247,A246:A845,[1]Sheet3!U324:U923)</f>
        <v>697.82</v>
      </c>
      <c r="Q247" s="11">
        <f>_xlfn.XLOOKUP(A247,A246:A845,[1]Sheet3!V324:V923)</f>
        <v>0.57476319907750606</v>
      </c>
      <c r="R247" s="7">
        <f>_xlfn.XLOOKUP(A247,A246:A845,[1]Sheet3!W324:W923)</f>
        <v>51.31</v>
      </c>
      <c r="S247" t="str">
        <f>_xlfn.XLOOKUP(A247,A246:A845,[1]Sheet3!X324:X923)</f>
        <v>Credit Card</v>
      </c>
      <c r="T247" s="5">
        <f>_xlfn.XLOOKUP(A247,A246:A845,[1]Sheet3!Z324:Z923)</f>
        <v>3</v>
      </c>
      <c r="U247" t="b">
        <f>_xlfn.XLOOKUP(A247,A246:A845,[1]Sheet3!AA324:AA923)</f>
        <v>0</v>
      </c>
      <c r="V247" t="str">
        <f>_xlfn.XLOOKUP(A247,A246:A845,[1]Sheet3!AC324:AC923)</f>
        <v>Delivered</v>
      </c>
      <c r="W247" s="5">
        <f>_xlfn.XLOOKUP(A247,A246:A845,[1]Sheet3!AE324:AE923)</f>
        <v>2</v>
      </c>
    </row>
    <row r="248" spans="1:23" x14ac:dyDescent="0.35">
      <c r="A248" t="s">
        <v>568</v>
      </c>
      <c r="B248" s="1">
        <f>_xlfn.XLOOKUP(A248,A247:A846,[1]Sheet3!C31:C630)</f>
        <v>44649</v>
      </c>
      <c r="C248" t="str">
        <f>_xlfn.XLOOKUP(A248,A247:A846,[1]Sheet3!D31:D630)</f>
        <v>CUST43339</v>
      </c>
      <c r="D248" t="str">
        <f>_xlfn.XLOOKUP(A248,A247:A846,[1]Sheet3!E31:E630)</f>
        <v>Arjun Pillai</v>
      </c>
      <c r="E248" s="5">
        <f>_xlfn.XLOOKUP(A248,A247:A846,[1]Sheet3!G31:G630)</f>
        <v>28</v>
      </c>
      <c r="F248" t="str">
        <f>_xlfn.XLOOKUP('Retail Sales'!A32,'Retail Sales'!A31:A630,[1]Sheet3!H31:H630)</f>
        <v>Young Adult</v>
      </c>
      <c r="G248" t="str">
        <f>_xlfn.XLOOKUP(A248,A247:A846,[1]Sheet3!J31:J630)</f>
        <v>Male</v>
      </c>
      <c r="H248" t="str">
        <f>_xlfn.XLOOKUP(A248,A247:A846,[1]Sheet3!K31:K630)</f>
        <v>South</v>
      </c>
      <c r="I248" t="str">
        <f>_xlfn.XLOOKUP(A248,A247:A846,[1]Sheet3!L31:L630)</f>
        <v>Kochi</v>
      </c>
      <c r="J248" t="str">
        <f>_xlfn.XLOOKUP(A248,A247:A846,[1]Sheet3!M31:M630)</f>
        <v>Sports</v>
      </c>
      <c r="K248" t="str">
        <f>_xlfn.XLOOKUP('Retail Sales'!A32,'Retail Sales'!A31:A630,[1]Sheet3!N31:N630)</f>
        <v>Cricket Bat</v>
      </c>
      <c r="L248" s="5">
        <f>_xlfn.XLOOKUP(A248,A247:A846,[1]Sheet3!P31:P630)</f>
        <v>7</v>
      </c>
      <c r="M248" s="7">
        <f>_xlfn.XLOOKUP(A248,A247:A846,[1]Sheet3!Q31:Q630)</f>
        <v>6478.95</v>
      </c>
      <c r="N248" s="9">
        <f>_xlfn.XLOOKUP(A248,A247:A846,[1]Sheet3!S31:S630)</f>
        <v>0.22</v>
      </c>
      <c r="O248" s="7">
        <f>_xlfn.XLOOKUP(A248,A247:A846,[1]Sheet3!T31:T630)</f>
        <v>43346.6</v>
      </c>
      <c r="P248" s="7">
        <f>_xlfn.XLOOKUP(A248,A247:A846,[1]Sheet3!U31:U630)</f>
        <v>8443.99</v>
      </c>
      <c r="Q248" s="11">
        <f>_xlfn.XLOOKUP(A248,A247:A846,[1]Sheet3!V31:V630)</f>
        <v>0.19480166841228608</v>
      </c>
      <c r="R248" s="7">
        <f>_xlfn.XLOOKUP(A248,A247:A846,[1]Sheet3!W31:W630)</f>
        <v>69.59</v>
      </c>
      <c r="S248" t="str">
        <f>_xlfn.XLOOKUP(A248,A247:A846,[1]Sheet3!X31:X630)</f>
        <v>EMI</v>
      </c>
      <c r="T248" s="5">
        <f>_xlfn.XLOOKUP(A248,A247:A846,[1]Sheet3!Z31:Z630)</f>
        <v>1</v>
      </c>
      <c r="U248" t="b">
        <f>_xlfn.XLOOKUP(A248,A247:A846,[1]Sheet3!AA31:AA630)</f>
        <v>0</v>
      </c>
      <c r="V248" t="str">
        <f>_xlfn.XLOOKUP(A248,A247:A846,[1]Sheet3!AC31:AC630)</f>
        <v>Delivered</v>
      </c>
      <c r="W248" s="5">
        <f>_xlfn.XLOOKUP(A248,A247:A846,[1]Sheet3!AE31:AE630)</f>
        <v>2</v>
      </c>
    </row>
    <row r="249" spans="1:23" x14ac:dyDescent="0.35">
      <c r="A249" t="s">
        <v>11</v>
      </c>
      <c r="B249" s="1">
        <f>_xlfn.XLOOKUP(A249,A248:A847,[1]Sheet3!C588:C1187)</f>
        <v>44650</v>
      </c>
      <c r="C249" t="str">
        <f>_xlfn.XLOOKUP(A249,A248:A847,[1]Sheet3!D588:D1187)</f>
        <v>CUST81634</v>
      </c>
      <c r="D249" t="str">
        <f>_xlfn.XLOOKUP(A249,A248:A847,[1]Sheet3!E588:E1187)</f>
        <v>Ananya Kumar</v>
      </c>
      <c r="E249" s="5">
        <f>_xlfn.XLOOKUP(A249,A248:A847,[1]Sheet3!G588:G1187)</f>
        <v>36</v>
      </c>
      <c r="F249" t="str">
        <f>_xlfn.XLOOKUP('Retail Sales'!A589,'Retail Sales'!A588:A1187,[1]Sheet3!H588:H1187)</f>
        <v>Adult</v>
      </c>
      <c r="G249" t="str">
        <f>_xlfn.XLOOKUP(A249,A248:A847,[1]Sheet3!J588:J1187)</f>
        <v>Male</v>
      </c>
      <c r="H249" t="str">
        <f>_xlfn.XLOOKUP(A249,A248:A847,[1]Sheet3!K588:K1187)</f>
        <v>West</v>
      </c>
      <c r="I249" t="str">
        <f>_xlfn.XLOOKUP(A249,A248:A847,[1]Sheet3!L588:L1187)</f>
        <v>Surat</v>
      </c>
      <c r="J249" t="str">
        <f>_xlfn.XLOOKUP(A249,A248:A847,[1]Sheet3!M588:M1187)</f>
        <v>Electronics</v>
      </c>
      <c r="K249" t="str">
        <f>_xlfn.XLOOKUP('Retail Sales'!A589,'Retail Sales'!A588:A1187,[1]Sheet3!N588:N1187)</f>
        <v>Tablet</v>
      </c>
      <c r="L249" s="5">
        <f>_xlfn.XLOOKUP(A249,A248:A847,[1]Sheet3!P588:P1187)</f>
        <v>1</v>
      </c>
      <c r="M249" s="7">
        <f>_xlfn.XLOOKUP(A249,A248:A847,[1]Sheet3!Q588:Q1187)</f>
        <v>28957.64</v>
      </c>
      <c r="N249" s="9">
        <f>_xlfn.XLOOKUP(A249,A248:A847,[1]Sheet3!S588:S1187)</f>
        <v>0.33</v>
      </c>
      <c r="O249" s="7">
        <f>_xlfn.XLOOKUP(A249,A248:A847,[1]Sheet3!T588:T1187)</f>
        <v>18619.849999999999</v>
      </c>
      <c r="P249" s="7">
        <f>_xlfn.XLOOKUP(A249,A248:A847,[1]Sheet3!U588:U1187)</f>
        <v>1514.95</v>
      </c>
      <c r="Q249" s="11">
        <f>_xlfn.XLOOKUP(A249,A248:A847,[1]Sheet3!V588:V1187)</f>
        <v>8.136209475371714E-2</v>
      </c>
      <c r="R249" s="7">
        <f>_xlfn.XLOOKUP(A249,A248:A847,[1]Sheet3!W588:W1187)</f>
        <v>63.73</v>
      </c>
      <c r="S249" t="str">
        <f>_xlfn.XLOOKUP(A249,A248:A847,[1]Sheet3!X588:X1187)</f>
        <v>Debit Card</v>
      </c>
      <c r="T249" s="5">
        <f>_xlfn.XLOOKUP(A249,A248:A847,[1]Sheet3!Z588:Z1187)</f>
        <v>5</v>
      </c>
      <c r="U249" t="b">
        <f>_xlfn.XLOOKUP(A249,A248:A847,[1]Sheet3!AA588:AA1187)</f>
        <v>0</v>
      </c>
      <c r="V249" t="str">
        <f>_xlfn.XLOOKUP(A249,A248:A847,[1]Sheet3!AC588:AC1187)</f>
        <v>Delivered</v>
      </c>
      <c r="W249" s="5">
        <f>_xlfn.XLOOKUP(A249,A248:A847,[1]Sheet3!AE588:AE1187)</f>
        <v>10</v>
      </c>
    </row>
    <row r="250" spans="1:23" x14ac:dyDescent="0.35">
      <c r="A250" t="s">
        <v>413</v>
      </c>
      <c r="B250" s="1">
        <f>_xlfn.XLOOKUP(A250,A249:A848,[1]Sheet3!C186:C785)</f>
        <v>44652</v>
      </c>
      <c r="C250" t="str">
        <f>_xlfn.XLOOKUP(A250,A249:A848,[1]Sheet3!D186:D785)</f>
        <v>CUST08538</v>
      </c>
      <c r="D250" t="str">
        <f>_xlfn.XLOOKUP(A250,A249:A848,[1]Sheet3!E186:E785)</f>
        <v>Shreya Kapoor</v>
      </c>
      <c r="E250" s="5">
        <f>_xlfn.XLOOKUP(A250,A249:A848,[1]Sheet3!G186:G785)</f>
        <v>33</v>
      </c>
      <c r="F250" t="str">
        <f>_xlfn.XLOOKUP('Retail Sales'!A187,'Retail Sales'!A186:A785,[1]Sheet3!H186:H785)</f>
        <v>Young Adult</v>
      </c>
      <c r="G250" t="str">
        <f>_xlfn.XLOOKUP(A250,A249:A848,[1]Sheet3!J186:J785)</f>
        <v>Male</v>
      </c>
      <c r="H250" t="str">
        <f>_xlfn.XLOOKUP(A250,A249:A848,[1]Sheet3!K186:K785)</f>
        <v>West</v>
      </c>
      <c r="I250" t="str">
        <f>_xlfn.XLOOKUP(A250,A249:A848,[1]Sheet3!L186:L785)</f>
        <v>Surat</v>
      </c>
      <c r="J250" t="str">
        <f>_xlfn.XLOOKUP(A250,A249:A848,[1]Sheet3!M186:M785)</f>
        <v>Beauty</v>
      </c>
      <c r="K250" t="str">
        <f>_xlfn.XLOOKUP('Retail Sales'!A187,'Retail Sales'!A186:A785,[1]Sheet3!N186:N785)</f>
        <v>Lipstick</v>
      </c>
      <c r="L250" s="5">
        <f>_xlfn.XLOOKUP(A250,A249:A848,[1]Sheet3!P186:P785)</f>
        <v>3</v>
      </c>
      <c r="M250" s="7">
        <f>_xlfn.XLOOKUP(A250,A249:A848,[1]Sheet3!Q186:Q785)</f>
        <v>992.1</v>
      </c>
      <c r="N250" s="9">
        <f>_xlfn.XLOOKUP(A250,A249:A848,[1]Sheet3!S186:S785)</f>
        <v>0.25</v>
      </c>
      <c r="O250" s="7">
        <f>_xlfn.XLOOKUP(A250,A249:A848,[1]Sheet3!T186:T785)</f>
        <v>3344.42</v>
      </c>
      <c r="P250" s="7">
        <f>_xlfn.XLOOKUP(A250,A249:A848,[1]Sheet3!U186:U785)</f>
        <v>1765.61</v>
      </c>
      <c r="Q250" s="11">
        <f>_xlfn.XLOOKUP(A250,A249:A848,[1]Sheet3!V186:V785)</f>
        <v>0.52792711441744755</v>
      </c>
      <c r="R250" s="7">
        <f>_xlfn.XLOOKUP(A250,A249:A848,[1]Sheet3!W186:W785)</f>
        <v>59.26</v>
      </c>
      <c r="S250" t="str">
        <f>_xlfn.XLOOKUP(A250,A249:A848,[1]Sheet3!X186:X785)</f>
        <v>Credit Card</v>
      </c>
      <c r="T250" s="5">
        <f>_xlfn.XLOOKUP(A250,A249:A848,[1]Sheet3!Z186:Z785)</f>
        <v>3</v>
      </c>
      <c r="U250" t="b">
        <f>_xlfn.XLOOKUP(A250,A249:A848,[1]Sheet3!AA186:AA785)</f>
        <v>0</v>
      </c>
      <c r="V250" t="str">
        <f>_xlfn.XLOOKUP(A250,A249:A848,[1]Sheet3!AC186:AC785)</f>
        <v>Cancelled</v>
      </c>
      <c r="W250" s="5">
        <f>_xlfn.XLOOKUP(A250,A249:A848,[1]Sheet3!AE186:AE785)</f>
        <v>4</v>
      </c>
    </row>
    <row r="251" spans="1:23" x14ac:dyDescent="0.35">
      <c r="A251" t="s">
        <v>133</v>
      </c>
      <c r="B251" s="1">
        <f>_xlfn.XLOOKUP(A251,A250:A849,[1]Sheet3!C466:C1065)</f>
        <v>44653</v>
      </c>
      <c r="C251" t="str">
        <f>_xlfn.XLOOKUP(A251,A250:A849,[1]Sheet3!D466:D1065)</f>
        <v>CUST38887</v>
      </c>
      <c r="D251" t="str">
        <f>_xlfn.XLOOKUP(A251,A250:A849,[1]Sheet3!E466:E1065)</f>
        <v>Aditya Nair</v>
      </c>
      <c r="E251" s="5">
        <f>_xlfn.XLOOKUP(A251,A250:A849,[1]Sheet3!G466:G1065)</f>
        <v>39</v>
      </c>
      <c r="F251" t="str">
        <f>_xlfn.XLOOKUP('Retail Sales'!A467,'Retail Sales'!A466:A1065,[1]Sheet3!H466:H1065)</f>
        <v>Adult</v>
      </c>
      <c r="G251" t="str">
        <f>_xlfn.XLOOKUP(A251,A250:A849,[1]Sheet3!J466:J1065)</f>
        <v>Other</v>
      </c>
      <c r="H251" t="str">
        <f>_xlfn.XLOOKUP(A251,A250:A849,[1]Sheet3!K466:K1065)</f>
        <v>West</v>
      </c>
      <c r="I251" t="str">
        <f>_xlfn.XLOOKUP(A251,A250:A849,[1]Sheet3!L466:L1065)</f>
        <v>Ahmedabad</v>
      </c>
      <c r="J251" t="str">
        <f>_xlfn.XLOOKUP(A251,A250:A849,[1]Sheet3!M466:M1065)</f>
        <v>Groceries</v>
      </c>
      <c r="K251" t="str">
        <f>_xlfn.XLOOKUP('Retail Sales'!A467,'Retail Sales'!A466:A1065,[1]Sheet3!N466:N1065)</f>
        <v>Dal (1kg)</v>
      </c>
      <c r="L251" s="5">
        <f>_xlfn.XLOOKUP(A251,A250:A849,[1]Sheet3!P466:P1065)</f>
        <v>3</v>
      </c>
      <c r="M251" s="7">
        <f>_xlfn.XLOOKUP(A251,A250:A849,[1]Sheet3!Q466:Q1065)</f>
        <v>475.6</v>
      </c>
      <c r="N251" s="9">
        <f>_xlfn.XLOOKUP(A251,A250:A849,[1]Sheet3!S466:S1065)</f>
        <v>0.18</v>
      </c>
      <c r="O251" s="7">
        <f>_xlfn.XLOOKUP(A251,A250:A849,[1]Sheet3!T466:T1065)</f>
        <v>1586.7</v>
      </c>
      <c r="P251" s="7">
        <f>_xlfn.XLOOKUP(A251,A250:A849,[1]Sheet3!U466:U1065)</f>
        <v>154.07</v>
      </c>
      <c r="Q251" s="11">
        <f>_xlfn.XLOOKUP(A251,A250:A849,[1]Sheet3!V466:V1065)</f>
        <v>9.7100901241570545E-2</v>
      </c>
      <c r="R251" s="7">
        <f>_xlfn.XLOOKUP(A251,A250:A849,[1]Sheet3!W466:W1065)</f>
        <v>65.63</v>
      </c>
      <c r="S251" t="str">
        <f>_xlfn.XLOOKUP(A251,A250:A849,[1]Sheet3!X466:X1065)</f>
        <v>Credit Card</v>
      </c>
      <c r="T251" s="5">
        <f>_xlfn.XLOOKUP(A251,A250:A849,[1]Sheet3!Z466:Z1065)</f>
        <v>1</v>
      </c>
      <c r="U251" t="b">
        <f>_xlfn.XLOOKUP(A251,A250:A849,[1]Sheet3!AA466:AA1065)</f>
        <v>0</v>
      </c>
      <c r="V251" t="str">
        <f>_xlfn.XLOOKUP(A251,A250:A849,[1]Sheet3!AC466:AC1065)</f>
        <v>Shipped</v>
      </c>
      <c r="W251" s="5">
        <f>_xlfn.XLOOKUP(A251,A250:A849,[1]Sheet3!AE466:AE1065)</f>
        <v>10</v>
      </c>
    </row>
    <row r="252" spans="1:23" x14ac:dyDescent="0.35">
      <c r="A252" t="s">
        <v>443</v>
      </c>
      <c r="B252" s="1">
        <f>_xlfn.XLOOKUP(A252,A251:A850,[1]Sheet3!C156:C755)</f>
        <v>44655</v>
      </c>
      <c r="C252" t="str">
        <f>_xlfn.XLOOKUP(A252,A251:A850,[1]Sheet3!D156:D755)</f>
        <v>CUST05359</v>
      </c>
      <c r="D252" t="str">
        <f>_xlfn.XLOOKUP(A252,A251:A850,[1]Sheet3!E156:E755)</f>
        <v>Aditya Mehta</v>
      </c>
      <c r="E252" s="5">
        <f>_xlfn.XLOOKUP(A252,A251:A850,[1]Sheet3!G156:G755)</f>
        <v>26</v>
      </c>
      <c r="F252" t="str">
        <f>_xlfn.XLOOKUP('Retail Sales'!A157,'Retail Sales'!A156:A755,[1]Sheet3!H156:H755)</f>
        <v>Young Adult</v>
      </c>
      <c r="G252" t="str">
        <f>_xlfn.XLOOKUP(A252,A251:A850,[1]Sheet3!J156:J755)</f>
        <v>Female</v>
      </c>
      <c r="H252" t="str">
        <f>_xlfn.XLOOKUP(A252,A251:A850,[1]Sheet3!K156:K755)</f>
        <v>East</v>
      </c>
      <c r="I252" t="str">
        <f>_xlfn.XLOOKUP(A252,A251:A850,[1]Sheet3!L156:L755)</f>
        <v>Kolkata</v>
      </c>
      <c r="J252" t="str">
        <f>_xlfn.XLOOKUP(A252,A251:A850,[1]Sheet3!M156:M755)</f>
        <v>Electronics</v>
      </c>
      <c r="K252" t="str">
        <f>_xlfn.XLOOKUP('Retail Sales'!A157,'Retail Sales'!A156:A755,[1]Sheet3!N156:N755)</f>
        <v>Camera</v>
      </c>
      <c r="L252" s="5">
        <f>_xlfn.XLOOKUP(A252,A251:A850,[1]Sheet3!P156:P755)</f>
        <v>8</v>
      </c>
      <c r="M252" s="7">
        <f>_xlfn.XLOOKUP(A252,A251:A850,[1]Sheet3!Q156:Q755)</f>
        <v>64439.74</v>
      </c>
      <c r="N252" s="9">
        <f>_xlfn.XLOOKUP(A252,A251:A850,[1]Sheet3!S156:S755)</f>
        <v>0.23</v>
      </c>
      <c r="O252" s="7">
        <f>_xlfn.XLOOKUP(A252,A251:A850,[1]Sheet3!T156:T755)</f>
        <v>542100.67000000004</v>
      </c>
      <c r="P252" s="7">
        <f>_xlfn.XLOOKUP(A252,A251:A850,[1]Sheet3!U156:U755)</f>
        <v>80671.009999999995</v>
      </c>
      <c r="Q252" s="11">
        <f>_xlfn.XLOOKUP(A252,A251:A850,[1]Sheet3!V156:V755)</f>
        <v>0.1488118618263283</v>
      </c>
      <c r="R252" s="7">
        <f>_xlfn.XLOOKUP(A252,A251:A850,[1]Sheet3!W156:W755)</f>
        <v>103.41</v>
      </c>
      <c r="S252" t="str">
        <f>_xlfn.XLOOKUP(A252,A251:A850,[1]Sheet3!X156:X755)</f>
        <v>Debit Card</v>
      </c>
      <c r="T252" s="5">
        <f>_xlfn.XLOOKUP(A252,A251:A850,[1]Sheet3!Z156:Z755)</f>
        <v>1</v>
      </c>
      <c r="U252" t="b">
        <f>_xlfn.XLOOKUP(A252,A251:A850,[1]Sheet3!AA156:AA755)</f>
        <v>0</v>
      </c>
      <c r="V252" t="str">
        <f>_xlfn.XLOOKUP(A252,A251:A850,[1]Sheet3!AC156:AC755)</f>
        <v>Delivered</v>
      </c>
      <c r="W252" s="5">
        <f>_xlfn.XLOOKUP(A252,A251:A850,[1]Sheet3!AE156:AE755)</f>
        <v>3</v>
      </c>
    </row>
    <row r="253" spans="1:23" x14ac:dyDescent="0.35">
      <c r="A253" t="s">
        <v>549</v>
      </c>
      <c r="B253" s="1">
        <f>_xlfn.XLOOKUP(A253,A252:A851,[1]Sheet3!C50:C649)</f>
        <v>44656</v>
      </c>
      <c r="C253" t="str">
        <f>_xlfn.XLOOKUP(A253,A252:A851,[1]Sheet3!D50:D649)</f>
        <v>CUST73941</v>
      </c>
      <c r="D253" t="str">
        <f>_xlfn.XLOOKUP(A253,A252:A851,[1]Sheet3!E50:E649)</f>
        <v>Aditya Mehta</v>
      </c>
      <c r="E253" s="5">
        <f>_xlfn.XLOOKUP(A253,A252:A851,[1]Sheet3!G50:G649)</f>
        <v>48</v>
      </c>
      <c r="F253" t="str">
        <f>_xlfn.XLOOKUP('Retail Sales'!A51,'Retail Sales'!A50:A649,[1]Sheet3!H50:H649)</f>
        <v>Adult</v>
      </c>
      <c r="G253" t="str">
        <f>_xlfn.XLOOKUP(A253,A252:A851,[1]Sheet3!J50:J649)</f>
        <v>Male</v>
      </c>
      <c r="H253" t="str">
        <f>_xlfn.XLOOKUP(A253,A252:A851,[1]Sheet3!K50:K649)</f>
        <v>East</v>
      </c>
      <c r="I253" t="str">
        <f>_xlfn.XLOOKUP(A253,A252:A851,[1]Sheet3!L50:L649)</f>
        <v>Bhubaneswar</v>
      </c>
      <c r="J253" t="str">
        <f>_xlfn.XLOOKUP(A253,A252:A851,[1]Sheet3!M50:M649)</f>
        <v>Groceries</v>
      </c>
      <c r="K253" t="str">
        <f>_xlfn.XLOOKUP('Retail Sales'!A51,'Retail Sales'!A50:A649,[1]Sheet3!N50:N649)</f>
        <v>Cooking Oil</v>
      </c>
      <c r="L253" s="5">
        <f>_xlfn.XLOOKUP(A253,A252:A851,[1]Sheet3!P50:P649)</f>
        <v>2</v>
      </c>
      <c r="M253" s="7">
        <f>_xlfn.XLOOKUP(A253,A252:A851,[1]Sheet3!Q50:Q649)</f>
        <v>393.55</v>
      </c>
      <c r="N253" s="9">
        <f>_xlfn.XLOOKUP(A253,A252:A851,[1]Sheet3!S50:S649)</f>
        <v>0.02</v>
      </c>
      <c r="O253" s="7">
        <f>_xlfn.XLOOKUP(A253,A252:A851,[1]Sheet3!T50:T649)</f>
        <v>1057.6500000000001</v>
      </c>
      <c r="P253" s="7">
        <f>_xlfn.XLOOKUP(A253,A252:A851,[1]Sheet3!U50:U649)</f>
        <v>87.14</v>
      </c>
      <c r="Q253" s="11">
        <f>_xlfn.XLOOKUP(A253,A252:A851,[1]Sheet3!V50:V649)</f>
        <v>8.2390204699097053E-2</v>
      </c>
      <c r="R253" s="7">
        <f>_xlfn.XLOOKUP(A253,A252:A851,[1]Sheet3!W50:W649)</f>
        <v>87.03</v>
      </c>
      <c r="S253" t="str">
        <f>_xlfn.XLOOKUP(A253,A252:A851,[1]Sheet3!X50:X649)</f>
        <v>Debit Card</v>
      </c>
      <c r="T253" s="5">
        <f>_xlfn.XLOOKUP(A253,A252:A851,[1]Sheet3!Z50:Z649)</f>
        <v>1</v>
      </c>
      <c r="U253" t="b">
        <f>_xlfn.XLOOKUP(A253,A252:A851,[1]Sheet3!AA50:AA649)</f>
        <v>0</v>
      </c>
      <c r="V253" t="str">
        <f>_xlfn.XLOOKUP(A253,A252:A851,[1]Sheet3!AC50:AC649)</f>
        <v>Delivered</v>
      </c>
      <c r="W253" s="5">
        <f>_xlfn.XLOOKUP(A253,A252:A851,[1]Sheet3!AE50:AE649)</f>
        <v>1</v>
      </c>
    </row>
    <row r="254" spans="1:23" x14ac:dyDescent="0.35">
      <c r="A254" t="s">
        <v>349</v>
      </c>
      <c r="B254" s="1">
        <f>_xlfn.XLOOKUP(A254,A253:A852,[1]Sheet3!C250:C849)</f>
        <v>44657</v>
      </c>
      <c r="C254" t="str">
        <f>_xlfn.XLOOKUP(A254,A253:A852,[1]Sheet3!D250:D849)</f>
        <v>CUST60962</v>
      </c>
      <c r="D254" t="str">
        <f>_xlfn.XLOOKUP(A254,A253:A852,[1]Sheet3!E250:E849)</f>
        <v>Shreya Rao</v>
      </c>
      <c r="E254" s="5">
        <f>_xlfn.XLOOKUP(A254,A253:A852,[1]Sheet3!G250:G849)</f>
        <v>30</v>
      </c>
      <c r="F254" t="str">
        <f>_xlfn.XLOOKUP('Retail Sales'!A251,'Retail Sales'!A250:A849,[1]Sheet3!H250:H849)</f>
        <v>Young Adult</v>
      </c>
      <c r="G254" t="str">
        <f>_xlfn.XLOOKUP(A254,A253:A852,[1]Sheet3!J250:J849)</f>
        <v>Male</v>
      </c>
      <c r="H254" t="str">
        <f>_xlfn.XLOOKUP(A254,A253:A852,[1]Sheet3!K250:K849)</f>
        <v>North</v>
      </c>
      <c r="I254" t="str">
        <f>_xlfn.XLOOKUP(A254,A253:A852,[1]Sheet3!L250:L849)</f>
        <v>Amritsar</v>
      </c>
      <c r="J254" t="str">
        <f>_xlfn.XLOOKUP(A254,A253:A852,[1]Sheet3!M250:M849)</f>
        <v>Sports</v>
      </c>
      <c r="K254" t="str">
        <f>_xlfn.XLOOKUP('Retail Sales'!A251,'Retail Sales'!A250:A849,[1]Sheet3!N250:N849)</f>
        <v>Cricket Bat</v>
      </c>
      <c r="L254" s="5">
        <f>_xlfn.XLOOKUP(A254,A253:A852,[1]Sheet3!P250:P849)</f>
        <v>10</v>
      </c>
      <c r="M254" s="7">
        <f>_xlfn.XLOOKUP(A254,A253:A852,[1]Sheet3!Q250:Q849)</f>
        <v>8393.4</v>
      </c>
      <c r="N254" s="9">
        <f>_xlfn.XLOOKUP(A254,A253:A852,[1]Sheet3!S250:S849)</f>
        <v>0.27</v>
      </c>
      <c r="O254" s="7">
        <f>_xlfn.XLOOKUP(A254,A253:A852,[1]Sheet3!T250:T849)</f>
        <v>79799.460000000006</v>
      </c>
      <c r="P254" s="7">
        <f>_xlfn.XLOOKUP(A254,A253:A852,[1]Sheet3!U250:U849)</f>
        <v>13093.99</v>
      </c>
      <c r="Q254" s="11">
        <f>_xlfn.XLOOKUP(A254,A253:A852,[1]Sheet3!V250:V849)</f>
        <v>0.16408619807702957</v>
      </c>
      <c r="R254" s="7">
        <f>_xlfn.XLOOKUP(A254,A253:A852,[1]Sheet3!W250:W849)</f>
        <v>54.18</v>
      </c>
      <c r="S254" t="str">
        <f>_xlfn.XLOOKUP(A254,A253:A852,[1]Sheet3!X250:X849)</f>
        <v>Net Banking</v>
      </c>
      <c r="T254" s="5">
        <f>_xlfn.XLOOKUP(A254,A253:A852,[1]Sheet3!Z250:Z849)</f>
        <v>2</v>
      </c>
      <c r="U254" t="b">
        <f>_xlfn.XLOOKUP(A254,A253:A852,[1]Sheet3!AA250:AA849)</f>
        <v>0</v>
      </c>
      <c r="V254" t="str">
        <f>_xlfn.XLOOKUP(A254,A253:A852,[1]Sheet3!AC250:AC849)</f>
        <v>Delivered</v>
      </c>
      <c r="W254" s="5">
        <f>_xlfn.XLOOKUP(A254,A253:A852,[1]Sheet3!AE250:AE849)</f>
        <v>8</v>
      </c>
    </row>
    <row r="255" spans="1:23" x14ac:dyDescent="0.35">
      <c r="A255" t="s">
        <v>125</v>
      </c>
      <c r="B255" s="1">
        <f>_xlfn.XLOOKUP(A255,A254:A853,[1]Sheet3!C474:C1073)</f>
        <v>44667</v>
      </c>
      <c r="C255" t="str">
        <f>_xlfn.XLOOKUP(A255,A254:A853,[1]Sheet3!D474:D1073)</f>
        <v>CUST98008</v>
      </c>
      <c r="D255" t="str">
        <f>_xlfn.XLOOKUP(A255,A254:A853,[1]Sheet3!E474:E1073)</f>
        <v>Amit Singh</v>
      </c>
      <c r="E255" s="5">
        <f>_xlfn.XLOOKUP(A255,A254:A853,[1]Sheet3!G474:G1073)</f>
        <v>39</v>
      </c>
      <c r="F255" t="str">
        <f>_xlfn.XLOOKUP('Retail Sales'!A475,'Retail Sales'!A474:A1073,[1]Sheet3!H474:H1073)</f>
        <v>Adult</v>
      </c>
      <c r="G255" t="str">
        <f>_xlfn.XLOOKUP(A255,A254:A853,[1]Sheet3!J474:J1073)</f>
        <v>Female</v>
      </c>
      <c r="H255" t="str">
        <f>_xlfn.XLOOKUP(A255,A254:A853,[1]Sheet3!K474:K1073)</f>
        <v>Central</v>
      </c>
      <c r="I255" t="str">
        <f>_xlfn.XLOOKUP(A255,A254:A853,[1]Sheet3!L474:L1073)</f>
        <v>Bhopal</v>
      </c>
      <c r="J255" t="str">
        <f>_xlfn.XLOOKUP(A255,A254:A853,[1]Sheet3!M474:M1073)</f>
        <v>Clothing</v>
      </c>
      <c r="K255" t="str">
        <f>_xlfn.XLOOKUP('Retail Sales'!A475,'Retail Sales'!A474:A1073,[1]Sheet3!N474:N1073)</f>
        <v>Dress</v>
      </c>
      <c r="L255" s="5">
        <f>_xlfn.XLOOKUP(A255,A254:A853,[1]Sheet3!P474:P1073)</f>
        <v>3</v>
      </c>
      <c r="M255" s="7">
        <f>_xlfn.XLOOKUP(A255,A254:A853,[1]Sheet3!Q474:Q1073)</f>
        <v>3710.29</v>
      </c>
      <c r="N255" s="9">
        <f>_xlfn.XLOOKUP(A255,A254:A853,[1]Sheet3!S474:S1073)</f>
        <v>0.05</v>
      </c>
      <c r="O255" s="7">
        <f>_xlfn.XLOOKUP(A255,A254:A853,[1]Sheet3!T474:T1073)</f>
        <v>14616.34</v>
      </c>
      <c r="P255" s="7">
        <f>_xlfn.XLOOKUP(A255,A254:A853,[1]Sheet3!U474:U1073)</f>
        <v>5360.81</v>
      </c>
      <c r="Q255" s="11">
        <f>_xlfn.XLOOKUP(A255,A254:A853,[1]Sheet3!V474:V1073)</f>
        <v>0.36676828809400985</v>
      </c>
      <c r="R255" s="7">
        <f>_xlfn.XLOOKUP(A255,A254:A853,[1]Sheet3!W474:W1073)</f>
        <v>62.88</v>
      </c>
      <c r="S255" t="str">
        <f>_xlfn.XLOOKUP(A255,A254:A853,[1]Sheet3!X474:X1073)</f>
        <v>Cash on Delivery</v>
      </c>
      <c r="T255" s="5">
        <f>_xlfn.XLOOKUP(A255,A254:A853,[1]Sheet3!Z474:Z1073)</f>
        <v>4</v>
      </c>
      <c r="U255" t="b">
        <f>_xlfn.XLOOKUP(A255,A254:A853,[1]Sheet3!AA474:AA1073)</f>
        <v>0</v>
      </c>
      <c r="V255" t="str">
        <f>_xlfn.XLOOKUP(A255,A254:A853,[1]Sheet3!AC474:AC1073)</f>
        <v>Delivered</v>
      </c>
      <c r="W255" s="5">
        <f>_xlfn.XLOOKUP(A255,A254:A853,[1]Sheet3!AE474:AE1073)</f>
        <v>4</v>
      </c>
    </row>
    <row r="256" spans="1:23" x14ac:dyDescent="0.35">
      <c r="A256" t="s">
        <v>478</v>
      </c>
      <c r="B256" s="1">
        <f>_xlfn.XLOOKUP(A256,A255:A854,[1]Sheet3!C121:C720)</f>
        <v>44667</v>
      </c>
      <c r="C256" t="str">
        <f>_xlfn.XLOOKUP(A256,A255:A854,[1]Sheet3!D121:D720)</f>
        <v>CUST28783</v>
      </c>
      <c r="D256" t="str">
        <f>_xlfn.XLOOKUP(A256,A255:A854,[1]Sheet3!E121:E720)</f>
        <v>Rohan Shah</v>
      </c>
      <c r="E256" s="5">
        <f>_xlfn.XLOOKUP(A256,A255:A854,[1]Sheet3!G121:G720)</f>
        <v>42</v>
      </c>
      <c r="F256" t="str">
        <f>_xlfn.XLOOKUP('Retail Sales'!A122,'Retail Sales'!A121:A720,[1]Sheet3!H121:H720)</f>
        <v>Adult</v>
      </c>
      <c r="G256" t="str">
        <f>_xlfn.XLOOKUP(A256,A255:A854,[1]Sheet3!J121:J720)</f>
        <v>Male</v>
      </c>
      <c r="H256" t="str">
        <f>_xlfn.XLOOKUP(A256,A255:A854,[1]Sheet3!K121:K720)</f>
        <v>East</v>
      </c>
      <c r="I256" t="str">
        <f>_xlfn.XLOOKUP(A256,A255:A854,[1]Sheet3!L121:L720)</f>
        <v>Bhubaneswar</v>
      </c>
      <c r="J256" t="str">
        <f>_xlfn.XLOOKUP(A256,A255:A854,[1]Sheet3!M121:M720)</f>
        <v>Beauty</v>
      </c>
      <c r="K256" t="str">
        <f>_xlfn.XLOOKUP('Retail Sales'!A122,'Retail Sales'!A121:A720,[1]Sheet3!N121:N720)</f>
        <v>Perfume</v>
      </c>
      <c r="L256" s="5">
        <f>_xlfn.XLOOKUP(A256,A255:A854,[1]Sheet3!P121:P720)</f>
        <v>7</v>
      </c>
      <c r="M256" s="7">
        <f>_xlfn.XLOOKUP(A256,A255:A854,[1]Sheet3!Q121:Q720)</f>
        <v>2235.02</v>
      </c>
      <c r="N256" s="9">
        <f>_xlfn.XLOOKUP(A256,A255:A854,[1]Sheet3!S121:S720)</f>
        <v>0.37</v>
      </c>
      <c r="O256" s="7">
        <f>_xlfn.XLOOKUP(A256,A255:A854,[1]Sheet3!T121:T720)</f>
        <v>11756.21</v>
      </c>
      <c r="P256" s="7">
        <f>_xlfn.XLOOKUP(A256,A255:A854,[1]Sheet3!U121:U720)</f>
        <v>7295.66</v>
      </c>
      <c r="Q256" s="11">
        <f>_xlfn.XLOOKUP(A256,A255:A854,[1]Sheet3!V121:V720)</f>
        <v>0.62057925130633085</v>
      </c>
      <c r="R256" s="7">
        <f>_xlfn.XLOOKUP(A256,A255:A854,[1]Sheet3!W121:W720)</f>
        <v>68.83</v>
      </c>
      <c r="S256" t="str">
        <f>_xlfn.XLOOKUP(A256,A255:A854,[1]Sheet3!X121:X720)</f>
        <v>UPI</v>
      </c>
      <c r="T256" s="5">
        <f>_xlfn.XLOOKUP(A256,A255:A854,[1]Sheet3!Z121:Z720)</f>
        <v>1</v>
      </c>
      <c r="U256" t="b">
        <f>_xlfn.XLOOKUP(A256,A255:A854,[1]Sheet3!AA121:AA720)</f>
        <v>1</v>
      </c>
      <c r="V256" t="str">
        <f>_xlfn.XLOOKUP(A256,A255:A854,[1]Sheet3!AC121:AC720)</f>
        <v>Returned</v>
      </c>
      <c r="W256" s="5">
        <f>_xlfn.XLOOKUP(A256,A255:A854,[1]Sheet3!AE121:AE720)</f>
        <v>8</v>
      </c>
    </row>
    <row r="257" spans="1:23" x14ac:dyDescent="0.35">
      <c r="A257" t="s">
        <v>457</v>
      </c>
      <c r="B257" s="1">
        <f>_xlfn.XLOOKUP(A257,A256:A855,[1]Sheet3!C142:C741)</f>
        <v>44672</v>
      </c>
      <c r="C257" t="str">
        <f>_xlfn.XLOOKUP(A257,A256:A855,[1]Sheet3!D142:D741)</f>
        <v>CUST28422</v>
      </c>
      <c r="D257" t="str">
        <f>_xlfn.XLOOKUP(A257,A256:A855,[1]Sheet3!E142:E741)</f>
        <v>Ananya Nair</v>
      </c>
      <c r="E257" s="5">
        <f>_xlfn.XLOOKUP(A257,A256:A855,[1]Sheet3!G142:G741)</f>
        <v>35</v>
      </c>
      <c r="F257" t="str">
        <f>_xlfn.XLOOKUP('Retail Sales'!A143,'Retail Sales'!A142:A741,[1]Sheet3!H142:H741)</f>
        <v>Young Adult</v>
      </c>
      <c r="G257" t="str">
        <f>_xlfn.XLOOKUP(A257,A256:A855,[1]Sheet3!J142:J741)</f>
        <v>Female</v>
      </c>
      <c r="H257" t="str">
        <f>_xlfn.XLOOKUP(A257,A256:A855,[1]Sheet3!K142:K741)</f>
        <v>West</v>
      </c>
      <c r="I257" t="str">
        <f>_xlfn.XLOOKUP(A257,A256:A855,[1]Sheet3!L142:L741)</f>
        <v>Pune</v>
      </c>
      <c r="J257" t="str">
        <f>_xlfn.XLOOKUP(A257,A256:A855,[1]Sheet3!M142:M741)</f>
        <v>Books</v>
      </c>
      <c r="K257" t="str">
        <f>_xlfn.XLOOKUP('Retail Sales'!A143,'Retail Sales'!A142:A741,[1]Sheet3!N142:N741)</f>
        <v>Cook Book</v>
      </c>
      <c r="L257" s="5">
        <f>_xlfn.XLOOKUP(A257,A256:A855,[1]Sheet3!P142:P741)</f>
        <v>5</v>
      </c>
      <c r="M257" s="7">
        <f>_xlfn.XLOOKUP(A257,A256:A855,[1]Sheet3!Q142:Q741)</f>
        <v>540.77</v>
      </c>
      <c r="N257" s="9">
        <f>_xlfn.XLOOKUP(A257,A256:A855,[1]Sheet3!S142:S741)</f>
        <v>0.28000000000000003</v>
      </c>
      <c r="O257" s="7">
        <f>_xlfn.XLOOKUP(A257,A256:A855,[1]Sheet3!T142:T741)</f>
        <v>2814.83</v>
      </c>
      <c r="P257" s="7">
        <f>_xlfn.XLOOKUP(A257,A256:A855,[1]Sheet3!U142:U741)</f>
        <v>1625.95</v>
      </c>
      <c r="Q257" s="11">
        <f>_xlfn.XLOOKUP(A257,A256:A855,[1]Sheet3!V142:V741)</f>
        <v>0.57763701537925916</v>
      </c>
      <c r="R257" s="7">
        <f>_xlfn.XLOOKUP(A257,A256:A855,[1]Sheet3!W142:W741)</f>
        <v>54.23</v>
      </c>
      <c r="S257" t="str">
        <f>_xlfn.XLOOKUP(A257,A256:A855,[1]Sheet3!X142:X741)</f>
        <v>EMI</v>
      </c>
      <c r="T257" s="5">
        <f>_xlfn.XLOOKUP(A257,A256:A855,[1]Sheet3!Z142:Z741)</f>
        <v>5</v>
      </c>
      <c r="U257" t="b">
        <f>_xlfn.XLOOKUP(A257,A256:A855,[1]Sheet3!AA142:AA741)</f>
        <v>0</v>
      </c>
      <c r="V257" t="str">
        <f>_xlfn.XLOOKUP(A257,A256:A855,[1]Sheet3!AC142:AC741)</f>
        <v>Delivered</v>
      </c>
      <c r="W257" s="5">
        <f>_xlfn.XLOOKUP(A257,A256:A855,[1]Sheet3!AE142:AE741)</f>
        <v>7</v>
      </c>
    </row>
    <row r="258" spans="1:23" x14ac:dyDescent="0.35">
      <c r="A258" t="s">
        <v>303</v>
      </c>
      <c r="B258" s="1">
        <f>_xlfn.XLOOKUP(A258,A257:A856,[1]Sheet3!C296:C895)</f>
        <v>44674</v>
      </c>
      <c r="C258" t="str">
        <f>_xlfn.XLOOKUP(A258,A257:A856,[1]Sheet3!D296:D895)</f>
        <v>CUST58083</v>
      </c>
      <c r="D258" t="str">
        <f>_xlfn.XLOOKUP(A258,A257:A856,[1]Sheet3!E296:E895)</f>
        <v>Sanjay Kapoor</v>
      </c>
      <c r="E258" s="5">
        <f>_xlfn.XLOOKUP(A258,A257:A856,[1]Sheet3!G296:G895)</f>
        <v>31</v>
      </c>
      <c r="F258" t="str">
        <f>_xlfn.XLOOKUP('Retail Sales'!A297,'Retail Sales'!A296:A895,[1]Sheet3!H296:H895)</f>
        <v>Young Adult</v>
      </c>
      <c r="G258" t="str">
        <f>_xlfn.XLOOKUP(A258,A257:A856,[1]Sheet3!J296:J895)</f>
        <v>Male</v>
      </c>
      <c r="H258" t="str">
        <f>_xlfn.XLOOKUP(A258,A257:A856,[1]Sheet3!K296:K895)</f>
        <v>Central</v>
      </c>
      <c r="I258" t="str">
        <f>_xlfn.XLOOKUP(A258,A257:A856,[1]Sheet3!L296:L895)</f>
        <v>Raipur</v>
      </c>
      <c r="J258" t="str">
        <f>_xlfn.XLOOKUP(A258,A257:A856,[1]Sheet3!M296:M895)</f>
        <v>Sports</v>
      </c>
      <c r="K258" t="str">
        <f>_xlfn.XLOOKUP('Retail Sales'!A297,'Retail Sales'!A296:A895,[1]Sheet3!N296:N895)</f>
        <v>Cricket Bat</v>
      </c>
      <c r="L258" s="5">
        <f>_xlfn.XLOOKUP(A258,A257:A856,[1]Sheet3!P296:P895)</f>
        <v>6</v>
      </c>
      <c r="M258" s="7">
        <f>_xlfn.XLOOKUP(A258,A257:A856,[1]Sheet3!Q296:Q895)</f>
        <v>12397.94</v>
      </c>
      <c r="N258" s="9">
        <f>_xlfn.XLOOKUP(A258,A257:A856,[1]Sheet3!S296:S895)</f>
        <v>0.35</v>
      </c>
      <c r="O258" s="7">
        <f>_xlfn.XLOOKUP(A258,A257:A856,[1]Sheet3!T296:T895)</f>
        <v>69539.73</v>
      </c>
      <c r="P258" s="7">
        <f>_xlfn.XLOOKUP(A258,A257:A856,[1]Sheet3!U296:U895)</f>
        <v>14673.82</v>
      </c>
      <c r="Q258" s="11">
        <f>_xlfn.XLOOKUP(A258,A257:A856,[1]Sheet3!V296:V895)</f>
        <v>0.21101347388032712</v>
      </c>
      <c r="R258" s="7">
        <f>_xlfn.XLOOKUP(A258,A257:A856,[1]Sheet3!W296:W895)</f>
        <v>51.27</v>
      </c>
      <c r="S258" t="str">
        <f>_xlfn.XLOOKUP(A258,A257:A856,[1]Sheet3!X296:X895)</f>
        <v>UPI</v>
      </c>
      <c r="T258" s="5">
        <f>_xlfn.XLOOKUP(A258,A257:A856,[1]Sheet3!Z296:Z895)</f>
        <v>2</v>
      </c>
      <c r="U258" t="b">
        <f>_xlfn.XLOOKUP(A258,A257:A856,[1]Sheet3!AA296:AA895)</f>
        <v>0</v>
      </c>
      <c r="V258" t="str">
        <f>_xlfn.XLOOKUP(A258,A257:A856,[1]Sheet3!AC296:AC895)</f>
        <v>Delivered</v>
      </c>
      <c r="W258" s="5">
        <f>_xlfn.XLOOKUP(A258,A257:A856,[1]Sheet3!AE296:AE895)</f>
        <v>1</v>
      </c>
    </row>
    <row r="259" spans="1:23" x14ac:dyDescent="0.35">
      <c r="A259" t="s">
        <v>114</v>
      </c>
      <c r="B259" s="1">
        <f>_xlfn.XLOOKUP(A259,A258:A857,[1]Sheet3!C485:C1084)</f>
        <v>44675</v>
      </c>
      <c r="C259" t="str">
        <f>_xlfn.XLOOKUP(A259,A258:A857,[1]Sheet3!D485:D1084)</f>
        <v>CUST11183</v>
      </c>
      <c r="D259" t="str">
        <f>_xlfn.XLOOKUP(A259,A258:A857,[1]Sheet3!E485:E1084)</f>
        <v>Aditya Patel</v>
      </c>
      <c r="E259" s="5">
        <f>_xlfn.XLOOKUP(A259,A258:A857,[1]Sheet3!G485:G1084)</f>
        <v>19</v>
      </c>
      <c r="F259" t="str">
        <f>_xlfn.XLOOKUP('Retail Sales'!A486,'Retail Sales'!A485:A1084,[1]Sheet3!H485:H1084)</f>
        <v>Teen</v>
      </c>
      <c r="G259" t="str">
        <f>_xlfn.XLOOKUP(A259,A258:A857,[1]Sheet3!J485:J1084)</f>
        <v>Female</v>
      </c>
      <c r="H259" t="str">
        <f>_xlfn.XLOOKUP(A259,A258:A857,[1]Sheet3!K485:K1084)</f>
        <v>East</v>
      </c>
      <c r="I259" t="str">
        <f>_xlfn.XLOOKUP(A259,A258:A857,[1]Sheet3!L485:L1084)</f>
        <v>Kolkata</v>
      </c>
      <c r="J259" t="str">
        <f>_xlfn.XLOOKUP(A259,A258:A857,[1]Sheet3!M485:M1084)</f>
        <v>Books</v>
      </c>
      <c r="K259" t="str">
        <f>_xlfn.XLOOKUP('Retail Sales'!A486,'Retail Sales'!A485:A1084,[1]Sheet3!N485:N1084)</f>
        <v>Fiction Novel</v>
      </c>
      <c r="L259" s="5">
        <f>_xlfn.XLOOKUP(A259,A258:A857,[1]Sheet3!P485:P1084)</f>
        <v>5</v>
      </c>
      <c r="M259" s="7">
        <f>_xlfn.XLOOKUP(A259,A258:A857,[1]Sheet3!Q485:Q1084)</f>
        <v>610.98</v>
      </c>
      <c r="N259" s="9">
        <f>_xlfn.XLOOKUP(A259,A258:A857,[1]Sheet3!S485:S1084)</f>
        <v>0.16</v>
      </c>
      <c r="O259" s="7">
        <f>_xlfn.XLOOKUP(A259,A258:A857,[1]Sheet3!T485:T1084)</f>
        <v>3679.38</v>
      </c>
      <c r="P259" s="7">
        <f>_xlfn.XLOOKUP(A259,A258:A857,[1]Sheet3!U485:U1084)</f>
        <v>1422.56</v>
      </c>
      <c r="Q259" s="11">
        <f>_xlfn.XLOOKUP(A259,A258:A857,[1]Sheet3!V485:V1084)</f>
        <v>0.38663035620131653</v>
      </c>
      <c r="R259" s="7">
        <f>_xlfn.XLOOKUP(A259,A258:A857,[1]Sheet3!W485:W1084)</f>
        <v>53.99</v>
      </c>
      <c r="S259" t="str">
        <f>_xlfn.XLOOKUP(A259,A258:A857,[1]Sheet3!X485:X1084)</f>
        <v>Cash on Delivery</v>
      </c>
      <c r="T259" s="5">
        <f>_xlfn.XLOOKUP(A259,A258:A857,[1]Sheet3!Z485:Z1084)</f>
        <v>4</v>
      </c>
      <c r="U259" t="b">
        <f>_xlfn.XLOOKUP(A259,A258:A857,[1]Sheet3!AA485:AA1084)</f>
        <v>0</v>
      </c>
      <c r="V259" t="str">
        <f>_xlfn.XLOOKUP(A259,A258:A857,[1]Sheet3!AC485:AC1084)</f>
        <v>Delivered</v>
      </c>
      <c r="W259" s="5">
        <f>_xlfn.XLOOKUP(A259,A258:A857,[1]Sheet3!AE485:AE1084)</f>
        <v>4</v>
      </c>
    </row>
    <row r="260" spans="1:23" x14ac:dyDescent="0.35">
      <c r="A260" t="s">
        <v>536</v>
      </c>
      <c r="B260" s="1">
        <f>_xlfn.XLOOKUP(A260,A259:A858,[1]Sheet3!C63:C662)</f>
        <v>44676</v>
      </c>
      <c r="C260" t="str">
        <f>_xlfn.XLOOKUP(A260,A259:A858,[1]Sheet3!D63:D662)</f>
        <v>CUST02114</v>
      </c>
      <c r="D260" t="str">
        <f>_xlfn.XLOOKUP(A260,A259:A858,[1]Sheet3!E63:E662)</f>
        <v>Ananya Verma</v>
      </c>
      <c r="E260" s="5">
        <f>_xlfn.XLOOKUP(A260,A259:A858,[1]Sheet3!G63:G662)</f>
        <v>34.294220665499125</v>
      </c>
      <c r="F260" t="str">
        <f>_xlfn.XLOOKUP('Retail Sales'!A64,'Retail Sales'!A63:A662,[1]Sheet3!H63:H662)</f>
        <v>Young Adult</v>
      </c>
      <c r="G260" t="str">
        <f>_xlfn.XLOOKUP(A260,A259:A858,[1]Sheet3!J63:J662)</f>
        <v>Male</v>
      </c>
      <c r="H260" t="str">
        <f>_xlfn.XLOOKUP(A260,A259:A858,[1]Sheet3!K63:K662)</f>
        <v>South</v>
      </c>
      <c r="I260" t="str">
        <f>_xlfn.XLOOKUP(A260,A259:A858,[1]Sheet3!L63:L662)</f>
        <v>Chennai</v>
      </c>
      <c r="J260" t="str">
        <f>_xlfn.XLOOKUP(A260,A259:A858,[1]Sheet3!M63:M662)</f>
        <v>Clothing</v>
      </c>
      <c r="K260" t="str">
        <f>_xlfn.XLOOKUP('Retail Sales'!A64,'Retail Sales'!A63:A662,[1]Sheet3!N63:N662)</f>
        <v>T-Shirt</v>
      </c>
      <c r="L260" s="5">
        <f>_xlfn.XLOOKUP(A260,A259:A858,[1]Sheet3!P63:P662)</f>
        <v>2</v>
      </c>
      <c r="M260" s="7">
        <f>_xlfn.XLOOKUP(A260,A259:A858,[1]Sheet3!Q63:Q662)</f>
        <v>1244.43</v>
      </c>
      <c r="N260" s="9">
        <f>_xlfn.XLOOKUP(A260,A259:A858,[1]Sheet3!S63:S662)</f>
        <v>0.23</v>
      </c>
      <c r="O260" s="7">
        <f>_xlfn.XLOOKUP(A260,A259:A858,[1]Sheet3!T63:T662)</f>
        <v>2660.47</v>
      </c>
      <c r="P260" s="7">
        <f>_xlfn.XLOOKUP(A260,A259:A858,[1]Sheet3!U63:U662)</f>
        <v>1061.94</v>
      </c>
      <c r="Q260" s="11">
        <f>_xlfn.XLOOKUP(A260,A259:A858,[1]Sheet3!V63:V662)</f>
        <v>0.39915503651610434</v>
      </c>
      <c r="R260" s="7">
        <f>_xlfn.XLOOKUP(A260,A259:A858,[1]Sheet3!W63:W662)</f>
        <v>75.05</v>
      </c>
      <c r="S260" t="str">
        <f>_xlfn.XLOOKUP(A260,A259:A858,[1]Sheet3!X63:X662)</f>
        <v>Net Banking</v>
      </c>
      <c r="T260" s="5">
        <f>_xlfn.XLOOKUP(A260,A259:A858,[1]Sheet3!Z63:Z662)</f>
        <v>5</v>
      </c>
      <c r="U260" t="b">
        <f>_xlfn.XLOOKUP(A260,A259:A858,[1]Sheet3!AA63:AA662)</f>
        <v>0</v>
      </c>
      <c r="V260" t="str">
        <f>_xlfn.XLOOKUP(A260,A259:A858,[1]Sheet3!AC63:AC662)</f>
        <v>Delivered</v>
      </c>
      <c r="W260" s="5">
        <f>_xlfn.XLOOKUP(A260,A259:A858,[1]Sheet3!AE63:AE662)</f>
        <v>2</v>
      </c>
    </row>
    <row r="261" spans="1:23" x14ac:dyDescent="0.35">
      <c r="A261" t="s">
        <v>395</v>
      </c>
      <c r="B261" s="1">
        <f>_xlfn.XLOOKUP(A261,A260:A859,[1]Sheet3!C204:C803)</f>
        <v>44680</v>
      </c>
      <c r="C261" t="str">
        <f>_xlfn.XLOOKUP(A261,A260:A859,[1]Sheet3!D204:D803)</f>
        <v>CUST28329</v>
      </c>
      <c r="D261" t="str">
        <f>_xlfn.XLOOKUP(A261,A260:A859,[1]Sheet3!E204:E803)</f>
        <v>Vikram Sharma</v>
      </c>
      <c r="E261" s="5">
        <f>_xlfn.XLOOKUP(A261,A260:A859,[1]Sheet3!G204:G803)</f>
        <v>28</v>
      </c>
      <c r="F261" t="str">
        <f>_xlfn.XLOOKUP('Retail Sales'!A205,'Retail Sales'!A204:A803,[1]Sheet3!H204:H803)</f>
        <v>Young Adult</v>
      </c>
      <c r="G261" t="str">
        <f>_xlfn.XLOOKUP(A261,A260:A859,[1]Sheet3!J204:J803)</f>
        <v>Male</v>
      </c>
      <c r="H261" t="str">
        <f>_xlfn.XLOOKUP(A261,A260:A859,[1]Sheet3!K204:K803)</f>
        <v>West</v>
      </c>
      <c r="I261" t="str">
        <f>_xlfn.XLOOKUP(A261,A260:A859,[1]Sheet3!L204:L803)</f>
        <v>Mumbai</v>
      </c>
      <c r="J261" t="str">
        <f>_xlfn.XLOOKUP(A261,A260:A859,[1]Sheet3!M204:M803)</f>
        <v>Groceries</v>
      </c>
      <c r="K261" t="str">
        <f>_xlfn.XLOOKUP('Retail Sales'!A205,'Retail Sales'!A204:A803,[1]Sheet3!N204:N803)</f>
        <v>Sugar</v>
      </c>
      <c r="L261" s="5">
        <f>_xlfn.XLOOKUP(A261,A260:A859,[1]Sheet3!P204:P803)</f>
        <v>10</v>
      </c>
      <c r="M261" s="7">
        <f>_xlfn.XLOOKUP(A261,A260:A859,[1]Sheet3!Q204:Q803)</f>
        <v>321.33999999999997</v>
      </c>
      <c r="N261" s="9">
        <f>_xlfn.XLOOKUP(A261,A260:A859,[1]Sheet3!S204:S803)</f>
        <v>0.16</v>
      </c>
      <c r="O261" s="7">
        <f>_xlfn.XLOOKUP(A261,A260:A859,[1]Sheet3!T204:T803)</f>
        <v>4232.71</v>
      </c>
      <c r="P261" s="7">
        <f>_xlfn.XLOOKUP(A261,A260:A859,[1]Sheet3!U204:U803)</f>
        <v>408.89</v>
      </c>
      <c r="Q261" s="11">
        <f>_xlfn.XLOOKUP(A261,A260:A859,[1]Sheet3!V204:V803)</f>
        <v>9.6602413111221891E-2</v>
      </c>
      <c r="R261" s="7">
        <f>_xlfn.XLOOKUP(A261,A260:A859,[1]Sheet3!W204:W803)</f>
        <v>47.89</v>
      </c>
      <c r="S261" t="str">
        <f>_xlfn.XLOOKUP(A261,A260:A859,[1]Sheet3!X204:X803)</f>
        <v>Credit Card</v>
      </c>
      <c r="T261" s="5">
        <f>_xlfn.XLOOKUP(A261,A260:A859,[1]Sheet3!Z204:Z803)</f>
        <v>1</v>
      </c>
      <c r="U261" t="b">
        <f>_xlfn.XLOOKUP(A261,A260:A859,[1]Sheet3!AA204:AA803)</f>
        <v>0</v>
      </c>
      <c r="V261" t="str">
        <f>_xlfn.XLOOKUP(A261,A260:A859,[1]Sheet3!AC204:AC803)</f>
        <v>Delivered</v>
      </c>
      <c r="W261" s="5">
        <f>_xlfn.XLOOKUP(A261,A260:A859,[1]Sheet3!AE204:AE803)</f>
        <v>9</v>
      </c>
    </row>
    <row r="262" spans="1:23" x14ac:dyDescent="0.35">
      <c r="A262" t="s">
        <v>231</v>
      </c>
      <c r="B262" s="1">
        <f>_xlfn.XLOOKUP(A262,A261:A860,[1]Sheet3!C368:C967)</f>
        <v>44682</v>
      </c>
      <c r="C262" t="str">
        <f>_xlfn.XLOOKUP(A262,A261:A860,[1]Sheet3!D368:D967)</f>
        <v>CUST73689</v>
      </c>
      <c r="D262" t="str">
        <f>_xlfn.XLOOKUP(A262,A261:A860,[1]Sheet3!E368:E967)</f>
        <v>Meera Chatterjee</v>
      </c>
      <c r="E262" s="5">
        <f>_xlfn.XLOOKUP(A262,A261:A860,[1]Sheet3!G368:G967)</f>
        <v>41</v>
      </c>
      <c r="F262" t="str">
        <f>_xlfn.XLOOKUP('Retail Sales'!A369,'Retail Sales'!A368:A967,[1]Sheet3!H368:H967)</f>
        <v>Adult</v>
      </c>
      <c r="G262" t="str">
        <f>_xlfn.XLOOKUP(A262,A261:A860,[1]Sheet3!J368:J967)</f>
        <v>Male</v>
      </c>
      <c r="H262" t="str">
        <f>_xlfn.XLOOKUP(A262,A261:A860,[1]Sheet3!K368:K967)</f>
        <v>South</v>
      </c>
      <c r="I262" t="str">
        <f>_xlfn.XLOOKUP(A262,A261:A860,[1]Sheet3!L368:L967)</f>
        <v>Kochi</v>
      </c>
      <c r="J262" t="str">
        <f>_xlfn.XLOOKUP(A262,A261:A860,[1]Sheet3!M368:M967)</f>
        <v>Clothing</v>
      </c>
      <c r="K262" t="str">
        <f>_xlfn.XLOOKUP('Retail Sales'!A369,'Retail Sales'!A368:A967,[1]Sheet3!N368:N967)</f>
        <v>Jeans</v>
      </c>
      <c r="L262" s="5">
        <f>_xlfn.XLOOKUP(A262,A261:A860,[1]Sheet3!P368:P967)</f>
        <v>9</v>
      </c>
      <c r="M262" s="7">
        <f>_xlfn.XLOOKUP(A262,A261:A860,[1]Sheet3!Q368:Q967)</f>
        <v>3373.39</v>
      </c>
      <c r="N262" s="9">
        <f>_xlfn.XLOOKUP(A262,A261:A860,[1]Sheet3!S368:S967)</f>
        <v>0.02</v>
      </c>
      <c r="O262" s="7">
        <f>_xlfn.XLOOKUP(A262,A261:A860,[1]Sheet3!T368:T967)</f>
        <v>45729.43</v>
      </c>
      <c r="P262" s="7">
        <f>_xlfn.XLOOKUP(A262,A261:A860,[1]Sheet3!U368:U967)</f>
        <v>18565.86</v>
      </c>
      <c r="Q262" s="11">
        <f>_xlfn.XLOOKUP(A262,A261:A860,[1]Sheet3!V368:V967)</f>
        <v>0.40599368940308245</v>
      </c>
      <c r="R262" s="7">
        <f>_xlfn.XLOOKUP(A262,A261:A860,[1]Sheet3!W368:W967)</f>
        <v>73.180000000000007</v>
      </c>
      <c r="S262" t="str">
        <f>_xlfn.XLOOKUP(A262,A261:A860,[1]Sheet3!X368:X967)</f>
        <v>Cash on Delivery</v>
      </c>
      <c r="T262" s="5">
        <f>_xlfn.XLOOKUP(A262,A261:A860,[1]Sheet3!Z368:Z967)</f>
        <v>2</v>
      </c>
      <c r="U262" t="b">
        <f>_xlfn.XLOOKUP(A262,A261:A860,[1]Sheet3!AA368:AA967)</f>
        <v>0</v>
      </c>
      <c r="V262" t="str">
        <f>_xlfn.XLOOKUP(A262,A261:A860,[1]Sheet3!AC368:AC967)</f>
        <v>Delivered</v>
      </c>
      <c r="W262" s="5">
        <f>_xlfn.XLOOKUP(A262,A261:A860,[1]Sheet3!AE368:AE967)</f>
        <v>4</v>
      </c>
    </row>
    <row r="263" spans="1:23" x14ac:dyDescent="0.35">
      <c r="A263" t="s">
        <v>12</v>
      </c>
      <c r="B263" s="1">
        <f>_xlfn.XLOOKUP(A263,A262:A861,[1]Sheet3!C587:C1186)</f>
        <v>44686</v>
      </c>
      <c r="C263" t="str">
        <f>_xlfn.XLOOKUP(A263,A262:A861,[1]Sheet3!D587:D1186)</f>
        <v>CUST01091</v>
      </c>
      <c r="D263" t="str">
        <f>_xlfn.XLOOKUP(A263,A262:A861,[1]Sheet3!E587:E1186)</f>
        <v>Sunita Das</v>
      </c>
      <c r="E263" s="5">
        <f>_xlfn.XLOOKUP(A263,A262:A861,[1]Sheet3!G587:G1186)</f>
        <v>32</v>
      </c>
      <c r="F263" t="str">
        <f>_xlfn.XLOOKUP('Retail Sales'!A588,'Retail Sales'!A587:A1186,[1]Sheet3!H587:H1186)</f>
        <v>Young Adult</v>
      </c>
      <c r="G263" t="str">
        <f>_xlfn.XLOOKUP(A263,A262:A861,[1]Sheet3!J587:J1186)</f>
        <v>Male</v>
      </c>
      <c r="H263" t="str">
        <f>_xlfn.XLOOKUP(A263,A262:A861,[1]Sheet3!K587:K1186)</f>
        <v>West</v>
      </c>
      <c r="I263" t="str">
        <f>_xlfn.XLOOKUP(A263,A262:A861,[1]Sheet3!L587:L1186)</f>
        <v>Pune</v>
      </c>
      <c r="J263" t="str">
        <f>_xlfn.XLOOKUP(A263,A262:A861,[1]Sheet3!M587:M1186)</f>
        <v>Beauty</v>
      </c>
      <c r="K263" t="str">
        <f>_xlfn.XLOOKUP('Retail Sales'!A588,'Retail Sales'!A587:A1186,[1]Sheet3!N587:N1186)</f>
        <v>Shampoo</v>
      </c>
      <c r="L263" s="5">
        <f>_xlfn.XLOOKUP(A263,A262:A861,[1]Sheet3!P587:P1186)</f>
        <v>3</v>
      </c>
      <c r="M263" s="7">
        <f>_xlfn.XLOOKUP(A263,A262:A861,[1]Sheet3!Q587:Q1186)</f>
        <v>1685.48</v>
      </c>
      <c r="N263" s="9">
        <f>_xlfn.XLOOKUP(A263,A262:A861,[1]Sheet3!S587:S1186)</f>
        <v>0.05</v>
      </c>
      <c r="O263" s="7">
        <f>_xlfn.XLOOKUP(A263,A262:A861,[1]Sheet3!T587:T1186)</f>
        <v>6564.17</v>
      </c>
      <c r="P263" s="7">
        <f>_xlfn.XLOOKUP(A263,A262:A861,[1]Sheet3!U587:U1186)</f>
        <v>3034.89</v>
      </c>
      <c r="Q263" s="11">
        <f>_xlfn.XLOOKUP(A263,A262:A861,[1]Sheet3!V587:V1186)</f>
        <v>0.46234177359818529</v>
      </c>
      <c r="R263" s="7">
        <f>_xlfn.XLOOKUP(A263,A262:A861,[1]Sheet3!W587:W1186)</f>
        <v>79.19</v>
      </c>
      <c r="S263" t="str">
        <f>_xlfn.XLOOKUP(A263,A262:A861,[1]Sheet3!X587:X1186)</f>
        <v>Debit Card</v>
      </c>
      <c r="T263" s="5">
        <f>_xlfn.XLOOKUP(A263,A262:A861,[1]Sheet3!Z587:Z1186)</f>
        <v>1</v>
      </c>
      <c r="U263" t="b">
        <f>_xlfn.XLOOKUP(A263,A262:A861,[1]Sheet3!AA587:AA1186)</f>
        <v>0</v>
      </c>
      <c r="V263" t="str">
        <f>_xlfn.XLOOKUP(A263,A262:A861,[1]Sheet3!AC587:AC1186)</f>
        <v>Cancelled</v>
      </c>
      <c r="W263" s="5">
        <f>_xlfn.XLOOKUP(A263,A262:A861,[1]Sheet3!AE587:AE1186)</f>
        <v>1</v>
      </c>
    </row>
    <row r="264" spans="1:23" x14ac:dyDescent="0.35">
      <c r="A264" t="s">
        <v>205</v>
      </c>
      <c r="B264" s="1">
        <f>_xlfn.XLOOKUP(A264,A263:A862,[1]Sheet3!C394:C993)</f>
        <v>44687</v>
      </c>
      <c r="C264" t="str">
        <f>_xlfn.XLOOKUP(A264,A263:A862,[1]Sheet3!D394:D993)</f>
        <v>CUST29935</v>
      </c>
      <c r="D264" t="str">
        <f>_xlfn.XLOOKUP(A264,A263:A862,[1]Sheet3!E394:E993)</f>
        <v>Sanjay Mishra</v>
      </c>
      <c r="E264" s="5">
        <f>_xlfn.XLOOKUP(A264,A263:A862,[1]Sheet3!G394:G993)</f>
        <v>30</v>
      </c>
      <c r="F264" t="str">
        <f>_xlfn.XLOOKUP('Retail Sales'!A395,'Retail Sales'!A394:A993,[1]Sheet3!H394:H993)</f>
        <v>Young Adult</v>
      </c>
      <c r="G264" t="str">
        <f>_xlfn.XLOOKUP(A264,A263:A862,[1]Sheet3!J394:J993)</f>
        <v>Female</v>
      </c>
      <c r="H264" t="str">
        <f>_xlfn.XLOOKUP(A264,A263:A862,[1]Sheet3!K394:K993)</f>
        <v>West</v>
      </c>
      <c r="I264" t="str">
        <f>_xlfn.XLOOKUP(A264,A263:A862,[1]Sheet3!L394:L993)</f>
        <v>Surat</v>
      </c>
      <c r="J264" t="str">
        <f>_xlfn.XLOOKUP(A264,A263:A862,[1]Sheet3!M394:M993)</f>
        <v>Beauty</v>
      </c>
      <c r="K264" t="str">
        <f>_xlfn.XLOOKUP('Retail Sales'!A395,'Retail Sales'!A394:A993,[1]Sheet3!N394:N993)</f>
        <v>Sunscreen</v>
      </c>
      <c r="L264" s="5">
        <f>_xlfn.XLOOKUP(A264,A263:A862,[1]Sheet3!P394:P993)</f>
        <v>8</v>
      </c>
      <c r="M264" s="7">
        <f>_xlfn.XLOOKUP(A264,A263:A862,[1]Sheet3!Q394:Q993)</f>
        <v>2364.86</v>
      </c>
      <c r="N264" s="9">
        <f>_xlfn.XLOOKUP(A264,A263:A862,[1]Sheet3!S394:S993)</f>
        <v>0.15</v>
      </c>
      <c r="O264" s="7">
        <f>_xlfn.XLOOKUP(A264,A263:A862,[1]Sheet3!T394:T993)</f>
        <v>20195.66</v>
      </c>
      <c r="P264" s="7">
        <f>_xlfn.XLOOKUP(A264,A263:A862,[1]Sheet3!U394:U993)</f>
        <v>11817.43</v>
      </c>
      <c r="Q264" s="11">
        <f>_xlfn.XLOOKUP(A264,A263:A862,[1]Sheet3!V394:V993)</f>
        <v>0.58514700683216103</v>
      </c>
      <c r="R264" s="7">
        <f>_xlfn.XLOOKUP(A264,A263:A862,[1]Sheet3!W394:W993)</f>
        <v>58.27</v>
      </c>
      <c r="S264" t="str">
        <f>_xlfn.XLOOKUP(A264,A263:A862,[1]Sheet3!X394:X993)</f>
        <v>Debit Card</v>
      </c>
      <c r="T264" s="5">
        <f>_xlfn.XLOOKUP(A264,A263:A862,[1]Sheet3!Z394:Z993)</f>
        <v>5</v>
      </c>
      <c r="U264" t="b">
        <f>_xlfn.XLOOKUP(A264,A263:A862,[1]Sheet3!AA394:AA993)</f>
        <v>0</v>
      </c>
      <c r="V264" t="str">
        <f>_xlfn.XLOOKUP(A264,A263:A862,[1]Sheet3!AC394:AC993)</f>
        <v>Delivered</v>
      </c>
      <c r="W264" s="5">
        <f>_xlfn.XLOOKUP(A264,A263:A862,[1]Sheet3!AE394:AE993)</f>
        <v>5</v>
      </c>
    </row>
    <row r="265" spans="1:23" x14ac:dyDescent="0.35">
      <c r="A265" t="s">
        <v>57</v>
      </c>
      <c r="B265" s="1">
        <f>_xlfn.XLOOKUP(A265,A264:A863,[1]Sheet3!C542:C1141)</f>
        <v>44692</v>
      </c>
      <c r="C265" t="str">
        <f>_xlfn.XLOOKUP(A265,A264:A863,[1]Sheet3!D542:D1141)</f>
        <v>CUST55786</v>
      </c>
      <c r="D265" t="str">
        <f>_xlfn.XLOOKUP(A265,A264:A863,[1]Sheet3!E542:E1141)</f>
        <v>Deepa Mehta</v>
      </c>
      <c r="E265" s="5">
        <f>_xlfn.XLOOKUP(A265,A264:A863,[1]Sheet3!G542:G1141)</f>
        <v>20</v>
      </c>
      <c r="F265" t="str">
        <f>_xlfn.XLOOKUP('Retail Sales'!A543,'Retail Sales'!A542:A1141,[1]Sheet3!H542:H1141)</f>
        <v>Young Adult</v>
      </c>
      <c r="G265" t="str">
        <f>_xlfn.XLOOKUP(A265,A264:A863,[1]Sheet3!J542:J1141)</f>
        <v>Female</v>
      </c>
      <c r="H265" t="str">
        <f>_xlfn.XLOOKUP(A265,A264:A863,[1]Sheet3!K542:K1141)</f>
        <v>South</v>
      </c>
      <c r="I265" t="str">
        <f>_xlfn.XLOOKUP(A265,A264:A863,[1]Sheet3!L542:L1141)</f>
        <v>Chennai</v>
      </c>
      <c r="J265" t="str">
        <f>_xlfn.XLOOKUP(A265,A264:A863,[1]Sheet3!M542:M1141)</f>
        <v>Beauty</v>
      </c>
      <c r="K265" t="str">
        <f>_xlfn.XLOOKUP('Retail Sales'!A543,'Retail Sales'!A542:A1141,[1]Sheet3!N542:N1141)</f>
        <v>Face Cream</v>
      </c>
      <c r="L265" s="5">
        <f>_xlfn.XLOOKUP(A265,A264:A863,[1]Sheet3!P542:P1141)</f>
        <v>6</v>
      </c>
      <c r="M265" s="7">
        <f>_xlfn.XLOOKUP(A265,A264:A863,[1]Sheet3!Q542:Q1141)</f>
        <v>2429.19</v>
      </c>
      <c r="N265" s="9">
        <f>_xlfn.XLOOKUP(A265,A264:A863,[1]Sheet3!S542:S1141)</f>
        <v>0.34</v>
      </c>
      <c r="O265" s="7">
        <f>_xlfn.XLOOKUP(A265,A264:A863,[1]Sheet3!T542:T1141)</f>
        <v>14916.43</v>
      </c>
      <c r="P265" s="7">
        <f>_xlfn.XLOOKUP(A265,A264:A863,[1]Sheet3!U542:U1141)</f>
        <v>8055.68</v>
      </c>
      <c r="Q265" s="11">
        <f>_xlfn.XLOOKUP(A265,A264:A863,[1]Sheet3!V542:V1141)</f>
        <v>0.54005415504916388</v>
      </c>
      <c r="R265" s="7">
        <f>_xlfn.XLOOKUP(A265,A264:A863,[1]Sheet3!W542:W1141)</f>
        <v>40.450000000000003</v>
      </c>
      <c r="S265" t="str">
        <f>_xlfn.XLOOKUP(A265,A264:A863,[1]Sheet3!X542:X1141)</f>
        <v>UPI</v>
      </c>
      <c r="T265" s="5">
        <f>_xlfn.XLOOKUP(A265,A264:A863,[1]Sheet3!Z542:Z1141)</f>
        <v>2</v>
      </c>
      <c r="U265" t="b">
        <f>_xlfn.XLOOKUP(A265,A264:A863,[1]Sheet3!AA542:AA1141)</f>
        <v>0</v>
      </c>
      <c r="V265" t="str">
        <f>_xlfn.XLOOKUP(A265,A264:A863,[1]Sheet3!AC542:AC1141)</f>
        <v>Delivered</v>
      </c>
      <c r="W265" s="5">
        <f>_xlfn.XLOOKUP(A265,A264:A863,[1]Sheet3!AE542:AE1141)</f>
        <v>10</v>
      </c>
    </row>
    <row r="266" spans="1:23" x14ac:dyDescent="0.35">
      <c r="A266" t="s">
        <v>40</v>
      </c>
      <c r="B266" s="1">
        <f>_xlfn.XLOOKUP(A266,A265:A864,[1]Sheet3!C559:C1158)</f>
        <v>44697</v>
      </c>
      <c r="C266" t="str">
        <f>_xlfn.XLOOKUP(A266,A265:A864,[1]Sheet3!D559:D1158)</f>
        <v>CUST60023</v>
      </c>
      <c r="D266" t="str">
        <f>_xlfn.XLOOKUP(A266,A265:A864,[1]Sheet3!E559:E1158)</f>
        <v>Rohan Rao</v>
      </c>
      <c r="E266" s="5">
        <f>_xlfn.XLOOKUP(A266,A265:A864,[1]Sheet3!G559:G1158)</f>
        <v>32</v>
      </c>
      <c r="F266" t="str">
        <f>_xlfn.XLOOKUP('Retail Sales'!A560,'Retail Sales'!A559:A1158,[1]Sheet3!H559:H1158)</f>
        <v>Young Adult</v>
      </c>
      <c r="G266" t="str">
        <f>_xlfn.XLOOKUP(A266,A265:A864,[1]Sheet3!J559:J1158)</f>
        <v>Female</v>
      </c>
      <c r="H266" t="str">
        <f>_xlfn.XLOOKUP(A266,A265:A864,[1]Sheet3!K559:K1158)</f>
        <v>West</v>
      </c>
      <c r="I266" t="str">
        <f>_xlfn.XLOOKUP(A266,A265:A864,[1]Sheet3!L559:L1158)</f>
        <v>Mumbai</v>
      </c>
      <c r="J266" t="str">
        <f>_xlfn.XLOOKUP(A266,A265:A864,[1]Sheet3!M559:M1158)</f>
        <v>Sports</v>
      </c>
      <c r="K266" t="str">
        <f>_xlfn.XLOOKUP('Retail Sales'!A560,'Retail Sales'!A559:A1158,[1]Sheet3!N559:N1158)</f>
        <v>Dumbbells</v>
      </c>
      <c r="L266" s="5">
        <f>_xlfn.XLOOKUP(A266,A265:A864,[1]Sheet3!P559:P1158)</f>
        <v>6</v>
      </c>
      <c r="M266" s="7">
        <f>_xlfn.XLOOKUP(A266,A265:A864,[1]Sheet3!Q559:Q1158)</f>
        <v>1826.8</v>
      </c>
      <c r="N266" s="9">
        <f>_xlfn.XLOOKUP(A266,A265:A864,[1]Sheet3!S559:S1158)</f>
        <v>7.0000000000000007E-2</v>
      </c>
      <c r="O266" s="7">
        <f>_xlfn.XLOOKUP(A266,A265:A864,[1]Sheet3!T559:T1158)</f>
        <v>14790.65</v>
      </c>
      <c r="P266" s="7">
        <f>_xlfn.XLOOKUP(A266,A265:A864,[1]Sheet3!U559:U1158)</f>
        <v>3473.29</v>
      </c>
      <c r="Q266" s="11">
        <f>_xlfn.XLOOKUP(A266,A265:A864,[1]Sheet3!V559:V1158)</f>
        <v>0.23483011226687131</v>
      </c>
      <c r="R266" s="7">
        <f>_xlfn.XLOOKUP(A266,A265:A864,[1]Sheet3!W559:W1158)</f>
        <v>74.41</v>
      </c>
      <c r="S266" t="str">
        <f>_xlfn.XLOOKUP(A266,A265:A864,[1]Sheet3!X559:X1158)</f>
        <v>Credit Card</v>
      </c>
      <c r="T266" s="5">
        <f>_xlfn.XLOOKUP(A266,A265:A864,[1]Sheet3!Z559:Z1158)</f>
        <v>2</v>
      </c>
      <c r="U266" t="b">
        <f>_xlfn.XLOOKUP(A266,A265:A864,[1]Sheet3!AA559:AA1158)</f>
        <v>1</v>
      </c>
      <c r="V266" t="str">
        <f>_xlfn.XLOOKUP(A266,A265:A864,[1]Sheet3!AC559:AC1158)</f>
        <v>Returned</v>
      </c>
      <c r="W266" s="5">
        <f>_xlfn.XLOOKUP(A266,A265:A864,[1]Sheet3!AE559:AE1158)</f>
        <v>6</v>
      </c>
    </row>
    <row r="267" spans="1:23" x14ac:dyDescent="0.35">
      <c r="A267" t="s">
        <v>547</v>
      </c>
      <c r="B267" s="1">
        <f>_xlfn.XLOOKUP(A267,A266:A865,[1]Sheet3!C52:C651)</f>
        <v>44701</v>
      </c>
      <c r="C267" t="str">
        <f>_xlfn.XLOOKUP(A267,A266:A865,[1]Sheet3!D52:D651)</f>
        <v>CUST46310</v>
      </c>
      <c r="D267" t="str">
        <f>_xlfn.XLOOKUP(A267,A266:A865,[1]Sheet3!E52:E651)</f>
        <v>Sanjay Kapoor</v>
      </c>
      <c r="E267" s="5">
        <f>_xlfn.XLOOKUP(A267,A266:A865,[1]Sheet3!G52:G651)</f>
        <v>28</v>
      </c>
      <c r="F267" t="str">
        <f>_xlfn.XLOOKUP('Retail Sales'!A53,'Retail Sales'!A52:A651,[1]Sheet3!H52:H651)</f>
        <v>Young Adult</v>
      </c>
      <c r="G267" t="str">
        <f>_xlfn.XLOOKUP(A267,A266:A865,[1]Sheet3!J52:J651)</f>
        <v>Male</v>
      </c>
      <c r="H267" t="str">
        <f>_xlfn.XLOOKUP(A267,A266:A865,[1]Sheet3!K52:K651)</f>
        <v>East</v>
      </c>
      <c r="I267" t="str">
        <f>_xlfn.XLOOKUP(A267,A266:A865,[1]Sheet3!L52:L651)</f>
        <v>Guwahati</v>
      </c>
      <c r="J267" t="str">
        <f>_xlfn.XLOOKUP(A267,A266:A865,[1]Sheet3!M52:M651)</f>
        <v>Books</v>
      </c>
      <c r="K267" t="str">
        <f>_xlfn.XLOOKUP('Retail Sales'!A53,'Retail Sales'!A52:A651,[1]Sheet3!N52:N651)</f>
        <v>Comic Book</v>
      </c>
      <c r="L267" s="5">
        <f>_xlfn.XLOOKUP(A267,A266:A865,[1]Sheet3!P52:P651)</f>
        <v>5</v>
      </c>
      <c r="M267" s="7">
        <f>_xlfn.XLOOKUP(A267,A266:A865,[1]Sheet3!Q52:Q651)</f>
        <v>1063.6199999999999</v>
      </c>
      <c r="N267" s="9">
        <f>_xlfn.XLOOKUP(A267,A266:A865,[1]Sheet3!S52:S651)</f>
        <v>0.16</v>
      </c>
      <c r="O267" s="7">
        <f>_xlfn.XLOOKUP(A267,A266:A865,[1]Sheet3!T52:T651)</f>
        <v>6991.06</v>
      </c>
      <c r="P267" s="7">
        <f>_xlfn.XLOOKUP(A267,A266:A865,[1]Sheet3!U52:U651)</f>
        <v>2963.48</v>
      </c>
      <c r="Q267" s="11">
        <f>_xlfn.XLOOKUP(A267,A266:A865,[1]Sheet3!V52:V651)</f>
        <v>0.42389566102994392</v>
      </c>
      <c r="R267" s="7">
        <f>_xlfn.XLOOKUP(A267,A266:A865,[1]Sheet3!W52:W651)</f>
        <v>62.28</v>
      </c>
      <c r="S267" t="str">
        <f>_xlfn.XLOOKUP(A267,A266:A865,[1]Sheet3!X52:X651)</f>
        <v>UPI</v>
      </c>
      <c r="T267" s="5">
        <f>_xlfn.XLOOKUP(A267,A266:A865,[1]Sheet3!Z52:Z651)</f>
        <v>3</v>
      </c>
      <c r="U267" t="b">
        <f>_xlfn.XLOOKUP(A267,A266:A865,[1]Sheet3!AA52:AA651)</f>
        <v>0</v>
      </c>
      <c r="V267" t="str">
        <f>_xlfn.XLOOKUP(A267,A266:A865,[1]Sheet3!AC52:AC651)</f>
        <v>Delivered</v>
      </c>
      <c r="W267" s="5">
        <f>_xlfn.XLOOKUP(A267,A266:A865,[1]Sheet3!AE52:AE651)</f>
        <v>5</v>
      </c>
    </row>
    <row r="268" spans="1:23" x14ac:dyDescent="0.35">
      <c r="A268" t="s">
        <v>460</v>
      </c>
      <c r="B268" s="1">
        <f>_xlfn.XLOOKUP(A268,A267:A866,[1]Sheet3!C139:C738)</f>
        <v>44703</v>
      </c>
      <c r="C268" t="str">
        <f>_xlfn.XLOOKUP(A268,A267:A866,[1]Sheet3!D139:D738)</f>
        <v>CUST45923</v>
      </c>
      <c r="D268" t="str">
        <f>_xlfn.XLOOKUP(A268,A267:A866,[1]Sheet3!E139:E738)</f>
        <v>Ananya Rao</v>
      </c>
      <c r="E268" s="5">
        <f>_xlfn.XLOOKUP(A268,A267:A866,[1]Sheet3!G139:G738)</f>
        <v>22</v>
      </c>
      <c r="F268" t="str">
        <f>_xlfn.XLOOKUP('Retail Sales'!A140,'Retail Sales'!A139:A738,[1]Sheet3!H139:H738)</f>
        <v>Young Adult</v>
      </c>
      <c r="G268" t="str">
        <f>_xlfn.XLOOKUP(A268,A267:A866,[1]Sheet3!J139:J738)</f>
        <v>Male</v>
      </c>
      <c r="H268" t="str">
        <f>_xlfn.XLOOKUP(A268,A267:A866,[1]Sheet3!K139:K738)</f>
        <v>West</v>
      </c>
      <c r="I268" t="str">
        <f>_xlfn.XLOOKUP(A268,A267:A866,[1]Sheet3!L139:L738)</f>
        <v>Ahmedabad</v>
      </c>
      <c r="J268" t="str">
        <f>_xlfn.XLOOKUP(A268,A267:A866,[1]Sheet3!M139:M738)</f>
        <v>Electronics</v>
      </c>
      <c r="K268" t="str">
        <f>_xlfn.XLOOKUP('Retail Sales'!A140,'Retail Sales'!A139:A738,[1]Sheet3!N139:N738)</f>
        <v>Headphones</v>
      </c>
      <c r="L268" s="5">
        <f>_xlfn.XLOOKUP(A268,A267:A866,[1]Sheet3!P139:P738)</f>
        <v>2</v>
      </c>
      <c r="M268" s="7">
        <f>_xlfn.XLOOKUP(A268,A267:A866,[1]Sheet3!Q139:Q738)</f>
        <v>72469.02</v>
      </c>
      <c r="N268" s="9">
        <f>_xlfn.XLOOKUP(A268,A267:A866,[1]Sheet3!S139:S738)</f>
        <v>0.38</v>
      </c>
      <c r="O268" s="7">
        <f>_xlfn.XLOOKUP(A268,A267:A866,[1]Sheet3!T139:T738)</f>
        <v>127833.79</v>
      </c>
      <c r="P268" s="7">
        <f>_xlfn.XLOOKUP(A268,A267:A866,[1]Sheet3!U139:U738)</f>
        <v>12280.09</v>
      </c>
      <c r="Q268" s="11">
        <f>_xlfn.XLOOKUP(A268,A267:A866,[1]Sheet3!V139:V738)</f>
        <v>9.6062942356633568E-2</v>
      </c>
      <c r="R268" s="7">
        <f>_xlfn.XLOOKUP(A268,A267:A866,[1]Sheet3!W139:W738)</f>
        <v>49.21</v>
      </c>
      <c r="S268" t="str">
        <f>_xlfn.XLOOKUP(A268,A267:A866,[1]Sheet3!X139:X738)</f>
        <v>Net Banking</v>
      </c>
      <c r="T268" s="5">
        <f>_xlfn.XLOOKUP(A268,A267:A866,[1]Sheet3!Z139:Z738)</f>
        <v>4</v>
      </c>
      <c r="U268" t="b">
        <f>_xlfn.XLOOKUP(A268,A267:A866,[1]Sheet3!AA139:AA738)</f>
        <v>0</v>
      </c>
      <c r="V268" t="str">
        <f>_xlfn.XLOOKUP(A268,A267:A866,[1]Sheet3!AC139:AC738)</f>
        <v>Cancelled</v>
      </c>
      <c r="W268" s="5">
        <f>_xlfn.XLOOKUP(A268,A267:A866,[1]Sheet3!AE139:AE738)</f>
        <v>1</v>
      </c>
    </row>
    <row r="269" spans="1:23" x14ac:dyDescent="0.35">
      <c r="A269" t="s">
        <v>578</v>
      </c>
      <c r="B269" s="1">
        <f>_xlfn.XLOOKUP(A269,A268:A867,[1]Sheet3!C21:C620)</f>
        <v>44705</v>
      </c>
      <c r="C269" t="str">
        <f>_xlfn.XLOOKUP(A269,A268:A867,[1]Sheet3!D21:D620)</f>
        <v>CUST43165</v>
      </c>
      <c r="D269" t="str">
        <f>_xlfn.XLOOKUP(A269,A268:A867,[1]Sheet3!E21:E620)</f>
        <v>Kavya Kumar</v>
      </c>
      <c r="E269" s="5">
        <f>_xlfn.XLOOKUP(A269,A268:A867,[1]Sheet3!G21:G620)</f>
        <v>15</v>
      </c>
      <c r="F269" t="str">
        <f>_xlfn.XLOOKUP('Retail Sales'!A22,'Retail Sales'!A21:A620,[1]Sheet3!H21:H620)</f>
        <v>Teen</v>
      </c>
      <c r="G269" t="str">
        <f>_xlfn.XLOOKUP(A269,A268:A867,[1]Sheet3!J21:J620)</f>
        <v>Other</v>
      </c>
      <c r="H269" t="str">
        <f>_xlfn.XLOOKUP(A269,A268:A867,[1]Sheet3!K21:K620)</f>
        <v>South</v>
      </c>
      <c r="I269" t="str">
        <f>_xlfn.XLOOKUP(A269,A268:A867,[1]Sheet3!L21:L620)</f>
        <v>Chennai</v>
      </c>
      <c r="J269" t="str">
        <f>_xlfn.XLOOKUP(A269,A268:A867,[1]Sheet3!M21:M620)</f>
        <v>Electronics</v>
      </c>
      <c r="K269" t="str">
        <f>_xlfn.XLOOKUP('Retail Sales'!A22,'Retail Sales'!A21:A620,[1]Sheet3!N21:N620)</f>
        <v>Headphones</v>
      </c>
      <c r="L269" s="5">
        <f>_xlfn.XLOOKUP(A269,A268:A867,[1]Sheet3!P21:P620)</f>
        <v>7</v>
      </c>
      <c r="M269" s="7">
        <f>_xlfn.XLOOKUP(A269,A268:A867,[1]Sheet3!Q21:Q620)</f>
        <v>48577.53</v>
      </c>
      <c r="N269" s="9">
        <f>_xlfn.XLOOKUP(A269,A268:A867,[1]Sheet3!S21:S620)</f>
        <v>7.0000000000000007E-2</v>
      </c>
      <c r="O269" s="7">
        <f>_xlfn.XLOOKUP(A269,A268:A867,[1]Sheet3!T21:T620)</f>
        <v>483408.08</v>
      </c>
      <c r="P269" s="7">
        <f>_xlfn.XLOOKUP(A269,A268:A867,[1]Sheet3!U21:U620)</f>
        <v>36816.910000000003</v>
      </c>
      <c r="Q269" s="11">
        <f>_xlfn.XLOOKUP(A269,A268:A867,[1]Sheet3!V21:V620)</f>
        <v>7.6161139052537144E-2</v>
      </c>
      <c r="R269" s="7">
        <f>_xlfn.XLOOKUP(A269,A268:A867,[1]Sheet3!W21:W620)</f>
        <v>57.45</v>
      </c>
      <c r="S269" t="str">
        <f>_xlfn.XLOOKUP(A269,A268:A867,[1]Sheet3!X21:X620)</f>
        <v>EMI</v>
      </c>
      <c r="T269" s="5">
        <f>_xlfn.XLOOKUP(A269,A268:A867,[1]Sheet3!Z21:Z620)</f>
        <v>2</v>
      </c>
      <c r="U269" t="b">
        <f>_xlfn.XLOOKUP(A269,A268:A867,[1]Sheet3!AA21:AA620)</f>
        <v>0</v>
      </c>
      <c r="V269" t="str">
        <f>_xlfn.XLOOKUP(A269,A268:A867,[1]Sheet3!AC21:AC620)</f>
        <v>Delivered</v>
      </c>
      <c r="W269" s="5">
        <f>_xlfn.XLOOKUP(A269,A268:A867,[1]Sheet3!AE21:AE620)</f>
        <v>4</v>
      </c>
    </row>
    <row r="270" spans="1:23" x14ac:dyDescent="0.35">
      <c r="A270" t="s">
        <v>312</v>
      </c>
      <c r="B270" s="1">
        <f>_xlfn.XLOOKUP(A270,A269:A868,[1]Sheet3!C287:C886)</f>
        <v>44711</v>
      </c>
      <c r="C270" t="str">
        <f>_xlfn.XLOOKUP(A270,A269:A868,[1]Sheet3!D287:D886)</f>
        <v>CUST25027</v>
      </c>
      <c r="D270" t="str">
        <f>_xlfn.XLOOKUP(A270,A269:A868,[1]Sheet3!E287:E886)</f>
        <v>Nisha Mishra</v>
      </c>
      <c r="E270" s="5">
        <f>_xlfn.XLOOKUP(A270,A269:A868,[1]Sheet3!G287:G886)</f>
        <v>24</v>
      </c>
      <c r="F270" t="str">
        <f>_xlfn.XLOOKUP('Retail Sales'!A288,'Retail Sales'!A287:A886,[1]Sheet3!H287:H886)</f>
        <v>Young Adult</v>
      </c>
      <c r="G270" t="str">
        <f>_xlfn.XLOOKUP(A270,A269:A868,[1]Sheet3!J287:J886)</f>
        <v>Female</v>
      </c>
      <c r="H270" t="str">
        <f>_xlfn.XLOOKUP(A270,A269:A868,[1]Sheet3!K287:K886)</f>
        <v>East</v>
      </c>
      <c r="I270" t="str">
        <f>_xlfn.XLOOKUP(A270,A269:A868,[1]Sheet3!L287:L886)</f>
        <v>Bhubaneswar</v>
      </c>
      <c r="J270" t="str">
        <f>_xlfn.XLOOKUP(A270,A269:A868,[1]Sheet3!M287:M886)</f>
        <v>Beauty</v>
      </c>
      <c r="K270" t="str">
        <f>_xlfn.XLOOKUP('Retail Sales'!A288,'Retail Sales'!A287:A886,[1]Sheet3!N287:N886)</f>
        <v>Hair Oil</v>
      </c>
      <c r="L270" s="5">
        <f>_xlfn.XLOOKUP(A270,A269:A868,[1]Sheet3!P287:P886)</f>
        <v>8</v>
      </c>
      <c r="M270" s="7">
        <f>_xlfn.XLOOKUP(A270,A269:A868,[1]Sheet3!Q287:Q886)</f>
        <v>1075.32</v>
      </c>
      <c r="N270" s="9">
        <f>_xlfn.XLOOKUP(A270,A269:A868,[1]Sheet3!S287:S886)</f>
        <v>0.25</v>
      </c>
      <c r="O270" s="7">
        <f>_xlfn.XLOOKUP(A270,A269:A868,[1]Sheet3!T287:T886)</f>
        <v>9458.9500000000007</v>
      </c>
      <c r="P270" s="7">
        <f>_xlfn.XLOOKUP(A270,A269:A868,[1]Sheet3!U287:U886)</f>
        <v>4920.3500000000004</v>
      </c>
      <c r="Q270" s="11">
        <f>_xlfn.XLOOKUP(A270,A269:A868,[1]Sheet3!V287:V886)</f>
        <v>0.5201793010852156</v>
      </c>
      <c r="R270" s="7">
        <f>_xlfn.XLOOKUP(A270,A269:A868,[1]Sheet3!W287:W886)</f>
        <v>101.65</v>
      </c>
      <c r="S270" t="str">
        <f>_xlfn.XLOOKUP(A270,A269:A868,[1]Sheet3!X287:X886)</f>
        <v>Credit Card</v>
      </c>
      <c r="T270" s="5">
        <f>_xlfn.XLOOKUP(A270,A269:A868,[1]Sheet3!Z287:Z886)</f>
        <v>1</v>
      </c>
      <c r="U270" t="b">
        <f>_xlfn.XLOOKUP(A270,A269:A868,[1]Sheet3!AA287:AA886)</f>
        <v>1</v>
      </c>
      <c r="V270" t="str">
        <f>_xlfn.XLOOKUP(A270,A269:A868,[1]Sheet3!AC287:AC886)</f>
        <v>Returned</v>
      </c>
      <c r="W270" s="5">
        <f>_xlfn.XLOOKUP(A270,A269:A868,[1]Sheet3!AE287:AE886)</f>
        <v>8</v>
      </c>
    </row>
    <row r="271" spans="1:23" x14ac:dyDescent="0.35">
      <c r="A271" t="s">
        <v>219</v>
      </c>
      <c r="B271" s="1">
        <f>_xlfn.XLOOKUP(A271,A270:A869,[1]Sheet3!C380:C979)</f>
        <v>44711</v>
      </c>
      <c r="C271" t="str">
        <f>_xlfn.XLOOKUP(A271,A270:A869,[1]Sheet3!D380:D979)</f>
        <v>CUST42274</v>
      </c>
      <c r="D271" t="str">
        <f>_xlfn.XLOOKUP(A271,A270:A869,[1]Sheet3!E380:E979)</f>
        <v>Nisha Reddy</v>
      </c>
      <c r="E271" s="5">
        <f>_xlfn.XLOOKUP(A271,A270:A869,[1]Sheet3!G380:G979)</f>
        <v>38</v>
      </c>
      <c r="F271" t="str">
        <f>_xlfn.XLOOKUP('Retail Sales'!A381,'Retail Sales'!A380:A979,[1]Sheet3!H380:H979)</f>
        <v>Adult</v>
      </c>
      <c r="G271" t="str">
        <f>_xlfn.XLOOKUP(A271,A270:A869,[1]Sheet3!J380:J979)</f>
        <v>Other</v>
      </c>
      <c r="H271" t="str">
        <f>_xlfn.XLOOKUP(A271,A270:A869,[1]Sheet3!K380:K979)</f>
        <v>South</v>
      </c>
      <c r="I271" t="str">
        <f>_xlfn.XLOOKUP(A271,A270:A869,[1]Sheet3!L380:L979)</f>
        <v>Chennai</v>
      </c>
      <c r="J271" t="str">
        <f>_xlfn.XLOOKUP(A271,A270:A869,[1]Sheet3!M380:M979)</f>
        <v>Sports</v>
      </c>
      <c r="K271" t="str">
        <f>_xlfn.XLOOKUP('Retail Sales'!A381,'Retail Sales'!A380:A979,[1]Sheet3!N380:N979)</f>
        <v>Tennis Racket</v>
      </c>
      <c r="L271" s="5">
        <f>_xlfn.XLOOKUP(A271,A270:A869,[1]Sheet3!P380:P979)</f>
        <v>10</v>
      </c>
      <c r="M271" s="7">
        <f>_xlfn.XLOOKUP(A271,A270:A869,[1]Sheet3!Q380:Q979)</f>
        <v>2313.34</v>
      </c>
      <c r="N271" s="9">
        <f>_xlfn.XLOOKUP(A271,A270:A869,[1]Sheet3!S380:S979)</f>
        <v>7.0000000000000007E-2</v>
      </c>
      <c r="O271" s="7">
        <f>_xlfn.XLOOKUP(A271,A270:A869,[1]Sheet3!T380:T979)</f>
        <v>26178.67</v>
      </c>
      <c r="P271" s="7">
        <f>_xlfn.XLOOKUP(A271,A270:A869,[1]Sheet3!U380:U979)</f>
        <v>6071.72</v>
      </c>
      <c r="Q271" s="11">
        <f>_xlfn.XLOOKUP(A271,A270:A869,[1]Sheet3!V380:V979)</f>
        <v>0.23193386065831459</v>
      </c>
      <c r="R271" s="7">
        <f>_xlfn.XLOOKUP(A271,A270:A869,[1]Sheet3!W380:W979)</f>
        <v>54.61</v>
      </c>
      <c r="S271" t="str">
        <f>_xlfn.XLOOKUP(A271,A270:A869,[1]Sheet3!X380:X979)</f>
        <v>Debit Card</v>
      </c>
      <c r="T271" s="5">
        <f>_xlfn.XLOOKUP(A271,A270:A869,[1]Sheet3!Z380:Z979)</f>
        <v>1</v>
      </c>
      <c r="U271" t="b">
        <f>_xlfn.XLOOKUP(A271,A270:A869,[1]Sheet3!AA380:AA979)</f>
        <v>1</v>
      </c>
      <c r="V271" t="str">
        <f>_xlfn.XLOOKUP(A271,A270:A869,[1]Sheet3!AC380:AC979)</f>
        <v>Returned</v>
      </c>
      <c r="W271" s="5">
        <f>_xlfn.XLOOKUP(A271,A270:A869,[1]Sheet3!AE380:AE979)</f>
        <v>3</v>
      </c>
    </row>
    <row r="272" spans="1:23" x14ac:dyDescent="0.35">
      <c r="A272" t="s">
        <v>557</v>
      </c>
      <c r="B272" s="1">
        <f>_xlfn.XLOOKUP(A272,A271:A870,[1]Sheet3!C42:C641)</f>
        <v>44711</v>
      </c>
      <c r="C272" t="str">
        <f>_xlfn.XLOOKUP(A272,A271:A870,[1]Sheet3!D42:D641)</f>
        <v>CUST20457</v>
      </c>
      <c r="D272" t="str">
        <f>_xlfn.XLOOKUP(A272,A271:A870,[1]Sheet3!E42:E641)</f>
        <v>Vikram Kumar</v>
      </c>
      <c r="E272" s="5">
        <f>_xlfn.XLOOKUP(A272,A271:A870,[1]Sheet3!G42:G641)</f>
        <v>40</v>
      </c>
      <c r="F272" t="str">
        <f>_xlfn.XLOOKUP('Retail Sales'!A43,'Retail Sales'!A42:A641,[1]Sheet3!H42:H641)</f>
        <v>Adult</v>
      </c>
      <c r="G272" t="str">
        <f>_xlfn.XLOOKUP(A272,A271:A870,[1]Sheet3!J42:J641)</f>
        <v>Other</v>
      </c>
      <c r="H272" t="str">
        <f>_xlfn.XLOOKUP(A272,A271:A870,[1]Sheet3!K42:K641)</f>
        <v>North</v>
      </c>
      <c r="I272" t="str">
        <f>_xlfn.XLOOKUP(A272,A271:A870,[1]Sheet3!L42:L641)</f>
        <v>Ludhiana</v>
      </c>
      <c r="J272" t="str">
        <f>_xlfn.XLOOKUP(A272,A271:A870,[1]Sheet3!M42:M641)</f>
        <v>Sports</v>
      </c>
      <c r="K272" t="str">
        <f>_xlfn.XLOOKUP('Retail Sales'!A43,'Retail Sales'!A42:A641,[1]Sheet3!N42:N641)</f>
        <v>Tennis Racket</v>
      </c>
      <c r="L272" s="5">
        <f>_xlfn.XLOOKUP(A272,A271:A870,[1]Sheet3!P42:P641)</f>
        <v>9</v>
      </c>
      <c r="M272" s="7">
        <f>_xlfn.XLOOKUP(A272,A271:A870,[1]Sheet3!Q42:Q641)</f>
        <v>14422.23</v>
      </c>
      <c r="N272" s="9">
        <f>_xlfn.XLOOKUP(A272,A271:A870,[1]Sheet3!S42:S641)</f>
        <v>0.21</v>
      </c>
      <c r="O272" s="7">
        <f>_xlfn.XLOOKUP(A272,A271:A870,[1]Sheet3!T42:T641)</f>
        <v>145427.41</v>
      </c>
      <c r="P272" s="7">
        <f>_xlfn.XLOOKUP(A272,A271:A870,[1]Sheet3!U42:U641)</f>
        <v>40739.980000000003</v>
      </c>
      <c r="Q272" s="11">
        <f>_xlfn.XLOOKUP(A272,A271:A870,[1]Sheet3!V42:V641)</f>
        <v>0.28013962429778544</v>
      </c>
      <c r="R272" s="7">
        <f>_xlfn.XLOOKUP(A272,A271:A870,[1]Sheet3!W42:W641)</f>
        <v>58.92</v>
      </c>
      <c r="S272" t="str">
        <f>_xlfn.XLOOKUP(A272,A271:A870,[1]Sheet3!X42:X641)</f>
        <v>EMI</v>
      </c>
      <c r="T272" s="5">
        <f>_xlfn.XLOOKUP(A272,A271:A870,[1]Sheet3!Z42:Z641)</f>
        <v>5</v>
      </c>
      <c r="U272" t="b">
        <f>_xlfn.XLOOKUP(A272,A271:A870,[1]Sheet3!AA42:AA641)</f>
        <v>0</v>
      </c>
      <c r="V272" t="str">
        <f>_xlfn.XLOOKUP(A272,A271:A870,[1]Sheet3!AC42:AC641)</f>
        <v>Delivered</v>
      </c>
      <c r="W272" s="5">
        <f>_xlfn.XLOOKUP(A272,A271:A870,[1]Sheet3!AE42:AE641)</f>
        <v>1</v>
      </c>
    </row>
    <row r="273" spans="1:23" x14ac:dyDescent="0.35">
      <c r="A273" t="s">
        <v>464</v>
      </c>
      <c r="B273" s="1">
        <f>_xlfn.XLOOKUP(A273,A272:A871,[1]Sheet3!C135:C734)</f>
        <v>44713</v>
      </c>
      <c r="C273" t="str">
        <f>_xlfn.XLOOKUP(A273,A272:A871,[1]Sheet3!D135:D734)</f>
        <v>CUST48253</v>
      </c>
      <c r="D273" t="str">
        <f>_xlfn.XLOOKUP(A273,A272:A871,[1]Sheet3!E135:E734)</f>
        <v>Meera Kumar</v>
      </c>
      <c r="E273" s="5">
        <f>_xlfn.XLOOKUP(A273,A272:A871,[1]Sheet3!G135:G734)</f>
        <v>36</v>
      </c>
      <c r="F273" t="str">
        <f>_xlfn.XLOOKUP('Retail Sales'!A136,'Retail Sales'!A135:A734,[1]Sheet3!H135:H734)</f>
        <v>Adult</v>
      </c>
      <c r="G273" t="str">
        <f>_xlfn.XLOOKUP(A273,A272:A871,[1]Sheet3!J135:J734)</f>
        <v>Male</v>
      </c>
      <c r="H273" t="str">
        <f>_xlfn.XLOOKUP(A273,A272:A871,[1]Sheet3!K135:K734)</f>
        <v>North</v>
      </c>
      <c r="I273" t="str">
        <f>_xlfn.XLOOKUP(A273,A272:A871,[1]Sheet3!L135:L734)</f>
        <v>Chandigarh</v>
      </c>
      <c r="J273" t="str">
        <f>_xlfn.XLOOKUP(A273,A272:A871,[1]Sheet3!M135:M734)</f>
        <v>Clothing</v>
      </c>
      <c r="K273" t="str">
        <f>_xlfn.XLOOKUP('Retail Sales'!A136,'Retail Sales'!A135:A734,[1]Sheet3!N135:N734)</f>
        <v>Saree</v>
      </c>
      <c r="L273" s="5">
        <f>_xlfn.XLOOKUP(A273,A272:A871,[1]Sheet3!P135:P734)</f>
        <v>5</v>
      </c>
      <c r="M273" s="7">
        <f>_xlfn.XLOOKUP(A273,A272:A871,[1]Sheet3!Q135:Q734)</f>
        <v>451.03</v>
      </c>
      <c r="N273" s="9">
        <f>_xlfn.XLOOKUP(A273,A272:A871,[1]Sheet3!S135:S734)</f>
        <v>0.19</v>
      </c>
      <c r="O273" s="7">
        <f>_xlfn.XLOOKUP(A273,A272:A871,[1]Sheet3!T135:T734)</f>
        <v>2632.07</v>
      </c>
      <c r="P273" s="7">
        <f>_xlfn.XLOOKUP(A273,A272:A871,[1]Sheet3!U135:U734)</f>
        <v>1165.8900000000001</v>
      </c>
      <c r="Q273" s="11">
        <f>_xlfn.XLOOKUP(A273,A272:A871,[1]Sheet3!V135:V734)</f>
        <v>0.44295554449539715</v>
      </c>
      <c r="R273" s="7">
        <f>_xlfn.XLOOKUP(A273,A272:A871,[1]Sheet3!W135:W734)</f>
        <v>23.32</v>
      </c>
      <c r="S273" t="str">
        <f>_xlfn.XLOOKUP(A273,A272:A871,[1]Sheet3!X135:X734)</f>
        <v>Net Banking</v>
      </c>
      <c r="T273" s="5">
        <f>_xlfn.XLOOKUP(A273,A272:A871,[1]Sheet3!Z135:Z734)</f>
        <v>5</v>
      </c>
      <c r="U273" t="b">
        <f>_xlfn.XLOOKUP(A273,A272:A871,[1]Sheet3!AA135:AA734)</f>
        <v>0</v>
      </c>
      <c r="V273" t="str">
        <f>_xlfn.XLOOKUP(A273,A272:A871,[1]Sheet3!AC135:AC734)</f>
        <v>Delivered</v>
      </c>
      <c r="W273" s="5">
        <f>_xlfn.XLOOKUP(A273,A272:A871,[1]Sheet3!AE135:AE734)</f>
        <v>10</v>
      </c>
    </row>
    <row r="274" spans="1:23" x14ac:dyDescent="0.35">
      <c r="A274" t="s">
        <v>15</v>
      </c>
      <c r="B274" s="1">
        <f>_xlfn.XLOOKUP(A274,A273:A872,[1]Sheet3!C584:C1183)</f>
        <v>44713</v>
      </c>
      <c r="C274" t="str">
        <f>_xlfn.XLOOKUP(A274,A273:A872,[1]Sheet3!D584:D1183)</f>
        <v>CUST83431</v>
      </c>
      <c r="D274" t="str">
        <f>_xlfn.XLOOKUP(A274,A273:A872,[1]Sheet3!E584:E1183)</f>
        <v>Aditya Patel</v>
      </c>
      <c r="E274" s="5">
        <f>_xlfn.XLOOKUP(A274,A273:A872,[1]Sheet3!G584:G1183)</f>
        <v>53</v>
      </c>
      <c r="F274" t="str">
        <f>_xlfn.XLOOKUP('Retail Sales'!A585,'Retail Sales'!A584:A1183,[1]Sheet3!H584:H1183)</f>
        <v>Senior</v>
      </c>
      <c r="G274" t="str">
        <f>_xlfn.XLOOKUP(A274,A273:A872,[1]Sheet3!J584:J1183)</f>
        <v>Other</v>
      </c>
      <c r="H274" t="str">
        <f>_xlfn.XLOOKUP(A274,A273:A872,[1]Sheet3!K584:K1183)</f>
        <v>West</v>
      </c>
      <c r="I274" t="str">
        <f>_xlfn.XLOOKUP(A274,A273:A872,[1]Sheet3!L584:L1183)</f>
        <v>Mumbai</v>
      </c>
      <c r="J274" t="str">
        <f>_xlfn.XLOOKUP(A274,A273:A872,[1]Sheet3!M584:M1183)</f>
        <v>Beauty</v>
      </c>
      <c r="K274" t="str">
        <f>_xlfn.XLOOKUP('Retail Sales'!A585,'Retail Sales'!A584:A1183,[1]Sheet3!N584:N1183)</f>
        <v>Sunscreen</v>
      </c>
      <c r="L274" s="5">
        <f>_xlfn.XLOOKUP(A274,A273:A872,[1]Sheet3!P584:P1183)</f>
        <v>7</v>
      </c>
      <c r="M274" s="7">
        <f>_xlfn.XLOOKUP(A274,A273:A872,[1]Sheet3!Q584:Q1183)</f>
        <v>1167.8599999999999</v>
      </c>
      <c r="N274" s="9">
        <f>_xlfn.XLOOKUP(A274,A273:A872,[1]Sheet3!S584:S1183)</f>
        <v>0.15</v>
      </c>
      <c r="O274" s="7">
        <f>_xlfn.XLOOKUP(A274,A273:A872,[1]Sheet3!T584:T1183)</f>
        <v>10729.59</v>
      </c>
      <c r="P274" s="7">
        <f>_xlfn.XLOOKUP(A274,A273:A872,[1]Sheet3!U584:U1183)</f>
        <v>5022.26</v>
      </c>
      <c r="Q274" s="11">
        <f>_xlfn.XLOOKUP(A274,A273:A872,[1]Sheet3!V584:V1183)</f>
        <v>0.46807566738337625</v>
      </c>
      <c r="R274" s="7">
        <f>_xlfn.XLOOKUP(A274,A273:A872,[1]Sheet3!W584:W1183)</f>
        <v>56.89</v>
      </c>
      <c r="S274" t="str">
        <f>_xlfn.XLOOKUP(A274,A273:A872,[1]Sheet3!X584:X1183)</f>
        <v>Debit Card</v>
      </c>
      <c r="T274" s="5">
        <f>_xlfn.XLOOKUP(A274,A273:A872,[1]Sheet3!Z584:Z1183)</f>
        <v>2</v>
      </c>
      <c r="U274" t="b">
        <f>_xlfn.XLOOKUP(A274,A273:A872,[1]Sheet3!AA584:AA1183)</f>
        <v>0</v>
      </c>
      <c r="V274" t="str">
        <f>_xlfn.XLOOKUP(A274,A273:A872,[1]Sheet3!AC584:AC1183)</f>
        <v>Delivered</v>
      </c>
      <c r="W274" s="5">
        <f>_xlfn.XLOOKUP(A274,A273:A872,[1]Sheet3!AE584:AE1183)</f>
        <v>8</v>
      </c>
    </row>
    <row r="275" spans="1:23" x14ac:dyDescent="0.35">
      <c r="A275" t="s">
        <v>315</v>
      </c>
      <c r="B275" s="1">
        <f>_xlfn.XLOOKUP(A275,A274:A873,[1]Sheet3!C284:C883)</f>
        <v>44714</v>
      </c>
      <c r="C275" t="str">
        <f>_xlfn.XLOOKUP(A275,A274:A873,[1]Sheet3!D284:D883)</f>
        <v>CUST60137</v>
      </c>
      <c r="D275" t="str">
        <f>_xlfn.XLOOKUP(A275,A274:A873,[1]Sheet3!E284:E883)</f>
        <v>Sanjay Sharma</v>
      </c>
      <c r="E275" s="5">
        <f>_xlfn.XLOOKUP(A275,A274:A873,[1]Sheet3!G284:G883)</f>
        <v>35</v>
      </c>
      <c r="F275" t="str">
        <f>_xlfn.XLOOKUP('Retail Sales'!A285,'Retail Sales'!A284:A883,[1]Sheet3!H284:H883)</f>
        <v>Young Adult</v>
      </c>
      <c r="G275" t="str">
        <f>_xlfn.XLOOKUP(A275,A274:A873,[1]Sheet3!J284:J883)</f>
        <v>Female</v>
      </c>
      <c r="H275" t="str">
        <f>_xlfn.XLOOKUP(A275,A274:A873,[1]Sheet3!K284:K883)</f>
        <v>East</v>
      </c>
      <c r="I275" t="str">
        <f>_xlfn.XLOOKUP(A275,A274:A873,[1]Sheet3!L284:L883)</f>
        <v>Patna</v>
      </c>
      <c r="J275" t="str">
        <f>_xlfn.XLOOKUP(A275,A274:A873,[1]Sheet3!M284:M883)</f>
        <v>Sports</v>
      </c>
      <c r="K275" t="str">
        <f>_xlfn.XLOOKUP('Retail Sales'!A285,'Retail Sales'!A284:A883,[1]Sheet3!N284:N883)</f>
        <v>Cricket Bat</v>
      </c>
      <c r="L275" s="5">
        <f>_xlfn.XLOOKUP(A275,A274:A873,[1]Sheet3!P284:P883)</f>
        <v>6</v>
      </c>
      <c r="M275" s="7">
        <f>_xlfn.XLOOKUP(A275,A274:A873,[1]Sheet3!Q284:Q883)</f>
        <v>6661.26</v>
      </c>
      <c r="N275" s="9">
        <f>_xlfn.XLOOKUP(A275,A274:A873,[1]Sheet3!S284:S883)</f>
        <v>0.13</v>
      </c>
      <c r="O275" s="7">
        <f>_xlfn.XLOOKUP(A275,A274:A873,[1]Sheet3!T284:T883)</f>
        <v>55550.3</v>
      </c>
      <c r="P275" s="7">
        <f>_xlfn.XLOOKUP(A275,A274:A873,[1]Sheet3!U284:U883)</f>
        <v>11352.36</v>
      </c>
      <c r="Q275" s="11">
        <f>_xlfn.XLOOKUP(A275,A274:A873,[1]Sheet3!V284:V883)</f>
        <v>0.20436181262747455</v>
      </c>
      <c r="R275" s="7">
        <f>_xlfn.XLOOKUP(A275,A274:A873,[1]Sheet3!W284:W883)</f>
        <v>99.9</v>
      </c>
      <c r="S275" t="str">
        <f>_xlfn.XLOOKUP(A275,A274:A873,[1]Sheet3!X284:X883)</f>
        <v>Cash on Delivery</v>
      </c>
      <c r="T275" s="5">
        <f>_xlfn.XLOOKUP(A275,A274:A873,[1]Sheet3!Z284:Z883)</f>
        <v>2</v>
      </c>
      <c r="U275" t="b">
        <f>_xlfn.XLOOKUP(A275,A274:A873,[1]Sheet3!AA284:AA883)</f>
        <v>0</v>
      </c>
      <c r="V275" t="str">
        <f>_xlfn.XLOOKUP(A275,A274:A873,[1]Sheet3!AC284:AC883)</f>
        <v>Delivered</v>
      </c>
      <c r="W275" s="5">
        <f>_xlfn.XLOOKUP(A275,A274:A873,[1]Sheet3!AE284:AE883)</f>
        <v>8</v>
      </c>
    </row>
    <row r="276" spans="1:23" x14ac:dyDescent="0.35">
      <c r="A276" t="s">
        <v>418</v>
      </c>
      <c r="B276" s="1">
        <f>_xlfn.XLOOKUP(A276,A275:A874,[1]Sheet3!C181:C780)</f>
        <v>44715</v>
      </c>
      <c r="C276" t="str">
        <f>_xlfn.XLOOKUP(A276,A275:A874,[1]Sheet3!D181:D780)</f>
        <v>CUST71669</v>
      </c>
      <c r="D276" t="str">
        <f>_xlfn.XLOOKUP(A276,A275:A874,[1]Sheet3!E181:E780)</f>
        <v>Nikhil Singh</v>
      </c>
      <c r="E276" s="5">
        <f>_xlfn.XLOOKUP(A276,A275:A874,[1]Sheet3!G181:G780)</f>
        <v>17</v>
      </c>
      <c r="F276" t="str">
        <f>_xlfn.XLOOKUP('Retail Sales'!A182,'Retail Sales'!A181:A780,[1]Sheet3!H181:H780)</f>
        <v>Teen</v>
      </c>
      <c r="G276" t="str">
        <f>_xlfn.XLOOKUP(A276,A275:A874,[1]Sheet3!J181:J780)</f>
        <v>Other</v>
      </c>
      <c r="H276" t="str">
        <f>_xlfn.XLOOKUP(A276,A275:A874,[1]Sheet3!K181:K780)</f>
        <v>West</v>
      </c>
      <c r="I276" t="str">
        <f>_xlfn.XLOOKUP(A276,A275:A874,[1]Sheet3!L181:L780)</f>
        <v>Mumbai</v>
      </c>
      <c r="J276" t="str">
        <f>_xlfn.XLOOKUP(A276,A275:A874,[1]Sheet3!M181:M780)</f>
        <v>Books</v>
      </c>
      <c r="K276" t="str">
        <f>_xlfn.XLOOKUP('Retail Sales'!A182,'Retail Sales'!A181:A780,[1]Sheet3!N181:N780)</f>
        <v>Self-Help Book</v>
      </c>
      <c r="L276" s="5">
        <f>_xlfn.XLOOKUP(A276,A275:A874,[1]Sheet3!P181:P780)</f>
        <v>4</v>
      </c>
      <c r="M276" s="7">
        <f>_xlfn.XLOOKUP(A276,A275:A874,[1]Sheet3!Q181:Q780)</f>
        <v>664.43</v>
      </c>
      <c r="N276" s="9">
        <f>_xlfn.XLOOKUP(A276,A275:A874,[1]Sheet3!S181:S780)</f>
        <v>0.18</v>
      </c>
      <c r="O276" s="7">
        <f>_xlfn.XLOOKUP(A276,A275:A874,[1]Sheet3!T181:T780)</f>
        <v>2827.28</v>
      </c>
      <c r="P276" s="7">
        <f>_xlfn.XLOOKUP(A276,A275:A874,[1]Sheet3!U181:U780)</f>
        <v>858.56</v>
      </c>
      <c r="Q276" s="11">
        <f>_xlfn.XLOOKUP(A276,A275:A874,[1]Sheet3!V181:V780)</f>
        <v>0.30366995840525163</v>
      </c>
      <c r="R276" s="7">
        <f>_xlfn.XLOOKUP(A276,A275:A874,[1]Sheet3!W181:W780)</f>
        <v>89.26</v>
      </c>
      <c r="S276" t="str">
        <f>_xlfn.XLOOKUP(A276,A275:A874,[1]Sheet3!X181:X780)</f>
        <v>Net Banking</v>
      </c>
      <c r="T276" s="5">
        <f>_xlfn.XLOOKUP(A276,A275:A874,[1]Sheet3!Z181:Z780)</f>
        <v>3</v>
      </c>
      <c r="U276" t="b">
        <f>_xlfn.XLOOKUP(A276,A275:A874,[1]Sheet3!AA181:AA780)</f>
        <v>0</v>
      </c>
      <c r="V276" t="str">
        <f>_xlfn.XLOOKUP(A276,A275:A874,[1]Sheet3!AC181:AC780)</f>
        <v>Delivered</v>
      </c>
      <c r="W276" s="5">
        <f>_xlfn.XLOOKUP(A276,A275:A874,[1]Sheet3!AE181:AE780)</f>
        <v>8</v>
      </c>
    </row>
    <row r="277" spans="1:23" x14ac:dyDescent="0.35">
      <c r="A277" t="s">
        <v>370</v>
      </c>
      <c r="B277" s="1">
        <f>_xlfn.XLOOKUP(A277,A276:A875,[1]Sheet3!C229:C828)</f>
        <v>44716</v>
      </c>
      <c r="C277" t="str">
        <f>_xlfn.XLOOKUP(A277,A276:A875,[1]Sheet3!D229:D828)</f>
        <v>CUST96054</v>
      </c>
      <c r="D277" t="str">
        <f>_xlfn.XLOOKUP(A277,A276:A875,[1]Sheet3!E229:E828)</f>
        <v>Ritu Nair</v>
      </c>
      <c r="E277" s="5">
        <f>_xlfn.XLOOKUP(A277,A276:A875,[1]Sheet3!G229:G828)</f>
        <v>40</v>
      </c>
      <c r="F277" t="str">
        <f>_xlfn.XLOOKUP('Retail Sales'!A230,'Retail Sales'!A229:A828,[1]Sheet3!H229:H828)</f>
        <v>Adult</v>
      </c>
      <c r="G277" t="str">
        <f>_xlfn.XLOOKUP(A277,A276:A875,[1]Sheet3!J229:J828)</f>
        <v>Other</v>
      </c>
      <c r="H277" t="str">
        <f>_xlfn.XLOOKUP(A277,A276:A875,[1]Sheet3!K229:K828)</f>
        <v>East</v>
      </c>
      <c r="I277" t="str">
        <f>_xlfn.XLOOKUP(A277,A276:A875,[1]Sheet3!L229:L828)</f>
        <v>Bhubaneswar</v>
      </c>
      <c r="J277" t="str">
        <f>_xlfn.XLOOKUP(A277,A276:A875,[1]Sheet3!M229:M828)</f>
        <v>Electronics</v>
      </c>
      <c r="K277" t="str">
        <f>_xlfn.XLOOKUP('Retail Sales'!A230,'Retail Sales'!A229:A828,[1]Sheet3!N229:N828)</f>
        <v>Smartphone</v>
      </c>
      <c r="L277" s="5">
        <f>_xlfn.XLOOKUP(A277,A276:A875,[1]Sheet3!P229:P828)</f>
        <v>7</v>
      </c>
      <c r="M277" s="7">
        <f>_xlfn.XLOOKUP(A277,A276:A875,[1]Sheet3!Q229:Q828)</f>
        <v>21000.78</v>
      </c>
      <c r="N277" s="9">
        <f>_xlfn.XLOOKUP(A277,A276:A875,[1]Sheet3!S229:S828)</f>
        <v>0.3</v>
      </c>
      <c r="O277" s="7">
        <f>_xlfn.XLOOKUP(A277,A276:A875,[1]Sheet3!T229:T828)</f>
        <v>174189.34</v>
      </c>
      <c r="P277" s="7">
        <f>_xlfn.XLOOKUP(A277,A276:A875,[1]Sheet3!U229:U828)</f>
        <v>24923.4</v>
      </c>
      <c r="Q277" s="11">
        <f>_xlfn.XLOOKUP(A277,A276:A875,[1]Sheet3!V229:V828)</f>
        <v>0.14308223453857741</v>
      </c>
      <c r="R277" s="7">
        <f>_xlfn.XLOOKUP(A277,A276:A875,[1]Sheet3!W229:W828)</f>
        <v>115.73</v>
      </c>
      <c r="S277" t="str">
        <f>_xlfn.XLOOKUP(A277,A276:A875,[1]Sheet3!X229:X828)</f>
        <v>UPI</v>
      </c>
      <c r="T277" s="5">
        <f>_xlfn.XLOOKUP(A277,A276:A875,[1]Sheet3!Z229:Z828)</f>
        <v>5</v>
      </c>
      <c r="U277" t="b">
        <f>_xlfn.XLOOKUP(A277,A276:A875,[1]Sheet3!AA229:AA828)</f>
        <v>0</v>
      </c>
      <c r="V277" t="str">
        <f>_xlfn.XLOOKUP(A277,A276:A875,[1]Sheet3!AC229:AC828)</f>
        <v>Delivered</v>
      </c>
      <c r="W277" s="5">
        <f>_xlfn.XLOOKUP(A277,A276:A875,[1]Sheet3!AE229:AE828)</f>
        <v>6</v>
      </c>
    </row>
    <row r="278" spans="1:23" x14ac:dyDescent="0.35">
      <c r="A278" t="s">
        <v>247</v>
      </c>
      <c r="B278" s="1">
        <f>_xlfn.XLOOKUP(A278,A277:A876,[1]Sheet3!C352:C951)</f>
        <v>44717</v>
      </c>
      <c r="C278" t="str">
        <f>_xlfn.XLOOKUP(A278,A277:A876,[1]Sheet3!D352:D951)</f>
        <v>CUST67385</v>
      </c>
      <c r="D278" t="str">
        <f>_xlfn.XLOOKUP(A278,A277:A876,[1]Sheet3!E352:E951)</f>
        <v>Kavya Shah</v>
      </c>
      <c r="E278" s="5">
        <f>_xlfn.XLOOKUP(A278,A277:A876,[1]Sheet3!G352:G951)</f>
        <v>52</v>
      </c>
      <c r="F278" t="str">
        <f>_xlfn.XLOOKUP('Retail Sales'!A353,'Retail Sales'!A352:A951,[1]Sheet3!H352:H951)</f>
        <v>Senior</v>
      </c>
      <c r="G278" t="str">
        <f>_xlfn.XLOOKUP(A278,A277:A876,[1]Sheet3!J352:J951)</f>
        <v>Female</v>
      </c>
      <c r="H278" t="str">
        <f>_xlfn.XLOOKUP(A278,A277:A876,[1]Sheet3!K352:K951)</f>
        <v>West</v>
      </c>
      <c r="I278" t="str">
        <f>_xlfn.XLOOKUP(A278,A277:A876,[1]Sheet3!L352:L951)</f>
        <v>Pune</v>
      </c>
      <c r="J278" t="str">
        <f>_xlfn.XLOOKUP(A278,A277:A876,[1]Sheet3!M352:M951)</f>
        <v>Sports</v>
      </c>
      <c r="K278" t="str">
        <f>_xlfn.XLOOKUP('Retail Sales'!A353,'Retail Sales'!A352:A951,[1]Sheet3!N352:N951)</f>
        <v>Cricket Bat</v>
      </c>
      <c r="L278" s="5">
        <f>_xlfn.XLOOKUP(A278,A277:A876,[1]Sheet3!P352:P951)</f>
        <v>10</v>
      </c>
      <c r="M278" s="7">
        <f>_xlfn.XLOOKUP(A278,A277:A876,[1]Sheet3!Q352:Q951)</f>
        <v>6308.82</v>
      </c>
      <c r="N278" s="9">
        <f>_xlfn.XLOOKUP(A278,A277:A876,[1]Sheet3!S352:S951)</f>
        <v>0.36</v>
      </c>
      <c r="O278" s="7">
        <f>_xlfn.XLOOKUP(A278,A277:A876,[1]Sheet3!T352:T951)</f>
        <v>65319.25</v>
      </c>
      <c r="P278" s="7">
        <f>_xlfn.XLOOKUP(A278,A277:A876,[1]Sheet3!U352:U951)</f>
        <v>13727.44</v>
      </c>
      <c r="Q278" s="11">
        <f>_xlfn.XLOOKUP(A278,A277:A876,[1]Sheet3!V352:V951)</f>
        <v>0.21015917972113887</v>
      </c>
      <c r="R278" s="7">
        <f>_xlfn.XLOOKUP(A278,A277:A876,[1]Sheet3!W352:W951)</f>
        <v>63.87</v>
      </c>
      <c r="S278" t="str">
        <f>_xlfn.XLOOKUP(A278,A277:A876,[1]Sheet3!X352:X951)</f>
        <v>Net Banking</v>
      </c>
      <c r="T278" s="5">
        <f>_xlfn.XLOOKUP(A278,A277:A876,[1]Sheet3!Z352:Z951)</f>
        <v>1</v>
      </c>
      <c r="U278" t="b">
        <f>_xlfn.XLOOKUP(A278,A277:A876,[1]Sheet3!AA352:AA951)</f>
        <v>1</v>
      </c>
      <c r="V278" t="str">
        <f>_xlfn.XLOOKUP(A278,A277:A876,[1]Sheet3!AC352:AC951)</f>
        <v>Returned</v>
      </c>
      <c r="W278" s="5">
        <f>_xlfn.XLOOKUP(A278,A277:A876,[1]Sheet3!AE352:AE951)</f>
        <v>7</v>
      </c>
    </row>
    <row r="279" spans="1:23" x14ac:dyDescent="0.35">
      <c r="A279" t="s">
        <v>104</v>
      </c>
      <c r="B279" s="1">
        <f>_xlfn.XLOOKUP(A279,A278:A877,[1]Sheet3!C495:C1094)</f>
        <v>44722</v>
      </c>
      <c r="C279" t="str">
        <f>_xlfn.XLOOKUP(A279,A278:A877,[1]Sheet3!D495:D1094)</f>
        <v>CUST15844</v>
      </c>
      <c r="D279" t="str">
        <f>_xlfn.XLOOKUP(A279,A278:A877,[1]Sheet3!E495:E1094)</f>
        <v>Rohan Verma</v>
      </c>
      <c r="E279" s="5">
        <f>_xlfn.XLOOKUP(A279,A278:A877,[1]Sheet3!G495:G1094)</f>
        <v>39</v>
      </c>
      <c r="F279" t="str">
        <f>_xlfn.XLOOKUP('Retail Sales'!A496,'Retail Sales'!A495:A1094,[1]Sheet3!H495:H1094)</f>
        <v>Adult</v>
      </c>
      <c r="G279" t="str">
        <f>_xlfn.XLOOKUP(A279,A278:A877,[1]Sheet3!J495:J1094)</f>
        <v>Female</v>
      </c>
      <c r="H279" t="str">
        <f>_xlfn.XLOOKUP(A279,A278:A877,[1]Sheet3!K495:K1094)</f>
        <v>East</v>
      </c>
      <c r="I279" t="str">
        <f>_xlfn.XLOOKUP(A279,A278:A877,[1]Sheet3!L495:L1094)</f>
        <v>Guwahati</v>
      </c>
      <c r="J279" t="str">
        <f>_xlfn.XLOOKUP(A279,A278:A877,[1]Sheet3!M495:M1094)</f>
        <v>Clothing</v>
      </c>
      <c r="K279" t="str">
        <f>_xlfn.XLOOKUP('Retail Sales'!A496,'Retail Sales'!A495:A1094,[1]Sheet3!N495:N1094)</f>
        <v>Kurta</v>
      </c>
      <c r="L279" s="5">
        <f>_xlfn.XLOOKUP(A279,A278:A877,[1]Sheet3!P495:P1094)</f>
        <v>3</v>
      </c>
      <c r="M279" s="7">
        <f>_xlfn.XLOOKUP(A279,A278:A877,[1]Sheet3!Q495:Q1094)</f>
        <v>1256.1600000000001</v>
      </c>
      <c r="N279" s="9">
        <f>_xlfn.XLOOKUP(A279,A278:A877,[1]Sheet3!S495:S1094)</f>
        <v>0.05</v>
      </c>
      <c r="O279" s="7">
        <f>_xlfn.XLOOKUP(A279,A278:A877,[1]Sheet3!T495:T1094)</f>
        <v>5186.09</v>
      </c>
      <c r="P279" s="7">
        <f>_xlfn.XLOOKUP(A279,A278:A877,[1]Sheet3!U495:U1094)</f>
        <v>2331.2600000000002</v>
      </c>
      <c r="Q279" s="11">
        <f>_xlfn.XLOOKUP(A279,A278:A877,[1]Sheet3!V495:V1094)</f>
        <v>0.44952170132026248</v>
      </c>
      <c r="R279" s="7">
        <f>_xlfn.XLOOKUP(A279,A278:A877,[1]Sheet3!W495:W1094)</f>
        <v>90.36</v>
      </c>
      <c r="S279" t="str">
        <f>_xlfn.XLOOKUP(A279,A278:A877,[1]Sheet3!X495:X1094)</f>
        <v>EMI</v>
      </c>
      <c r="T279" s="5">
        <f>_xlfn.XLOOKUP(A279,A278:A877,[1]Sheet3!Z495:Z1094)</f>
        <v>5</v>
      </c>
      <c r="U279" t="b">
        <f>_xlfn.XLOOKUP(A279,A278:A877,[1]Sheet3!AA495:AA1094)</f>
        <v>0</v>
      </c>
      <c r="V279" t="str">
        <f>_xlfn.XLOOKUP(A279,A278:A877,[1]Sheet3!AC495:AC1094)</f>
        <v>Delivered</v>
      </c>
      <c r="W279" s="5">
        <f>_xlfn.XLOOKUP(A279,A278:A877,[1]Sheet3!AE495:AE1094)</f>
        <v>9</v>
      </c>
    </row>
    <row r="280" spans="1:23" x14ac:dyDescent="0.35">
      <c r="A280" t="s">
        <v>292</v>
      </c>
      <c r="B280" s="1">
        <f>_xlfn.XLOOKUP(A280,A279:A878,[1]Sheet3!C307:C906)</f>
        <v>44726</v>
      </c>
      <c r="C280" t="str">
        <f>_xlfn.XLOOKUP(A280,A279:A878,[1]Sheet3!D307:D906)</f>
        <v>CUST98295</v>
      </c>
      <c r="D280" t="str">
        <f>_xlfn.XLOOKUP(A280,A279:A878,[1]Sheet3!E307:E906)</f>
        <v>Ritu Rao</v>
      </c>
      <c r="E280" s="5">
        <f>_xlfn.XLOOKUP(A280,A279:A878,[1]Sheet3!G307:G906)</f>
        <v>17</v>
      </c>
      <c r="F280" t="str">
        <f>_xlfn.XLOOKUP('Retail Sales'!A308,'Retail Sales'!A307:A906,[1]Sheet3!H307:H906)</f>
        <v>Teen</v>
      </c>
      <c r="G280" t="str">
        <f>_xlfn.XLOOKUP(A280,A279:A878,[1]Sheet3!J307:J906)</f>
        <v>Male</v>
      </c>
      <c r="H280" t="str">
        <f>_xlfn.XLOOKUP(A280,A279:A878,[1]Sheet3!K307:K906)</f>
        <v>West</v>
      </c>
      <c r="I280" t="str">
        <f>_xlfn.XLOOKUP(A280,A279:A878,[1]Sheet3!L307:L906)</f>
        <v>Pune</v>
      </c>
      <c r="J280" t="str">
        <f>_xlfn.XLOOKUP(A280,A279:A878,[1]Sheet3!M307:M906)</f>
        <v>Sports</v>
      </c>
      <c r="K280" t="str">
        <f>_xlfn.XLOOKUP('Retail Sales'!A308,'Retail Sales'!A307:A906,[1]Sheet3!N307:N906)</f>
        <v>Football</v>
      </c>
      <c r="L280" s="5">
        <f>_xlfn.XLOOKUP(A280,A279:A878,[1]Sheet3!P307:P906)</f>
        <v>1</v>
      </c>
      <c r="M280" s="7">
        <f>_xlfn.XLOOKUP(A280,A279:A878,[1]Sheet3!Q307:Q906)</f>
        <v>13827.19</v>
      </c>
      <c r="N280" s="9">
        <f>_xlfn.XLOOKUP(A280,A279:A878,[1]Sheet3!S307:S906)</f>
        <v>0.4</v>
      </c>
      <c r="O280" s="7">
        <f>_xlfn.XLOOKUP(A280,A279:A878,[1]Sheet3!T307:T906)</f>
        <v>13665.74</v>
      </c>
      <c r="P280" s="7">
        <f>_xlfn.XLOOKUP(A280,A279:A878,[1]Sheet3!U307:U906)</f>
        <v>2472.59</v>
      </c>
      <c r="Q280" s="11">
        <f>_xlfn.XLOOKUP(A280,A279:A878,[1]Sheet3!V307:V906)</f>
        <v>0.18093348768526257</v>
      </c>
      <c r="R280" s="7">
        <f>_xlfn.XLOOKUP(A280,A279:A878,[1]Sheet3!W307:W906)</f>
        <v>24.48</v>
      </c>
      <c r="S280" t="str">
        <f>_xlfn.XLOOKUP(A280,A279:A878,[1]Sheet3!X307:X906)</f>
        <v>Net Banking</v>
      </c>
      <c r="T280" s="5">
        <f>_xlfn.XLOOKUP(A280,A279:A878,[1]Sheet3!Z307:Z906)</f>
        <v>3</v>
      </c>
      <c r="U280" t="b">
        <f>_xlfn.XLOOKUP(A280,A279:A878,[1]Sheet3!AA307:AA906)</f>
        <v>0</v>
      </c>
      <c r="V280" t="str">
        <f>_xlfn.XLOOKUP(A280,A279:A878,[1]Sheet3!AC307:AC906)</f>
        <v>Cancelled</v>
      </c>
      <c r="W280" s="5">
        <f>_xlfn.XLOOKUP(A280,A279:A878,[1]Sheet3!AE307:AE906)</f>
        <v>3</v>
      </c>
    </row>
    <row r="281" spans="1:23" x14ac:dyDescent="0.35">
      <c r="A281" t="s">
        <v>561</v>
      </c>
      <c r="B281" s="1">
        <f>_xlfn.XLOOKUP(A281,A280:A879,[1]Sheet3!C38:C637)</f>
        <v>44726</v>
      </c>
      <c r="C281" t="str">
        <f>_xlfn.XLOOKUP(A281,A280:A879,[1]Sheet3!D38:D637)</f>
        <v>CUST13864</v>
      </c>
      <c r="D281" t="str">
        <f>_xlfn.XLOOKUP(A281,A280:A879,[1]Sheet3!E38:E637)</f>
        <v>Amit Kumar</v>
      </c>
      <c r="E281" s="5">
        <f>_xlfn.XLOOKUP(A281,A280:A879,[1]Sheet3!G38:G637)</f>
        <v>30</v>
      </c>
      <c r="F281" t="str">
        <f>_xlfn.XLOOKUP('Retail Sales'!A39,'Retail Sales'!A38:A637,[1]Sheet3!H38:H637)</f>
        <v>Young Adult</v>
      </c>
      <c r="G281" t="str">
        <f>_xlfn.XLOOKUP(A281,A280:A879,[1]Sheet3!J38:J637)</f>
        <v>Other</v>
      </c>
      <c r="H281" t="str">
        <f>_xlfn.XLOOKUP(A281,A280:A879,[1]Sheet3!K38:K637)</f>
        <v>Central</v>
      </c>
      <c r="I281" t="str">
        <f>_xlfn.XLOOKUP(A281,A280:A879,[1]Sheet3!L38:L637)</f>
        <v>Bhopal</v>
      </c>
      <c r="J281" t="str">
        <f>_xlfn.XLOOKUP(A281,A280:A879,[1]Sheet3!M38:M637)</f>
        <v>Books</v>
      </c>
      <c r="K281" t="str">
        <f>_xlfn.XLOOKUP('Retail Sales'!A39,'Retail Sales'!A38:A637,[1]Sheet3!N38:N637)</f>
        <v>Comic Book</v>
      </c>
      <c r="L281" s="5">
        <f>_xlfn.XLOOKUP(A281,A280:A879,[1]Sheet3!P38:P637)</f>
        <v>7.0954861111111107</v>
      </c>
      <c r="M281" s="7">
        <f>_xlfn.XLOOKUP(A281,A280:A879,[1]Sheet3!Q38:Q637)</f>
        <v>1431.29</v>
      </c>
      <c r="N281" s="9">
        <f>_xlfn.XLOOKUP(A281,A280:A879,[1]Sheet3!S38:S637)</f>
        <v>0.04</v>
      </c>
      <c r="O281" s="7">
        <f>_xlfn.XLOOKUP(A281,A280:A879,[1]Sheet3!T38:T637)</f>
        <v>1929.4</v>
      </c>
      <c r="P281" s="7">
        <f>_xlfn.XLOOKUP(A281,A280:A879,[1]Sheet3!U38:U637)</f>
        <v>819.7</v>
      </c>
      <c r="Q281" s="11">
        <f>_xlfn.XLOOKUP(A281,A280:A879,[1]Sheet3!V38:V637)</f>
        <v>0.42484710272623616</v>
      </c>
      <c r="R281" s="7">
        <f>_xlfn.XLOOKUP(A281,A280:A879,[1]Sheet3!W38:W637)</f>
        <v>70.38</v>
      </c>
      <c r="S281" t="str">
        <f>_xlfn.XLOOKUP(A281,A280:A879,[1]Sheet3!X38:X637)</f>
        <v>Credit Card</v>
      </c>
      <c r="T281" s="5">
        <f>_xlfn.XLOOKUP(A281,A280:A879,[1]Sheet3!Z38:Z637)</f>
        <v>5</v>
      </c>
      <c r="U281" t="b">
        <f>_xlfn.XLOOKUP(A281,A280:A879,[1]Sheet3!AA38:AA637)</f>
        <v>1</v>
      </c>
      <c r="V281" t="str">
        <f>_xlfn.XLOOKUP(A281,A280:A879,[1]Sheet3!AC38:AC637)</f>
        <v>Returned</v>
      </c>
      <c r="W281" s="5">
        <f>_xlfn.XLOOKUP(A281,A280:A879,[1]Sheet3!AE38:AE637)</f>
        <v>8</v>
      </c>
    </row>
    <row r="282" spans="1:23" x14ac:dyDescent="0.35">
      <c r="A282" t="s">
        <v>240</v>
      </c>
      <c r="B282" s="1">
        <f>_xlfn.XLOOKUP(A282,A281:A880,[1]Sheet3!C359:C958)</f>
        <v>44732</v>
      </c>
      <c r="C282" t="str">
        <f>_xlfn.XLOOKUP(A282,A281:A880,[1]Sheet3!D359:D958)</f>
        <v>CUST63577</v>
      </c>
      <c r="D282" t="str">
        <f>_xlfn.XLOOKUP(A282,A281:A880,[1]Sheet3!E359:E958)</f>
        <v>Sunita Iyer</v>
      </c>
      <c r="E282" s="5">
        <f>_xlfn.XLOOKUP(A282,A281:A880,[1]Sheet3!G359:G958)</f>
        <v>49</v>
      </c>
      <c r="F282" t="str">
        <f>_xlfn.XLOOKUP('Retail Sales'!A360,'Retail Sales'!A359:A958,[1]Sheet3!H359:H958)</f>
        <v>Adult</v>
      </c>
      <c r="G282" t="str">
        <f>_xlfn.XLOOKUP(A282,A281:A880,[1]Sheet3!J359:J958)</f>
        <v>Male</v>
      </c>
      <c r="H282" t="str">
        <f>_xlfn.XLOOKUP(A282,A281:A880,[1]Sheet3!K359:K958)</f>
        <v>Central</v>
      </c>
      <c r="I282" t="str">
        <f>_xlfn.XLOOKUP(A282,A281:A880,[1]Sheet3!L359:L958)</f>
        <v>Indore</v>
      </c>
      <c r="J282" t="str">
        <f>_xlfn.XLOOKUP(A282,A281:A880,[1]Sheet3!M359:M958)</f>
        <v>Groceries</v>
      </c>
      <c r="K282" t="str">
        <f>_xlfn.XLOOKUP('Retail Sales'!A360,'Retail Sales'!A359:A958,[1]Sheet3!N359:N958)</f>
        <v>Flour</v>
      </c>
      <c r="L282" s="5">
        <f>_xlfn.XLOOKUP(A282,A281:A880,[1]Sheet3!P359:P958)</f>
        <v>8</v>
      </c>
      <c r="M282" s="7">
        <f>_xlfn.XLOOKUP(A282,A281:A880,[1]Sheet3!Q359:Q958)</f>
        <v>377.69</v>
      </c>
      <c r="N282" s="9">
        <f>_xlfn.XLOOKUP(A282,A281:A880,[1]Sheet3!S359:S958)</f>
        <v>0.27</v>
      </c>
      <c r="O282" s="7">
        <f>_xlfn.XLOOKUP(A282,A281:A880,[1]Sheet3!T359:T958)</f>
        <v>3219.24</v>
      </c>
      <c r="P282" s="7">
        <f>_xlfn.XLOOKUP(A282,A281:A880,[1]Sheet3!U359:U958)</f>
        <v>244.77</v>
      </c>
      <c r="Q282" s="11">
        <f>_xlfn.XLOOKUP(A282,A281:A880,[1]Sheet3!V359:V958)</f>
        <v>7.6033473739143403E-2</v>
      </c>
      <c r="R282" s="7">
        <f>_xlfn.XLOOKUP(A282,A281:A880,[1]Sheet3!W359:W958)</f>
        <v>42.69</v>
      </c>
      <c r="S282" t="str">
        <f>_xlfn.XLOOKUP(A282,A281:A880,[1]Sheet3!X359:X958)</f>
        <v>Credit Card</v>
      </c>
      <c r="T282" s="5">
        <f>_xlfn.XLOOKUP(A282,A281:A880,[1]Sheet3!Z359:Z958)</f>
        <v>1</v>
      </c>
      <c r="U282" t="b">
        <f>_xlfn.XLOOKUP(A282,A281:A880,[1]Sheet3!AA359:AA958)</f>
        <v>0</v>
      </c>
      <c r="V282" t="str">
        <f>_xlfn.XLOOKUP(A282,A281:A880,[1]Sheet3!AC359:AC958)</f>
        <v>Delivered</v>
      </c>
      <c r="W282" s="5">
        <f>_xlfn.XLOOKUP(A282,A281:A880,[1]Sheet3!AE359:AE958)</f>
        <v>4</v>
      </c>
    </row>
    <row r="283" spans="1:23" x14ac:dyDescent="0.35">
      <c r="A283" t="s">
        <v>241</v>
      </c>
      <c r="B283" s="1">
        <f>_xlfn.XLOOKUP(A283,A282:A881,[1]Sheet3!C358:C957)</f>
        <v>44732</v>
      </c>
      <c r="C283" t="str">
        <f>_xlfn.XLOOKUP(A283,A282:A881,[1]Sheet3!D358:D957)</f>
        <v>CUST98440</v>
      </c>
      <c r="D283" t="str">
        <f>_xlfn.XLOOKUP(A283,A282:A881,[1]Sheet3!E358:E957)</f>
        <v>Nikhil Nair</v>
      </c>
      <c r="E283" s="5">
        <f>_xlfn.XLOOKUP(A283,A282:A881,[1]Sheet3!G358:G957)</f>
        <v>34.294220665499125</v>
      </c>
      <c r="F283" t="str">
        <f>_xlfn.XLOOKUP('Retail Sales'!A359,'Retail Sales'!A358:A957,[1]Sheet3!H358:H957)</f>
        <v>Young Adult</v>
      </c>
      <c r="G283" t="str">
        <f>_xlfn.XLOOKUP(A283,A282:A881,[1]Sheet3!J358:J957)</f>
        <v>Other</v>
      </c>
      <c r="H283" t="str">
        <f>_xlfn.XLOOKUP(A283,A282:A881,[1]Sheet3!K358:K957)</f>
        <v>South</v>
      </c>
      <c r="I283" t="str">
        <f>_xlfn.XLOOKUP(A283,A282:A881,[1]Sheet3!L358:L957)</f>
        <v>Kochi</v>
      </c>
      <c r="J283" t="str">
        <f>_xlfn.XLOOKUP(A283,A282:A881,[1]Sheet3!M358:M957)</f>
        <v>Clothing</v>
      </c>
      <c r="K283" t="str">
        <f>_xlfn.XLOOKUP('Retail Sales'!A359,'Retail Sales'!A358:A957,[1]Sheet3!N358:N957)</f>
        <v>Saree</v>
      </c>
      <c r="L283" s="5">
        <f>_xlfn.XLOOKUP(A283,A282:A881,[1]Sheet3!P358:P957)</f>
        <v>4</v>
      </c>
      <c r="M283" s="7">
        <f>_xlfn.XLOOKUP(A283,A282:A881,[1]Sheet3!Q358:Q957)</f>
        <v>2288.92</v>
      </c>
      <c r="N283" s="9">
        <f>_xlfn.XLOOKUP(A283,A282:A881,[1]Sheet3!S358:S957)</f>
        <v>0.09</v>
      </c>
      <c r="O283" s="7">
        <f>_xlfn.XLOOKUP(A283,A282:A881,[1]Sheet3!T358:T957)</f>
        <v>11495.42</v>
      </c>
      <c r="P283" s="7">
        <f>_xlfn.XLOOKUP(A283,A282:A881,[1]Sheet3!U358:U957)</f>
        <v>3680.34</v>
      </c>
      <c r="Q283" s="11">
        <f>_xlfn.XLOOKUP(A283,A282:A881,[1]Sheet3!V358:V957)</f>
        <v>0.32015707125098519</v>
      </c>
      <c r="R283" s="7">
        <f>_xlfn.XLOOKUP(A283,A282:A881,[1]Sheet3!W358:W957)</f>
        <v>53.41</v>
      </c>
      <c r="S283" t="str">
        <f>_xlfn.XLOOKUP(A283,A282:A881,[1]Sheet3!X358:X957)</f>
        <v>Cash on Delivery</v>
      </c>
      <c r="T283" s="5">
        <f>_xlfn.XLOOKUP(A283,A282:A881,[1]Sheet3!Z358:Z957)</f>
        <v>4</v>
      </c>
      <c r="U283" t="b">
        <f>_xlfn.XLOOKUP(A283,A282:A881,[1]Sheet3!AA358:AA957)</f>
        <v>0</v>
      </c>
      <c r="V283" t="str">
        <f>_xlfn.XLOOKUP(A283,A282:A881,[1]Sheet3!AC358:AC957)</f>
        <v>Shipped</v>
      </c>
      <c r="W283" s="5">
        <f>_xlfn.XLOOKUP(A283,A282:A881,[1]Sheet3!AE358:AE957)</f>
        <v>8</v>
      </c>
    </row>
    <row r="284" spans="1:23" x14ac:dyDescent="0.35">
      <c r="A284" t="s">
        <v>41</v>
      </c>
      <c r="B284" s="1">
        <f>_xlfn.XLOOKUP(A284,A283:A882,[1]Sheet3!C558:C1157)</f>
        <v>44735</v>
      </c>
      <c r="C284" t="str">
        <f>_xlfn.XLOOKUP(A284,A283:A882,[1]Sheet3!D558:D1157)</f>
        <v>CUST10079</v>
      </c>
      <c r="D284" t="str">
        <f>_xlfn.XLOOKUP(A284,A283:A882,[1]Sheet3!E558:E1157)</f>
        <v>Pooja Singh</v>
      </c>
      <c r="E284" s="5">
        <f>_xlfn.XLOOKUP(A284,A283:A882,[1]Sheet3!G558:G1157)</f>
        <v>29</v>
      </c>
      <c r="F284" t="str">
        <f>_xlfn.XLOOKUP('Retail Sales'!A559,'Retail Sales'!A558:A1157,[1]Sheet3!H558:H1157)</f>
        <v>Young Adult</v>
      </c>
      <c r="G284" t="str">
        <f>_xlfn.XLOOKUP(A284,A283:A882,[1]Sheet3!J558:J1157)</f>
        <v>Male</v>
      </c>
      <c r="H284" t="str">
        <f>_xlfn.XLOOKUP(A284,A283:A882,[1]Sheet3!K558:K1157)</f>
        <v>South</v>
      </c>
      <c r="I284" t="str">
        <f>_xlfn.XLOOKUP(A284,A283:A882,[1]Sheet3!L558:L1157)</f>
        <v>Bangalore</v>
      </c>
      <c r="J284" t="str">
        <f>_xlfn.XLOOKUP(A284,A283:A882,[1]Sheet3!M558:M1157)</f>
        <v>Electronics</v>
      </c>
      <c r="K284" t="str">
        <f>_xlfn.XLOOKUP('Retail Sales'!A559,'Retail Sales'!A558:A1157,[1]Sheet3!N558:N1157)</f>
        <v>Smartwatch</v>
      </c>
      <c r="L284" s="5">
        <f>_xlfn.XLOOKUP(A284,A283:A882,[1]Sheet3!P558:P1157)</f>
        <v>8</v>
      </c>
      <c r="M284" s="7">
        <f>_xlfn.XLOOKUP(A284,A283:A882,[1]Sheet3!Q558:Q1157)</f>
        <v>48445.16</v>
      </c>
      <c r="N284" s="9">
        <f>_xlfn.XLOOKUP(A284,A283:A882,[1]Sheet3!S558:S1157)</f>
        <v>0.26</v>
      </c>
      <c r="O284" s="7">
        <f>_xlfn.XLOOKUP(A284,A283:A882,[1]Sheet3!T558:T1157)</f>
        <v>371584.08</v>
      </c>
      <c r="P284" s="7">
        <f>_xlfn.XLOOKUP(A284,A283:A882,[1]Sheet3!U558:U1157)</f>
        <v>63270.83</v>
      </c>
      <c r="Q284" s="11">
        <f>_xlfn.XLOOKUP(A284,A283:A882,[1]Sheet3!V558:V1157)</f>
        <v>0.17027325282611677</v>
      </c>
      <c r="R284" s="7">
        <f>_xlfn.XLOOKUP(A284,A283:A882,[1]Sheet3!W558:W1157)</f>
        <v>70.06</v>
      </c>
      <c r="S284" t="str">
        <f>_xlfn.XLOOKUP(A284,A283:A882,[1]Sheet3!X558:X1157)</f>
        <v>Cash on Delivery</v>
      </c>
      <c r="T284" s="5">
        <f>_xlfn.XLOOKUP(A284,A283:A882,[1]Sheet3!Z558:Z1157)</f>
        <v>5</v>
      </c>
      <c r="U284" t="b">
        <f>_xlfn.XLOOKUP(A284,A283:A882,[1]Sheet3!AA558:AA1157)</f>
        <v>0</v>
      </c>
      <c r="V284" t="str">
        <f>_xlfn.XLOOKUP(A284,A283:A882,[1]Sheet3!AC558:AC1157)</f>
        <v>Delivered</v>
      </c>
      <c r="W284" s="5">
        <f>_xlfn.XLOOKUP(A284,A283:A882,[1]Sheet3!AE558:AE1157)</f>
        <v>8</v>
      </c>
    </row>
    <row r="285" spans="1:23" x14ac:dyDescent="0.35">
      <c r="A285" t="s">
        <v>526</v>
      </c>
      <c r="B285" s="1">
        <f>_xlfn.XLOOKUP(A285,A284:A883,[1]Sheet3!C73:C672)</f>
        <v>44739</v>
      </c>
      <c r="C285" t="str">
        <f>_xlfn.XLOOKUP(A285,A284:A883,[1]Sheet3!D73:D672)</f>
        <v>CUST44617</v>
      </c>
      <c r="D285" t="str">
        <f>_xlfn.XLOOKUP(A285,A284:A883,[1]Sheet3!E73:E672)</f>
        <v>Nikhil Reddy</v>
      </c>
      <c r="E285" s="5">
        <f>_xlfn.XLOOKUP(A285,A284:A883,[1]Sheet3!G73:G672)</f>
        <v>21</v>
      </c>
      <c r="F285" t="str">
        <f>_xlfn.XLOOKUP('Retail Sales'!A74,'Retail Sales'!A73:A672,[1]Sheet3!H73:H672)</f>
        <v>Young Adult</v>
      </c>
      <c r="G285" t="str">
        <f>_xlfn.XLOOKUP(A285,A284:A883,[1]Sheet3!J73:J672)</f>
        <v>Other</v>
      </c>
      <c r="H285" t="str">
        <f>_xlfn.XLOOKUP(A285,A284:A883,[1]Sheet3!K73:K672)</f>
        <v>South</v>
      </c>
      <c r="I285" t="str">
        <f>_xlfn.XLOOKUP(A285,A284:A883,[1]Sheet3!L73:L672)</f>
        <v>Bangalore</v>
      </c>
      <c r="J285" t="str">
        <f>_xlfn.XLOOKUP(A285,A284:A883,[1]Sheet3!M73:M672)</f>
        <v>Furniture</v>
      </c>
      <c r="K285" t="str">
        <f>_xlfn.XLOOKUP('Retail Sales'!A74,'Retail Sales'!A73:A672,[1]Sheet3!N73:N672)</f>
        <v>Desk</v>
      </c>
      <c r="L285" s="5">
        <f>_xlfn.XLOOKUP(A285,A284:A883,[1]Sheet3!P73:P672)</f>
        <v>8</v>
      </c>
      <c r="M285" s="7">
        <f>_xlfn.XLOOKUP(A285,A284:A883,[1]Sheet3!Q73:Q672)</f>
        <v>3549.62</v>
      </c>
      <c r="N285" s="9">
        <f>_xlfn.XLOOKUP(A285,A284:A883,[1]Sheet3!S73:S672)</f>
        <v>0.22</v>
      </c>
      <c r="O285" s="7">
        <f>_xlfn.XLOOKUP(A285,A284:A883,[1]Sheet3!T73:T672)</f>
        <v>30702.91</v>
      </c>
      <c r="P285" s="7">
        <f>_xlfn.XLOOKUP(A285,A284:A883,[1]Sheet3!U73:U672)</f>
        <v>10062.41</v>
      </c>
      <c r="Q285" s="11">
        <f>_xlfn.XLOOKUP(A285,A284:A883,[1]Sheet3!V73:V672)</f>
        <v>0.32773473263609215</v>
      </c>
      <c r="R285" s="7">
        <f>_xlfn.XLOOKUP(A285,A284:A883,[1]Sheet3!W73:W672)</f>
        <v>77.819999999999993</v>
      </c>
      <c r="S285" t="str">
        <f>_xlfn.XLOOKUP(A285,A284:A883,[1]Sheet3!X73:X672)</f>
        <v>EMI</v>
      </c>
      <c r="T285" s="5">
        <f>_xlfn.XLOOKUP(A285,A284:A883,[1]Sheet3!Z73:Z672)</f>
        <v>5</v>
      </c>
      <c r="U285" t="b">
        <f>_xlfn.XLOOKUP(A285,A284:A883,[1]Sheet3!AA73:AA672)</f>
        <v>1</v>
      </c>
      <c r="V285" t="str">
        <f>_xlfn.XLOOKUP(A285,A284:A883,[1]Sheet3!AC73:AC672)</f>
        <v>Returned</v>
      </c>
      <c r="W285" s="5">
        <f>_xlfn.XLOOKUP(A285,A284:A883,[1]Sheet3!AE73:AE672)</f>
        <v>5</v>
      </c>
    </row>
    <row r="286" spans="1:23" x14ac:dyDescent="0.35">
      <c r="A286" t="s">
        <v>454</v>
      </c>
      <c r="B286" s="1">
        <f>_xlfn.XLOOKUP(A286,A285:A884,[1]Sheet3!C145:C744)</f>
        <v>44744</v>
      </c>
      <c r="C286" t="str">
        <f>_xlfn.XLOOKUP(A286,A285:A884,[1]Sheet3!D145:D744)</f>
        <v>CUST03769</v>
      </c>
      <c r="D286" t="str">
        <f>_xlfn.XLOOKUP(A286,A285:A884,[1]Sheet3!E145:E744)</f>
        <v>Sunita Mishra</v>
      </c>
      <c r="E286" s="5">
        <f>_xlfn.XLOOKUP(A286,A285:A884,[1]Sheet3!G145:G744)</f>
        <v>32</v>
      </c>
      <c r="F286" t="str">
        <f>_xlfn.XLOOKUP('Retail Sales'!A146,'Retail Sales'!A145:A744,[1]Sheet3!H145:H744)</f>
        <v>Young Adult</v>
      </c>
      <c r="G286" t="str">
        <f>_xlfn.XLOOKUP(A286,A285:A884,[1]Sheet3!J145:J744)</f>
        <v>Female</v>
      </c>
      <c r="H286" t="str">
        <f>_xlfn.XLOOKUP(A286,A285:A884,[1]Sheet3!K145:K744)</f>
        <v>South</v>
      </c>
      <c r="I286" t="str">
        <f>_xlfn.XLOOKUP(A286,A285:A884,[1]Sheet3!L145:L744)</f>
        <v>Kochi</v>
      </c>
      <c r="J286" t="str">
        <f>_xlfn.XLOOKUP(A286,A285:A884,[1]Sheet3!M145:M744)</f>
        <v>Clothing</v>
      </c>
      <c r="K286" t="str">
        <f>_xlfn.XLOOKUP('Retail Sales'!A146,'Retail Sales'!A145:A744,[1]Sheet3!N145:N744)</f>
        <v>Saree</v>
      </c>
      <c r="L286" s="5">
        <f>_xlfn.XLOOKUP(A286,A285:A884,[1]Sheet3!P145:P744)</f>
        <v>8</v>
      </c>
      <c r="M286" s="7">
        <f>_xlfn.XLOOKUP(A286,A285:A884,[1]Sheet3!Q145:Q744)</f>
        <v>3278.48</v>
      </c>
      <c r="N286" s="9">
        <f>_xlfn.XLOOKUP(A286,A285:A884,[1]Sheet3!S145:S744)</f>
        <v>0.19793402777777783</v>
      </c>
      <c r="O286" s="7">
        <f>_xlfn.XLOOKUP(A286,A285:A884,[1]Sheet3!T145:T744)</f>
        <v>39736.74</v>
      </c>
      <c r="P286" s="7">
        <f>_xlfn.XLOOKUP(A286,A285:A884,[1]Sheet3!U145:U744)</f>
        <v>15719.62</v>
      </c>
      <c r="Q286" s="11">
        <f>_xlfn.XLOOKUP(A286,A285:A884,[1]Sheet3!V145:V744)</f>
        <v>0.39559410258617095</v>
      </c>
      <c r="R286" s="7">
        <f>_xlfn.XLOOKUP(A286,A285:A884,[1]Sheet3!W145:W744)</f>
        <v>80.959999999999994</v>
      </c>
      <c r="S286" t="str">
        <f>_xlfn.XLOOKUP(A286,A285:A884,[1]Sheet3!X145:X744)</f>
        <v>Credit Card</v>
      </c>
      <c r="T286" s="5">
        <f>_xlfn.XLOOKUP(A286,A285:A884,[1]Sheet3!Z145:Z744)</f>
        <v>3</v>
      </c>
      <c r="U286" t="b">
        <f>_xlfn.XLOOKUP(A286,A285:A884,[1]Sheet3!AA145:AA744)</f>
        <v>0</v>
      </c>
      <c r="V286" t="str">
        <f>_xlfn.XLOOKUP(A286,A285:A884,[1]Sheet3!AC145:AC744)</f>
        <v>Delivered</v>
      </c>
      <c r="W286" s="5">
        <f>_xlfn.XLOOKUP(A286,A285:A884,[1]Sheet3!AE145:AE744)</f>
        <v>1</v>
      </c>
    </row>
    <row r="287" spans="1:23" x14ac:dyDescent="0.35">
      <c r="A287" t="s">
        <v>109</v>
      </c>
      <c r="B287" s="1">
        <f>_xlfn.XLOOKUP(A287,A286:A885,[1]Sheet3!C490:C1089)</f>
        <v>44744</v>
      </c>
      <c r="C287" t="str">
        <f>_xlfn.XLOOKUP(A287,A286:A885,[1]Sheet3!D490:D1089)</f>
        <v>CUST88932</v>
      </c>
      <c r="D287" t="str">
        <f>_xlfn.XLOOKUP(A287,A286:A885,[1]Sheet3!E490:E1089)</f>
        <v>Aditya Pillai</v>
      </c>
      <c r="E287" s="5">
        <f>_xlfn.XLOOKUP(A287,A286:A885,[1]Sheet3!G490:G1089)</f>
        <v>42</v>
      </c>
      <c r="F287" t="str">
        <f>_xlfn.XLOOKUP('Retail Sales'!A491,'Retail Sales'!A490:A1089,[1]Sheet3!H490:H1089)</f>
        <v>Adult</v>
      </c>
      <c r="G287" t="str">
        <f>_xlfn.XLOOKUP(A287,A286:A885,[1]Sheet3!J490:J1089)</f>
        <v>Female</v>
      </c>
      <c r="H287" t="str">
        <f>_xlfn.XLOOKUP(A287,A286:A885,[1]Sheet3!K490:K1089)</f>
        <v>North</v>
      </c>
      <c r="I287" t="str">
        <f>_xlfn.XLOOKUP(A287,A286:A885,[1]Sheet3!L490:L1089)</f>
        <v>Ludhiana</v>
      </c>
      <c r="J287" t="str">
        <f>_xlfn.XLOOKUP(A287,A286:A885,[1]Sheet3!M490:M1089)</f>
        <v>Electronics</v>
      </c>
      <c r="K287" t="str">
        <f>_xlfn.XLOOKUP('Retail Sales'!A491,'Retail Sales'!A490:A1089,[1]Sheet3!N490:N1089)</f>
        <v>Headphones</v>
      </c>
      <c r="L287" s="5">
        <f>_xlfn.XLOOKUP(A287,A286:A885,[1]Sheet3!P490:P1089)</f>
        <v>5</v>
      </c>
      <c r="M287" s="7">
        <f>_xlfn.XLOOKUP(A287,A286:A885,[1]Sheet3!Q490:Q1089)</f>
        <v>14814.19</v>
      </c>
      <c r="N287" s="9">
        <f>_xlfn.XLOOKUP(A287,A286:A885,[1]Sheet3!S490:S1089)</f>
        <v>0.19793402777777783</v>
      </c>
      <c r="O287" s="7">
        <f>_xlfn.XLOOKUP(A287,A286:A885,[1]Sheet3!T490:T1089)</f>
        <v>105694.63</v>
      </c>
      <c r="P287" s="7">
        <f>_xlfn.XLOOKUP(A287,A286:A885,[1]Sheet3!U490:U1089)</f>
        <v>11127.91</v>
      </c>
      <c r="Q287" s="11">
        <f>_xlfn.XLOOKUP(A287,A286:A885,[1]Sheet3!V490:V1089)</f>
        <v>0.10528358914733889</v>
      </c>
      <c r="R287" s="7">
        <f>_xlfn.XLOOKUP(A287,A286:A885,[1]Sheet3!W490:W1089)</f>
        <v>56.42</v>
      </c>
      <c r="S287" t="str">
        <f>_xlfn.XLOOKUP(A287,A286:A885,[1]Sheet3!X490:X1089)</f>
        <v>Debit Card</v>
      </c>
      <c r="T287" s="5">
        <f>_xlfn.XLOOKUP(A287,A286:A885,[1]Sheet3!Z490:Z1089)</f>
        <v>3</v>
      </c>
      <c r="U287" t="b">
        <f>_xlfn.XLOOKUP(A287,A286:A885,[1]Sheet3!AA490:AA1089)</f>
        <v>0</v>
      </c>
      <c r="V287" t="str">
        <f>_xlfn.XLOOKUP(A287,A286:A885,[1]Sheet3!AC490:AC1089)</f>
        <v>Pending</v>
      </c>
      <c r="W287" s="5">
        <f>_xlfn.XLOOKUP(A287,A286:A885,[1]Sheet3!AE490:AE1089)</f>
        <v>1</v>
      </c>
    </row>
    <row r="288" spans="1:23" x14ac:dyDescent="0.35">
      <c r="A288" t="s">
        <v>595</v>
      </c>
      <c r="B288" s="1">
        <f>_xlfn.XLOOKUP(A288,A287:A886,[1]Sheet3!C4:C603)</f>
        <v>44747</v>
      </c>
      <c r="C288" t="str">
        <f>_xlfn.XLOOKUP(A288,A287:A886,[1]Sheet3!D4:D603)</f>
        <v>CUST05587</v>
      </c>
      <c r="D288" t="str">
        <f>_xlfn.XLOOKUP(A288,A287:A886,[1]Sheet3!E4:E603)</f>
        <v>Priya Reddy</v>
      </c>
      <c r="E288" s="5">
        <f>_xlfn.XLOOKUP(A288,A287:A886,[1]Sheet3!G4:G603)</f>
        <v>29</v>
      </c>
      <c r="F288" t="str">
        <f>_xlfn.XLOOKUP('Retail Sales'!A5,'Retail Sales'!A4:A603,[1]Sheet3!H4:H603)</f>
        <v>Young Adult</v>
      </c>
      <c r="G288" t="str">
        <f>_xlfn.XLOOKUP(A288,A287:A886,[1]Sheet3!J4:J603)</f>
        <v>Other</v>
      </c>
      <c r="H288" t="str">
        <f>_xlfn.XLOOKUP(A288,A287:A886,[1]Sheet3!K4:K603)</f>
        <v>West</v>
      </c>
      <c r="I288" t="str">
        <f>_xlfn.XLOOKUP(A288,A287:A886,[1]Sheet3!L4:L603)</f>
        <v>Ahmedabad</v>
      </c>
      <c r="J288" t="str">
        <f>_xlfn.XLOOKUP(A288,A287:A886,[1]Sheet3!M4:M603)</f>
        <v>Furniture</v>
      </c>
      <c r="K288" t="str">
        <f>_xlfn.XLOOKUP('Retail Sales'!A5,'Retail Sales'!A4:A603,[1]Sheet3!N4:N603)</f>
        <v>Bed Frame</v>
      </c>
      <c r="L288" s="5">
        <f>_xlfn.XLOOKUP(A288,A287:A886,[1]Sheet3!P4:P603)</f>
        <v>9</v>
      </c>
      <c r="M288" s="7">
        <f>_xlfn.XLOOKUP(A288,A287:A886,[1]Sheet3!Q4:Q603)</f>
        <v>22071.919999999998</v>
      </c>
      <c r="N288" s="9">
        <f>_xlfn.XLOOKUP(A288,A287:A886,[1]Sheet3!S4:S603)</f>
        <v>0.17</v>
      </c>
      <c r="O288" s="7">
        <f>_xlfn.XLOOKUP(A288,A287:A886,[1]Sheet3!T4:T603)</f>
        <v>262066.11</v>
      </c>
      <c r="P288" s="7">
        <f>_xlfn.XLOOKUP(A288,A287:A886,[1]Sheet3!U4:U603)</f>
        <v>66644.990000000005</v>
      </c>
      <c r="Q288" s="11">
        <f>_xlfn.XLOOKUP(A288,A287:A886,[1]Sheet3!V4:V603)</f>
        <v>0.25430602224759247</v>
      </c>
      <c r="R288" s="7">
        <f>_xlfn.XLOOKUP(A288,A287:A886,[1]Sheet3!W4:W603)</f>
        <v>54.47</v>
      </c>
      <c r="S288" t="str">
        <f>_xlfn.XLOOKUP(A288,A287:A886,[1]Sheet3!X4:X603)</f>
        <v>EMI</v>
      </c>
      <c r="T288" s="5">
        <f>_xlfn.XLOOKUP(A288,A287:A886,[1]Sheet3!Z4:Z603)</f>
        <v>3</v>
      </c>
      <c r="U288" t="b">
        <f>_xlfn.XLOOKUP(A288,A287:A886,[1]Sheet3!AA4:AA603)</f>
        <v>0</v>
      </c>
      <c r="V288" t="str">
        <f>_xlfn.XLOOKUP(A288,A287:A886,[1]Sheet3!AC4:AC603)</f>
        <v>Delivered</v>
      </c>
      <c r="W288" s="5">
        <f>_xlfn.XLOOKUP(A288,A287:A886,[1]Sheet3!AE4:AE603)</f>
        <v>4</v>
      </c>
    </row>
    <row r="289" spans="1:23" x14ac:dyDescent="0.35">
      <c r="A289" t="s">
        <v>31</v>
      </c>
      <c r="B289" s="1">
        <f>_xlfn.XLOOKUP(A289,A288:A887,[1]Sheet3!C568:C1167)</f>
        <v>44754</v>
      </c>
      <c r="C289" t="str">
        <f>_xlfn.XLOOKUP(A289,A288:A887,[1]Sheet3!D568:D1167)</f>
        <v>CUST13620</v>
      </c>
      <c r="D289" t="str">
        <f>_xlfn.XLOOKUP(A289,A288:A887,[1]Sheet3!E568:E1167)</f>
        <v>Amit Das</v>
      </c>
      <c r="E289" s="5">
        <f>_xlfn.XLOOKUP(A289,A288:A887,[1]Sheet3!G568:G1167)</f>
        <v>39</v>
      </c>
      <c r="F289" t="str">
        <f>_xlfn.XLOOKUP('Retail Sales'!A569,'Retail Sales'!A568:A1167,[1]Sheet3!H568:H1167)</f>
        <v>Adult</v>
      </c>
      <c r="G289" t="str">
        <f>_xlfn.XLOOKUP(A289,A288:A887,[1]Sheet3!J568:J1167)</f>
        <v>Male</v>
      </c>
      <c r="H289" t="str">
        <f>_xlfn.XLOOKUP(A289,A288:A887,[1]Sheet3!K568:K1167)</f>
        <v>South</v>
      </c>
      <c r="I289" t="str">
        <f>_xlfn.XLOOKUP(A289,A288:A887,[1]Sheet3!L568:L1167)</f>
        <v>Hyderabad</v>
      </c>
      <c r="J289" t="str">
        <f>_xlfn.XLOOKUP(A289,A288:A887,[1]Sheet3!M568:M1167)</f>
        <v>Beauty</v>
      </c>
      <c r="K289" t="str">
        <f>_xlfn.XLOOKUP('Retail Sales'!A569,'Retail Sales'!A568:A1167,[1]Sheet3!N568:N1167)</f>
        <v>Shampoo</v>
      </c>
      <c r="L289" s="5">
        <f>_xlfn.XLOOKUP(A289,A288:A887,[1]Sheet3!P568:P1167)</f>
        <v>4</v>
      </c>
      <c r="M289" s="7">
        <f>_xlfn.XLOOKUP(A289,A288:A887,[1]Sheet3!Q568:Q1167)</f>
        <v>1632.26</v>
      </c>
      <c r="N289" s="9">
        <f>_xlfn.XLOOKUP(A289,A288:A887,[1]Sheet3!S568:S1167)</f>
        <v>0.4</v>
      </c>
      <c r="O289" s="7">
        <f>_xlfn.XLOOKUP(A289,A288:A887,[1]Sheet3!T568:T1167)</f>
        <v>5867.49</v>
      </c>
      <c r="P289" s="7">
        <f>_xlfn.XLOOKUP(A289,A288:A887,[1]Sheet3!U568:U1167)</f>
        <v>2226.87</v>
      </c>
      <c r="Q289" s="11">
        <f>_xlfn.XLOOKUP(A289,A288:A887,[1]Sheet3!V568:V1167)</f>
        <v>0.379526850493141</v>
      </c>
      <c r="R289" s="7">
        <f>_xlfn.XLOOKUP(A289,A288:A887,[1]Sheet3!W568:W1167)</f>
        <v>61.99</v>
      </c>
      <c r="S289" t="str">
        <f>_xlfn.XLOOKUP(A289,A288:A887,[1]Sheet3!X568:X1167)</f>
        <v>UPI</v>
      </c>
      <c r="T289" s="5">
        <f>_xlfn.XLOOKUP(A289,A288:A887,[1]Sheet3!Z568:Z1167)</f>
        <v>4</v>
      </c>
      <c r="U289" t="b">
        <f>_xlfn.XLOOKUP(A289,A288:A887,[1]Sheet3!AA568:AA1167)</f>
        <v>0</v>
      </c>
      <c r="V289" t="str">
        <f>_xlfn.XLOOKUP(A289,A288:A887,[1]Sheet3!AC568:AC1167)</f>
        <v>Delivered</v>
      </c>
      <c r="W289" s="5">
        <f>_xlfn.XLOOKUP(A289,A288:A887,[1]Sheet3!AE568:AE1167)</f>
        <v>7</v>
      </c>
    </row>
    <row r="290" spans="1:23" x14ac:dyDescent="0.35">
      <c r="A290" t="s">
        <v>412</v>
      </c>
      <c r="B290" s="1">
        <f>_xlfn.XLOOKUP(A290,A289:A888,[1]Sheet3!C187:C786)</f>
        <v>44773</v>
      </c>
      <c r="C290" t="str">
        <f>_xlfn.XLOOKUP(A290,A289:A888,[1]Sheet3!D187:D786)</f>
        <v>CUST10089</v>
      </c>
      <c r="D290" t="str">
        <f>_xlfn.XLOOKUP(A290,A289:A888,[1]Sheet3!E187:E786)</f>
        <v>Vikram Bhat</v>
      </c>
      <c r="E290" s="5">
        <f>_xlfn.XLOOKUP(A290,A289:A888,[1]Sheet3!G187:G786)</f>
        <v>47</v>
      </c>
      <c r="F290" t="str">
        <f>_xlfn.XLOOKUP('Retail Sales'!A188,'Retail Sales'!A187:A786,[1]Sheet3!H187:H786)</f>
        <v>Adult</v>
      </c>
      <c r="G290" t="str">
        <f>_xlfn.XLOOKUP(A290,A289:A888,[1]Sheet3!J187:J786)</f>
        <v>Other</v>
      </c>
      <c r="H290" t="str">
        <f>_xlfn.XLOOKUP(A290,A289:A888,[1]Sheet3!K187:K786)</f>
        <v>East</v>
      </c>
      <c r="I290" t="str">
        <f>_xlfn.XLOOKUP(A290,A289:A888,[1]Sheet3!L187:L786)</f>
        <v>Patna</v>
      </c>
      <c r="J290" t="str">
        <f>_xlfn.XLOOKUP(A290,A289:A888,[1]Sheet3!M187:M786)</f>
        <v>Clothing</v>
      </c>
      <c r="K290" t="str">
        <f>_xlfn.XLOOKUP('Retail Sales'!A188,'Retail Sales'!A187:A786,[1]Sheet3!N187:N786)</f>
        <v>Saree</v>
      </c>
      <c r="L290" s="5">
        <f>_xlfn.XLOOKUP(A290,A289:A888,[1]Sheet3!P187:P786)</f>
        <v>2</v>
      </c>
      <c r="M290" s="7">
        <f>_xlfn.XLOOKUP(A290,A289:A888,[1]Sheet3!Q187:Q786)</f>
        <v>3551.33</v>
      </c>
      <c r="N290" s="9">
        <f>_xlfn.XLOOKUP(A290,A289:A888,[1]Sheet3!S187:S786)</f>
        <v>0.03</v>
      </c>
      <c r="O290" s="7">
        <f>_xlfn.XLOOKUP(A290,A289:A888,[1]Sheet3!T187:T786)</f>
        <v>9440.7800000000007</v>
      </c>
      <c r="P290" s="7">
        <f>_xlfn.XLOOKUP(A290,A289:A888,[1]Sheet3!U187:U786)</f>
        <v>3804.23</v>
      </c>
      <c r="Q290" s="11">
        <f>_xlfn.XLOOKUP(A290,A289:A888,[1]Sheet3!V187:V786)</f>
        <v>0.4029571709117255</v>
      </c>
      <c r="R290" s="7">
        <f>_xlfn.XLOOKUP(A290,A289:A888,[1]Sheet3!W187:W786)</f>
        <v>97.74</v>
      </c>
      <c r="S290" t="str">
        <f>_xlfn.XLOOKUP(A290,A289:A888,[1]Sheet3!X187:X786)</f>
        <v>Net Banking</v>
      </c>
      <c r="T290" s="5">
        <f>_xlfn.XLOOKUP(A290,A289:A888,[1]Sheet3!Z187:Z786)</f>
        <v>3</v>
      </c>
      <c r="U290" t="b">
        <f>_xlfn.XLOOKUP(A290,A289:A888,[1]Sheet3!AA187:AA786)</f>
        <v>0</v>
      </c>
      <c r="V290" t="str">
        <f>_xlfn.XLOOKUP(A290,A289:A888,[1]Sheet3!AC187:AC786)</f>
        <v>Delivered</v>
      </c>
      <c r="W290" s="5">
        <f>_xlfn.XLOOKUP(A290,A289:A888,[1]Sheet3!AE187:AE786)</f>
        <v>8</v>
      </c>
    </row>
    <row r="291" spans="1:23" x14ac:dyDescent="0.35">
      <c r="A291" t="s">
        <v>291</v>
      </c>
      <c r="B291" s="1">
        <f>_xlfn.XLOOKUP(A291,A290:A889,[1]Sheet3!C308:C907)</f>
        <v>44774</v>
      </c>
      <c r="C291" t="str">
        <f>_xlfn.XLOOKUP(A291,A290:A889,[1]Sheet3!D308:D907)</f>
        <v>CUST80481</v>
      </c>
      <c r="D291" t="str">
        <f>_xlfn.XLOOKUP(A291,A290:A889,[1]Sheet3!E308:E907)</f>
        <v>Sanjay Mishra</v>
      </c>
      <c r="E291" s="5">
        <f>_xlfn.XLOOKUP(A291,A290:A889,[1]Sheet3!G308:G907)</f>
        <v>53</v>
      </c>
      <c r="F291" t="str">
        <f>_xlfn.XLOOKUP('Retail Sales'!A309,'Retail Sales'!A308:A907,[1]Sheet3!H308:H907)</f>
        <v>Senior</v>
      </c>
      <c r="G291" t="str">
        <f>_xlfn.XLOOKUP(A291,A290:A889,[1]Sheet3!J308:J907)</f>
        <v>Female</v>
      </c>
      <c r="H291" t="str">
        <f>_xlfn.XLOOKUP(A291,A290:A889,[1]Sheet3!K308:K907)</f>
        <v>West</v>
      </c>
      <c r="I291" t="str">
        <f>_xlfn.XLOOKUP(A291,A290:A889,[1]Sheet3!L308:L907)</f>
        <v>Surat</v>
      </c>
      <c r="J291" t="str">
        <f>_xlfn.XLOOKUP(A291,A290:A889,[1]Sheet3!M308:M907)</f>
        <v>Beauty</v>
      </c>
      <c r="K291" t="str">
        <f>_xlfn.XLOOKUP('Retail Sales'!A309,'Retail Sales'!A308:A907,[1]Sheet3!N308:N907)</f>
        <v>Sunscreen</v>
      </c>
      <c r="L291" s="5">
        <f>_xlfn.XLOOKUP(A291,A290:A889,[1]Sheet3!P308:P907)</f>
        <v>4</v>
      </c>
      <c r="M291" s="7">
        <f>_xlfn.XLOOKUP(A291,A290:A889,[1]Sheet3!Q308:Q907)</f>
        <v>356.27</v>
      </c>
      <c r="N291" s="9">
        <f>_xlfn.XLOOKUP(A291,A290:A889,[1]Sheet3!S308:S907)</f>
        <v>0.25</v>
      </c>
      <c r="O291" s="7">
        <f>_xlfn.XLOOKUP(A291,A290:A889,[1]Sheet3!T308:T907)</f>
        <v>1442.88</v>
      </c>
      <c r="P291" s="7">
        <f>_xlfn.XLOOKUP(A291,A290:A889,[1]Sheet3!U308:U907)</f>
        <v>531.29999999999995</v>
      </c>
      <c r="Q291" s="11">
        <f>_xlfn.XLOOKUP(A291,A290:A889,[1]Sheet3!V308:V907)</f>
        <v>0.3682218895542248</v>
      </c>
      <c r="R291" s="7">
        <f>_xlfn.XLOOKUP(A291,A290:A889,[1]Sheet3!W308:W907)</f>
        <v>38.090000000000003</v>
      </c>
      <c r="S291" t="str">
        <f>_xlfn.XLOOKUP(A291,A290:A889,[1]Sheet3!X308:X907)</f>
        <v>Net Banking</v>
      </c>
      <c r="T291" s="5">
        <f>_xlfn.XLOOKUP(A291,A290:A889,[1]Sheet3!Z308:Z907)</f>
        <v>5</v>
      </c>
      <c r="U291" t="b">
        <f>_xlfn.XLOOKUP(A291,A290:A889,[1]Sheet3!AA308:AA907)</f>
        <v>0</v>
      </c>
      <c r="V291" t="str">
        <f>_xlfn.XLOOKUP(A291,A290:A889,[1]Sheet3!AC308:AC907)</f>
        <v>Delivered</v>
      </c>
      <c r="W291" s="5">
        <f>_xlfn.XLOOKUP(A291,A290:A889,[1]Sheet3!AE308:AE907)</f>
        <v>5</v>
      </c>
    </row>
    <row r="292" spans="1:23" x14ac:dyDescent="0.35">
      <c r="A292" t="s">
        <v>192</v>
      </c>
      <c r="B292" s="1">
        <f>_xlfn.XLOOKUP(A292,A291:A890,[1]Sheet3!C407:C1006)</f>
        <v>44776</v>
      </c>
      <c r="C292" t="str">
        <f>_xlfn.XLOOKUP(A292,A291:A890,[1]Sheet3!D407:D1006)</f>
        <v>CUST05495</v>
      </c>
      <c r="D292" t="str">
        <f>_xlfn.XLOOKUP(A292,A291:A890,[1]Sheet3!E407:E1006)</f>
        <v>Vikram Singh</v>
      </c>
      <c r="E292" s="5">
        <f>_xlfn.XLOOKUP(A292,A291:A890,[1]Sheet3!G407:G1006)</f>
        <v>45</v>
      </c>
      <c r="F292" t="str">
        <f>_xlfn.XLOOKUP('Retail Sales'!A408,'Retail Sales'!A407:A1006,[1]Sheet3!H407:H1006)</f>
        <v>Adult</v>
      </c>
      <c r="G292" t="str">
        <f>_xlfn.XLOOKUP(A292,A291:A890,[1]Sheet3!J407:J1006)</f>
        <v>Female</v>
      </c>
      <c r="H292" t="str">
        <f>_xlfn.XLOOKUP(A292,A291:A890,[1]Sheet3!K407:K1006)</f>
        <v>North</v>
      </c>
      <c r="I292" t="str">
        <f>_xlfn.XLOOKUP(A292,A291:A890,[1]Sheet3!L407:L1006)</f>
        <v>Delhi</v>
      </c>
      <c r="J292" t="str">
        <f>_xlfn.XLOOKUP(A292,A291:A890,[1]Sheet3!M407:M1006)</f>
        <v>Clothing</v>
      </c>
      <c r="K292" t="str">
        <f>_xlfn.XLOOKUP('Retail Sales'!A408,'Retail Sales'!A407:A1006,[1]Sheet3!N407:N1006)</f>
        <v>Kurta</v>
      </c>
      <c r="L292" s="5">
        <f>_xlfn.XLOOKUP(A292,A291:A890,[1]Sheet3!P407:P1006)</f>
        <v>1</v>
      </c>
      <c r="M292" s="7">
        <f>_xlfn.XLOOKUP(A292,A291:A890,[1]Sheet3!Q407:Q1006)</f>
        <v>2503.3000000000002</v>
      </c>
      <c r="N292" s="9">
        <f>_xlfn.XLOOKUP(A292,A291:A890,[1]Sheet3!S407:S1006)</f>
        <v>0.15</v>
      </c>
      <c r="O292" s="7">
        <f>_xlfn.XLOOKUP(A292,A291:A890,[1]Sheet3!T407:T1006)</f>
        <v>2937.26</v>
      </c>
      <c r="P292" s="7">
        <f>_xlfn.XLOOKUP(A292,A291:A890,[1]Sheet3!U407:U1006)</f>
        <v>723.88</v>
      </c>
      <c r="Q292" s="11">
        <f>_xlfn.XLOOKUP(A292,A291:A890,[1]Sheet3!V407:V1006)</f>
        <v>0.24644736931698247</v>
      </c>
      <c r="R292" s="7">
        <f>_xlfn.XLOOKUP(A292,A291:A890,[1]Sheet3!W407:W1006)</f>
        <v>47.55</v>
      </c>
      <c r="S292" t="str">
        <f>_xlfn.XLOOKUP(A292,A291:A890,[1]Sheet3!X407:X1006)</f>
        <v>EMI</v>
      </c>
      <c r="T292" s="5">
        <f>_xlfn.XLOOKUP(A292,A291:A890,[1]Sheet3!Z407:Z1006)</f>
        <v>2</v>
      </c>
      <c r="U292" t="b">
        <f>_xlfn.XLOOKUP(A292,A291:A890,[1]Sheet3!AA407:AA1006)</f>
        <v>1</v>
      </c>
      <c r="V292" t="str">
        <f>_xlfn.XLOOKUP(A292,A291:A890,[1]Sheet3!AC407:AC1006)</f>
        <v>Returned</v>
      </c>
      <c r="W292" s="5">
        <f>_xlfn.XLOOKUP(A292,A291:A890,[1]Sheet3!AE407:AE1006)</f>
        <v>10</v>
      </c>
    </row>
    <row r="293" spans="1:23" x14ac:dyDescent="0.35">
      <c r="A293" t="s">
        <v>258</v>
      </c>
      <c r="B293" s="1">
        <f>_xlfn.XLOOKUP(A293,A292:A891,[1]Sheet3!C341:C940)</f>
        <v>44778</v>
      </c>
      <c r="C293" t="str">
        <f>_xlfn.XLOOKUP(A293,A292:A891,[1]Sheet3!D341:D940)</f>
        <v>CUST72247</v>
      </c>
      <c r="D293" t="str">
        <f>_xlfn.XLOOKUP(A293,A292:A891,[1]Sheet3!E341:E940)</f>
        <v>Arjun Mishra</v>
      </c>
      <c r="E293" s="5">
        <f>_xlfn.XLOOKUP(A293,A292:A891,[1]Sheet3!G341:G940)</f>
        <v>57</v>
      </c>
      <c r="F293" t="str">
        <f>_xlfn.XLOOKUP('Retail Sales'!A342,'Retail Sales'!A341:A940,[1]Sheet3!H341:H940)</f>
        <v>Senior</v>
      </c>
      <c r="G293" t="str">
        <f>_xlfn.XLOOKUP(A293,A292:A891,[1]Sheet3!J341:J940)</f>
        <v>Male</v>
      </c>
      <c r="H293" t="str">
        <f>_xlfn.XLOOKUP(A293,A292:A891,[1]Sheet3!K341:K940)</f>
        <v>East</v>
      </c>
      <c r="I293" t="str">
        <f>_xlfn.XLOOKUP(A293,A292:A891,[1]Sheet3!L341:L940)</f>
        <v>Kolkata</v>
      </c>
      <c r="J293" t="str">
        <f>_xlfn.XLOOKUP(A293,A292:A891,[1]Sheet3!M341:M940)</f>
        <v>Electronics</v>
      </c>
      <c r="K293" t="str">
        <f>_xlfn.XLOOKUP('Retail Sales'!A342,'Retail Sales'!A341:A940,[1]Sheet3!N341:N940)</f>
        <v>Tablet</v>
      </c>
      <c r="L293" s="5">
        <f>_xlfn.XLOOKUP(A293,A292:A891,[1]Sheet3!P341:P940)</f>
        <v>1</v>
      </c>
      <c r="M293" s="7">
        <f>_xlfn.XLOOKUP(A293,A292:A891,[1]Sheet3!Q341:Q940)</f>
        <v>67980.929999999993</v>
      </c>
      <c r="N293" s="9">
        <f>_xlfn.XLOOKUP(A293,A292:A891,[1]Sheet3!S341:S940)</f>
        <v>0.19793402777777783</v>
      </c>
      <c r="O293" s="7">
        <f>_xlfn.XLOOKUP(A293,A292:A891,[1]Sheet3!T341:T940)</f>
        <v>96948</v>
      </c>
      <c r="P293" s="7">
        <f>_xlfn.XLOOKUP(A293,A292:A891,[1]Sheet3!U341:U940)</f>
        <v>11975.81</v>
      </c>
      <c r="Q293" s="11">
        <f>_xlfn.XLOOKUP(A293,A292:A891,[1]Sheet3!V341:V940)</f>
        <v>0.12352818005528736</v>
      </c>
      <c r="R293" s="7">
        <f>_xlfn.XLOOKUP(A293,A292:A891,[1]Sheet3!W341:W940)</f>
        <v>63.26</v>
      </c>
      <c r="S293" t="str">
        <f>_xlfn.XLOOKUP(A293,A292:A891,[1]Sheet3!X341:X940)</f>
        <v>Cash on Delivery</v>
      </c>
      <c r="T293" s="5">
        <f>_xlfn.XLOOKUP(A293,A292:A891,[1]Sheet3!Z341:Z940)</f>
        <v>4</v>
      </c>
      <c r="U293" t="b">
        <f>_xlfn.XLOOKUP(A293,A292:A891,[1]Sheet3!AA341:AA940)</f>
        <v>0</v>
      </c>
      <c r="V293" t="str">
        <f>_xlfn.XLOOKUP(A293,A292:A891,[1]Sheet3!AC341:AC940)</f>
        <v>Delivered</v>
      </c>
      <c r="W293" s="5">
        <f>_xlfn.XLOOKUP(A293,A292:A891,[1]Sheet3!AE341:AE940)</f>
        <v>9</v>
      </c>
    </row>
    <row r="294" spans="1:23" x14ac:dyDescent="0.35">
      <c r="A294" t="s">
        <v>321</v>
      </c>
      <c r="B294" s="1">
        <f>_xlfn.XLOOKUP(A294,A293:A892,[1]Sheet3!C278:C877)</f>
        <v>44782</v>
      </c>
      <c r="C294" t="str">
        <f>_xlfn.XLOOKUP(A294,A293:A892,[1]Sheet3!D278:D877)</f>
        <v>CUST77492</v>
      </c>
      <c r="D294" t="str">
        <f>_xlfn.XLOOKUP(A294,A293:A892,[1]Sheet3!E278:E877)</f>
        <v>Karan Sharma</v>
      </c>
      <c r="E294" s="5">
        <f>_xlfn.XLOOKUP(A294,A293:A892,[1]Sheet3!G278:G877)</f>
        <v>33</v>
      </c>
      <c r="F294" t="str">
        <f>_xlfn.XLOOKUP('Retail Sales'!A279,'Retail Sales'!A278:A877,[1]Sheet3!H278:H877)</f>
        <v>Young Adult</v>
      </c>
      <c r="G294" t="str">
        <f>_xlfn.XLOOKUP(A294,A293:A892,[1]Sheet3!J278:J877)</f>
        <v>Male</v>
      </c>
      <c r="H294" t="str">
        <f>_xlfn.XLOOKUP(A294,A293:A892,[1]Sheet3!K278:K877)</f>
        <v>South</v>
      </c>
      <c r="I294" t="str">
        <f>_xlfn.XLOOKUP(A294,A293:A892,[1]Sheet3!L278:L877)</f>
        <v>Chennai</v>
      </c>
      <c r="J294" t="str">
        <f>_xlfn.XLOOKUP(A294,A293:A892,[1]Sheet3!M278:M877)</f>
        <v>Clothing</v>
      </c>
      <c r="K294" t="str">
        <f>_xlfn.XLOOKUP('Retail Sales'!A279,'Retail Sales'!A278:A877,[1]Sheet3!N278:N877)</f>
        <v>Saree</v>
      </c>
      <c r="L294" s="5">
        <f>_xlfn.XLOOKUP(A294,A293:A892,[1]Sheet3!P278:P877)</f>
        <v>1</v>
      </c>
      <c r="M294" s="7">
        <f>_xlfn.XLOOKUP(A294,A293:A892,[1]Sheet3!Q278:Q877)</f>
        <v>1170.22</v>
      </c>
      <c r="N294" s="9">
        <f>_xlfn.XLOOKUP(A294,A293:A892,[1]Sheet3!S278:S877)</f>
        <v>0.37</v>
      </c>
      <c r="O294" s="7">
        <f>_xlfn.XLOOKUP(A294,A293:A892,[1]Sheet3!T278:T877)</f>
        <v>1011.25</v>
      </c>
      <c r="P294" s="7">
        <f>_xlfn.XLOOKUP(A294,A293:A892,[1]Sheet3!U278:U877)</f>
        <v>422.66</v>
      </c>
      <c r="Q294" s="11">
        <f>_xlfn.XLOOKUP(A294,A293:A892,[1]Sheet3!V278:V877)</f>
        <v>0.41795797280593328</v>
      </c>
      <c r="R294" s="7">
        <f>_xlfn.XLOOKUP(A294,A293:A892,[1]Sheet3!W278:W877)</f>
        <v>82.03</v>
      </c>
      <c r="S294" t="str">
        <f>_xlfn.XLOOKUP(A294,A293:A892,[1]Sheet3!X278:X877)</f>
        <v>Debit Card</v>
      </c>
      <c r="T294" s="5">
        <f>_xlfn.XLOOKUP(A294,A293:A892,[1]Sheet3!Z278:Z877)</f>
        <v>4</v>
      </c>
      <c r="U294" t="b">
        <f>_xlfn.XLOOKUP(A294,A293:A892,[1]Sheet3!AA278:AA877)</f>
        <v>0</v>
      </c>
      <c r="V294" t="str">
        <f>_xlfn.XLOOKUP(A294,A293:A892,[1]Sheet3!AC278:AC877)</f>
        <v>Delivered</v>
      </c>
      <c r="W294" s="5">
        <f>_xlfn.XLOOKUP(A294,A293:A892,[1]Sheet3!AE278:AE877)</f>
        <v>2</v>
      </c>
    </row>
    <row r="295" spans="1:23" x14ac:dyDescent="0.35">
      <c r="A295" t="s">
        <v>74</v>
      </c>
      <c r="B295" s="1">
        <f>_xlfn.XLOOKUP(A295,A294:A893,[1]Sheet3!C525:C1124)</f>
        <v>44784</v>
      </c>
      <c r="C295" t="str">
        <f>_xlfn.XLOOKUP(A295,A294:A893,[1]Sheet3!D525:D1124)</f>
        <v>CUST84895</v>
      </c>
      <c r="D295" t="str">
        <f>_xlfn.XLOOKUP(A295,A294:A893,[1]Sheet3!E525:E1124)</f>
        <v>Vikram Mishra</v>
      </c>
      <c r="E295" s="5">
        <f>_xlfn.XLOOKUP(A295,A294:A893,[1]Sheet3!G525:G1124)</f>
        <v>37</v>
      </c>
      <c r="F295" t="str">
        <f>_xlfn.XLOOKUP('Retail Sales'!A526,'Retail Sales'!A525:A1124,[1]Sheet3!H525:H1124)</f>
        <v>Adult</v>
      </c>
      <c r="G295" t="str">
        <f>_xlfn.XLOOKUP(A295,A294:A893,[1]Sheet3!J525:J1124)</f>
        <v>Other</v>
      </c>
      <c r="H295" t="str">
        <f>_xlfn.XLOOKUP(A295,A294:A893,[1]Sheet3!K525:K1124)</f>
        <v>North</v>
      </c>
      <c r="I295" t="str">
        <f>_xlfn.XLOOKUP(A295,A294:A893,[1]Sheet3!L525:L1124)</f>
        <v>Amritsar</v>
      </c>
      <c r="J295" t="str">
        <f>_xlfn.XLOOKUP(A295,A294:A893,[1]Sheet3!M525:M1124)</f>
        <v>Electronics</v>
      </c>
      <c r="K295" t="str">
        <f>_xlfn.XLOOKUP('Retail Sales'!A526,'Retail Sales'!A525:A1124,[1]Sheet3!N525:N1124)</f>
        <v>Camera</v>
      </c>
      <c r="L295" s="5">
        <f>_xlfn.XLOOKUP(A295,A294:A893,[1]Sheet3!P525:P1124)</f>
        <v>9</v>
      </c>
      <c r="M295" s="7">
        <f>_xlfn.XLOOKUP(A295,A294:A893,[1]Sheet3!Q525:Q1124)</f>
        <v>54464.82</v>
      </c>
      <c r="N295" s="9">
        <f>_xlfn.XLOOKUP(A295,A294:A893,[1]Sheet3!S525:S1124)</f>
        <v>0</v>
      </c>
      <c r="O295" s="7">
        <f>_xlfn.XLOOKUP(A295,A294:A893,[1]Sheet3!T525:T1124)</f>
        <v>647259.03</v>
      </c>
      <c r="P295" s="7">
        <f>_xlfn.XLOOKUP(A295,A294:A893,[1]Sheet3!U525:U1124)</f>
        <v>89846.44</v>
      </c>
      <c r="Q295" s="11">
        <f>_xlfn.XLOOKUP(A295,A294:A893,[1]Sheet3!V525:V1124)</f>
        <v>0.13881063969088234</v>
      </c>
      <c r="R295" s="7">
        <f>_xlfn.XLOOKUP(A295,A294:A893,[1]Sheet3!W525:W1124)</f>
        <v>53.63</v>
      </c>
      <c r="S295" t="str">
        <f>_xlfn.XLOOKUP(A295,A294:A893,[1]Sheet3!X525:X1124)</f>
        <v>Credit Card</v>
      </c>
      <c r="T295" s="5">
        <f>_xlfn.XLOOKUP(A295,A294:A893,[1]Sheet3!Z525:Z1124)</f>
        <v>3</v>
      </c>
      <c r="U295" t="b">
        <f>_xlfn.XLOOKUP(A295,A294:A893,[1]Sheet3!AA525:AA1124)</f>
        <v>0</v>
      </c>
      <c r="V295" t="str">
        <f>_xlfn.XLOOKUP(A295,A294:A893,[1]Sheet3!AC525:AC1124)</f>
        <v>Delivered</v>
      </c>
      <c r="W295" s="5">
        <f>_xlfn.XLOOKUP(A295,A294:A893,[1]Sheet3!AE525:AE1124)</f>
        <v>4</v>
      </c>
    </row>
    <row r="296" spans="1:23" x14ac:dyDescent="0.35">
      <c r="A296" t="s">
        <v>7</v>
      </c>
      <c r="B296" s="1">
        <f>_xlfn.XLOOKUP(A296,A295:A894,[1]Sheet3!C592:C1191)</f>
        <v>44785</v>
      </c>
      <c r="C296" t="str">
        <f>_xlfn.XLOOKUP(A296,A295:A894,[1]Sheet3!D592:D1191)</f>
        <v>CUST77531</v>
      </c>
      <c r="D296" t="str">
        <f>_xlfn.XLOOKUP(A296,A295:A894,[1]Sheet3!E592:E1191)</f>
        <v>Deepa Gupta</v>
      </c>
      <c r="E296" s="5">
        <f>_xlfn.XLOOKUP(A296,A295:A894,[1]Sheet3!G592:G1191)</f>
        <v>37</v>
      </c>
      <c r="F296" t="str">
        <f>_xlfn.XLOOKUP('Retail Sales'!A593,'Retail Sales'!A592:A1191,[1]Sheet3!H592:H1191)</f>
        <v>Adult</v>
      </c>
      <c r="G296" t="str">
        <f>_xlfn.XLOOKUP(A296,A295:A894,[1]Sheet3!J592:J1191)</f>
        <v>Male</v>
      </c>
      <c r="H296" t="str">
        <f>_xlfn.XLOOKUP(A296,A295:A894,[1]Sheet3!K592:K1191)</f>
        <v>South</v>
      </c>
      <c r="I296" t="str">
        <f>_xlfn.XLOOKUP(A296,A295:A894,[1]Sheet3!L592:L1191)</f>
        <v>Kochi</v>
      </c>
      <c r="J296" t="str">
        <f>_xlfn.XLOOKUP(A296,A295:A894,[1]Sheet3!M592:M1191)</f>
        <v>Beauty</v>
      </c>
      <c r="K296" t="str">
        <f>_xlfn.XLOOKUP('Retail Sales'!A593,'Retail Sales'!A592:A1191,[1]Sheet3!N592:N1191)</f>
        <v>Shampoo</v>
      </c>
      <c r="L296" s="5">
        <f>_xlfn.XLOOKUP(A296,A295:A894,[1]Sheet3!P592:P1191)</f>
        <v>2</v>
      </c>
      <c r="M296" s="7">
        <f>_xlfn.XLOOKUP(A296,A295:A894,[1]Sheet3!Q592:Q1191)</f>
        <v>2364.83</v>
      </c>
      <c r="N296" s="9">
        <f>_xlfn.XLOOKUP(A296,A295:A894,[1]Sheet3!S592:S1191)</f>
        <v>7.0000000000000007E-2</v>
      </c>
      <c r="O296" s="7">
        <f>_xlfn.XLOOKUP(A296,A295:A894,[1]Sheet3!T592:T1191)</f>
        <v>5331.18</v>
      </c>
      <c r="P296" s="7">
        <f>_xlfn.XLOOKUP(A296,A295:A894,[1]Sheet3!U592:U1191)</f>
        <v>2254.41</v>
      </c>
      <c r="Q296" s="11">
        <f>_xlfn.XLOOKUP(A296,A295:A894,[1]Sheet3!V592:V1191)</f>
        <v>0.42287260981621322</v>
      </c>
      <c r="R296" s="7">
        <f>_xlfn.XLOOKUP(A296,A295:A894,[1]Sheet3!W592:W1191)</f>
        <v>60.96</v>
      </c>
      <c r="S296" t="str">
        <f>_xlfn.XLOOKUP(A296,A295:A894,[1]Sheet3!X592:X1191)</f>
        <v>EMI</v>
      </c>
      <c r="T296" s="5">
        <f>_xlfn.XLOOKUP(A296,A295:A894,[1]Sheet3!Z592:Z1191)</f>
        <v>1</v>
      </c>
      <c r="U296" t="b">
        <f>_xlfn.XLOOKUP(A296,A295:A894,[1]Sheet3!AA592:AA1191)</f>
        <v>0</v>
      </c>
      <c r="V296" t="str">
        <f>_xlfn.XLOOKUP(A296,A295:A894,[1]Sheet3!AC592:AC1191)</f>
        <v>Delivered</v>
      </c>
      <c r="W296" s="5">
        <f>_xlfn.XLOOKUP(A296,A295:A894,[1]Sheet3!AE592:AE1191)</f>
        <v>4</v>
      </c>
    </row>
    <row r="297" spans="1:23" x14ac:dyDescent="0.35">
      <c r="A297" t="s">
        <v>180</v>
      </c>
      <c r="B297" s="1">
        <f>_xlfn.XLOOKUP(A297,A296:A895,[1]Sheet3!C419:C1018)</f>
        <v>44785</v>
      </c>
      <c r="C297" t="str">
        <f>_xlfn.XLOOKUP(A297,A296:A895,[1]Sheet3!D419:D1018)</f>
        <v>CUST51575</v>
      </c>
      <c r="D297" t="str">
        <f>_xlfn.XLOOKUP(A297,A296:A895,[1]Sheet3!E419:E1018)</f>
        <v>Karan Mishra</v>
      </c>
      <c r="E297" s="5">
        <f>_xlfn.XLOOKUP(A297,A296:A895,[1]Sheet3!G419:G1018)</f>
        <v>30</v>
      </c>
      <c r="F297" t="str">
        <f>_xlfn.XLOOKUP('Retail Sales'!A420,'Retail Sales'!A419:A1018,[1]Sheet3!H419:H1018)</f>
        <v>Young Adult</v>
      </c>
      <c r="G297" t="str">
        <f>_xlfn.XLOOKUP(A297,A296:A895,[1]Sheet3!J419:J1018)</f>
        <v>Other</v>
      </c>
      <c r="H297" t="str">
        <f>_xlfn.XLOOKUP(A297,A296:A895,[1]Sheet3!K419:K1018)</f>
        <v>North</v>
      </c>
      <c r="I297" t="str">
        <f>_xlfn.XLOOKUP(A297,A296:A895,[1]Sheet3!L419:L1018)</f>
        <v>Ludhiana</v>
      </c>
      <c r="J297" t="str">
        <f>_xlfn.XLOOKUP(A297,A296:A895,[1]Sheet3!M419:M1018)</f>
        <v>Sports</v>
      </c>
      <c r="K297" t="str">
        <f>_xlfn.XLOOKUP('Retail Sales'!A420,'Retail Sales'!A419:A1018,[1]Sheet3!N419:N1018)</f>
        <v>Football</v>
      </c>
      <c r="L297" s="5">
        <f>_xlfn.XLOOKUP(A297,A296:A895,[1]Sheet3!P419:P1018)</f>
        <v>7</v>
      </c>
      <c r="M297" s="7">
        <f>_xlfn.XLOOKUP(A297,A296:A895,[1]Sheet3!Q419:Q1018)</f>
        <v>14759.38</v>
      </c>
      <c r="N297" s="9">
        <f>_xlfn.XLOOKUP(A297,A296:A895,[1]Sheet3!S419:S1018)</f>
        <v>0</v>
      </c>
      <c r="O297" s="7">
        <f>_xlfn.XLOOKUP(A297,A296:A895,[1]Sheet3!T419:T1018)</f>
        <v>128001.22</v>
      </c>
      <c r="P297" s="7">
        <f>_xlfn.XLOOKUP(A297,A296:A895,[1]Sheet3!U419:U1018)</f>
        <v>25740.07</v>
      </c>
      <c r="Q297" s="11">
        <f>_xlfn.XLOOKUP(A297,A296:A895,[1]Sheet3!V419:V1018)</f>
        <v>0.2010923802132511</v>
      </c>
      <c r="R297" s="7">
        <f>_xlfn.XLOOKUP(A297,A296:A895,[1]Sheet3!W419:W1018)</f>
        <v>70.7</v>
      </c>
      <c r="S297" t="str">
        <f>_xlfn.XLOOKUP(A297,A296:A895,[1]Sheet3!X419:X1018)</f>
        <v>Net Banking</v>
      </c>
      <c r="T297" s="5">
        <f>_xlfn.XLOOKUP(A297,A296:A895,[1]Sheet3!Z419:Z1018)</f>
        <v>3</v>
      </c>
      <c r="U297" t="b">
        <f>_xlfn.XLOOKUP(A297,A296:A895,[1]Sheet3!AA419:AA1018)</f>
        <v>0</v>
      </c>
      <c r="V297" t="str">
        <f>_xlfn.XLOOKUP(A297,A296:A895,[1]Sheet3!AC419:AC1018)</f>
        <v>Delivered</v>
      </c>
      <c r="W297" s="5">
        <f>_xlfn.XLOOKUP(A297,A296:A895,[1]Sheet3!AE419:AE1018)</f>
        <v>7</v>
      </c>
    </row>
    <row r="298" spans="1:23" x14ac:dyDescent="0.35">
      <c r="A298" t="s">
        <v>217</v>
      </c>
      <c r="B298" s="1">
        <f>_xlfn.XLOOKUP(A298,A297:A896,[1]Sheet3!C382:C981)</f>
        <v>44786</v>
      </c>
      <c r="C298" t="str">
        <f>_xlfn.XLOOKUP(A298,A297:A896,[1]Sheet3!D382:D981)</f>
        <v>CUST50045</v>
      </c>
      <c r="D298" t="str">
        <f>_xlfn.XLOOKUP(A298,A297:A896,[1]Sheet3!E382:E981)</f>
        <v>Arjun Verma</v>
      </c>
      <c r="E298" s="5">
        <f>_xlfn.XLOOKUP(A298,A297:A896,[1]Sheet3!G382:G981)</f>
        <v>21</v>
      </c>
      <c r="F298" t="str">
        <f>_xlfn.XLOOKUP('Retail Sales'!A383,'Retail Sales'!A382:A981,[1]Sheet3!H382:H981)</f>
        <v>Young Adult</v>
      </c>
      <c r="G298" t="str">
        <f>_xlfn.XLOOKUP(A298,A297:A896,[1]Sheet3!J382:J981)</f>
        <v>Male</v>
      </c>
      <c r="H298" t="str">
        <f>_xlfn.XLOOKUP(A298,A297:A896,[1]Sheet3!K382:K981)</f>
        <v>North</v>
      </c>
      <c r="I298" t="str">
        <f>_xlfn.XLOOKUP(A298,A297:A896,[1]Sheet3!L382:L981)</f>
        <v>Chandigarh</v>
      </c>
      <c r="J298" t="str">
        <f>_xlfn.XLOOKUP(A298,A297:A896,[1]Sheet3!M382:M981)</f>
        <v>Clothing</v>
      </c>
      <c r="K298" t="str">
        <f>_xlfn.XLOOKUP('Retail Sales'!A383,'Retail Sales'!A382:A981,[1]Sheet3!N382:N981)</f>
        <v>Jeans</v>
      </c>
      <c r="L298" s="5">
        <f>_xlfn.XLOOKUP(A298,A297:A896,[1]Sheet3!P382:P981)</f>
        <v>8</v>
      </c>
      <c r="M298" s="7">
        <f>_xlfn.XLOOKUP(A298,A297:A896,[1]Sheet3!Q382:Q981)</f>
        <v>3588.17</v>
      </c>
      <c r="N298" s="9">
        <f>_xlfn.XLOOKUP(A298,A297:A896,[1]Sheet3!S382:S981)</f>
        <v>0.24</v>
      </c>
      <c r="O298" s="7">
        <f>_xlfn.XLOOKUP(A298,A297:A896,[1]Sheet3!T382:T981)</f>
        <v>31618.79</v>
      </c>
      <c r="P298" s="7">
        <f>_xlfn.XLOOKUP(A298,A297:A896,[1]Sheet3!U382:U981)</f>
        <v>13674.74</v>
      </c>
      <c r="Q298" s="11">
        <f>_xlfn.XLOOKUP(A298,A297:A896,[1]Sheet3!V382:V981)</f>
        <v>0.43248777072114397</v>
      </c>
      <c r="R298" s="7">
        <f>_xlfn.XLOOKUP(A298,A297:A896,[1]Sheet3!W382:W981)</f>
        <v>86.78</v>
      </c>
      <c r="S298" t="str">
        <f>_xlfn.XLOOKUP(A298,A297:A896,[1]Sheet3!X382:X981)</f>
        <v>EMI</v>
      </c>
      <c r="T298" s="5">
        <f>_xlfn.XLOOKUP(A298,A297:A896,[1]Sheet3!Z382:Z981)</f>
        <v>1</v>
      </c>
      <c r="U298" t="b">
        <f>_xlfn.XLOOKUP(A298,A297:A896,[1]Sheet3!AA382:AA981)</f>
        <v>0</v>
      </c>
      <c r="V298" t="str">
        <f>_xlfn.XLOOKUP(A298,A297:A896,[1]Sheet3!AC382:AC981)</f>
        <v>Delivered</v>
      </c>
      <c r="W298" s="5">
        <f>_xlfn.XLOOKUP(A298,A297:A896,[1]Sheet3!AE382:AE981)</f>
        <v>7</v>
      </c>
    </row>
    <row r="299" spans="1:23" x14ac:dyDescent="0.35">
      <c r="A299" t="s">
        <v>309</v>
      </c>
      <c r="B299" s="1">
        <f>_xlfn.XLOOKUP(A299,A298:A897,[1]Sheet3!C290:C889)</f>
        <v>44787</v>
      </c>
      <c r="C299" t="str">
        <f>_xlfn.XLOOKUP(A299,A298:A897,[1]Sheet3!D290:D889)</f>
        <v>CUST47298</v>
      </c>
      <c r="D299" t="str">
        <f>_xlfn.XLOOKUP(A299,A298:A897,[1]Sheet3!E290:E889)</f>
        <v>Shreya Gupta</v>
      </c>
      <c r="E299" s="5">
        <f>_xlfn.XLOOKUP(A299,A298:A897,[1]Sheet3!G290:G889)</f>
        <v>36</v>
      </c>
      <c r="F299" t="str">
        <f>_xlfn.XLOOKUP('Retail Sales'!A291,'Retail Sales'!A290:A889,[1]Sheet3!H290:H889)</f>
        <v>Adult</v>
      </c>
      <c r="G299" t="str">
        <f>_xlfn.XLOOKUP(A299,A298:A897,[1]Sheet3!J290:J889)</f>
        <v>Other</v>
      </c>
      <c r="H299" t="str">
        <f>_xlfn.XLOOKUP(A299,A298:A897,[1]Sheet3!K290:K889)</f>
        <v>North</v>
      </c>
      <c r="I299" t="str">
        <f>_xlfn.XLOOKUP(A299,A298:A897,[1]Sheet3!L290:L889)</f>
        <v>Amritsar</v>
      </c>
      <c r="J299" t="str">
        <f>_xlfn.XLOOKUP(A299,A298:A897,[1]Sheet3!M290:M889)</f>
        <v>Books</v>
      </c>
      <c r="K299" t="str">
        <f>_xlfn.XLOOKUP('Retail Sales'!A291,'Retail Sales'!A290:A889,[1]Sheet3!N290:N889)</f>
        <v>Comic Book</v>
      </c>
      <c r="L299" s="5">
        <f>_xlfn.XLOOKUP(A299,A298:A897,[1]Sheet3!P290:P889)</f>
        <v>1</v>
      </c>
      <c r="M299" s="7">
        <f>_xlfn.XLOOKUP(A299,A298:A897,[1]Sheet3!Q290:Q889)</f>
        <v>1129.04</v>
      </c>
      <c r="N299" s="9">
        <f>_xlfn.XLOOKUP(A299,A298:A897,[1]Sheet3!S290:S889)</f>
        <v>0.28000000000000003</v>
      </c>
      <c r="O299" s="7">
        <f>_xlfn.XLOOKUP(A299,A298:A897,[1]Sheet3!T290:T889)</f>
        <v>1081.22</v>
      </c>
      <c r="P299" s="7">
        <f>_xlfn.XLOOKUP(A299,A298:A897,[1]Sheet3!U290:U889)</f>
        <v>412.61</v>
      </c>
      <c r="Q299" s="11">
        <f>_xlfn.XLOOKUP(A299,A298:A897,[1]Sheet3!V290:V889)</f>
        <v>0.3816152124452008</v>
      </c>
      <c r="R299" s="7">
        <f>_xlfn.XLOOKUP(A299,A298:A897,[1]Sheet3!W290:W889)</f>
        <v>40.43</v>
      </c>
      <c r="S299" t="str">
        <f>_xlfn.XLOOKUP(A299,A298:A897,[1]Sheet3!X290:X889)</f>
        <v>Net Banking</v>
      </c>
      <c r="T299" s="5">
        <f>_xlfn.XLOOKUP(A299,A298:A897,[1]Sheet3!Z290:Z889)</f>
        <v>1</v>
      </c>
      <c r="U299" t="b">
        <f>_xlfn.XLOOKUP(A299,A298:A897,[1]Sheet3!AA290:AA889)</f>
        <v>1</v>
      </c>
      <c r="V299" t="str">
        <f>_xlfn.XLOOKUP(A299,A298:A897,[1]Sheet3!AC290:AC889)</f>
        <v>Returned</v>
      </c>
      <c r="W299" s="5">
        <f>_xlfn.XLOOKUP(A299,A298:A897,[1]Sheet3!AE290:AE889)</f>
        <v>10</v>
      </c>
    </row>
    <row r="300" spans="1:23" x14ac:dyDescent="0.35">
      <c r="A300" t="s">
        <v>267</v>
      </c>
      <c r="B300" s="1">
        <f>_xlfn.XLOOKUP(A300,A299:A898,[1]Sheet3!C332:C931)</f>
        <v>44787</v>
      </c>
      <c r="C300" t="str">
        <f>_xlfn.XLOOKUP(A300,A299:A898,[1]Sheet3!D332:D931)</f>
        <v>CUST93685</v>
      </c>
      <c r="D300" t="str">
        <f>_xlfn.XLOOKUP(A300,A299:A898,[1]Sheet3!E332:E931)</f>
        <v>Vikram Singh</v>
      </c>
      <c r="E300" s="5">
        <f>_xlfn.XLOOKUP(A300,A299:A898,[1]Sheet3!G332:G931)</f>
        <v>19</v>
      </c>
      <c r="F300" t="str">
        <f>_xlfn.XLOOKUP('Retail Sales'!A333,'Retail Sales'!A332:A931,[1]Sheet3!H332:H931)</f>
        <v>Teen</v>
      </c>
      <c r="G300" t="str">
        <f>_xlfn.XLOOKUP(A300,A299:A898,[1]Sheet3!J332:J931)</f>
        <v>Other</v>
      </c>
      <c r="H300" t="str">
        <f>_xlfn.XLOOKUP(A300,A299:A898,[1]Sheet3!K332:K931)</f>
        <v>South</v>
      </c>
      <c r="I300" t="str">
        <f>_xlfn.XLOOKUP(A300,A299:A898,[1]Sheet3!L332:L931)</f>
        <v>Chennai</v>
      </c>
      <c r="J300" t="str">
        <f>_xlfn.XLOOKUP(A300,A299:A898,[1]Sheet3!M332:M931)</f>
        <v>Electronics</v>
      </c>
      <c r="K300" t="str">
        <f>_xlfn.XLOOKUP('Retail Sales'!A333,'Retail Sales'!A332:A931,[1]Sheet3!N332:N931)</f>
        <v>Laptop</v>
      </c>
      <c r="L300" s="5">
        <f>_xlfn.XLOOKUP(A300,A299:A898,[1]Sheet3!P332:P931)</f>
        <v>10</v>
      </c>
      <c r="M300" s="7">
        <f>_xlfn.XLOOKUP(A300,A299:A898,[1]Sheet3!Q332:Q931)</f>
        <v>46080.58</v>
      </c>
      <c r="N300" s="9">
        <f>_xlfn.XLOOKUP(A300,A299:A898,[1]Sheet3!S332:S931)</f>
        <v>0.33</v>
      </c>
      <c r="O300" s="7">
        <f>_xlfn.XLOOKUP(A300,A299:A898,[1]Sheet3!T332:T931)</f>
        <v>392607.23</v>
      </c>
      <c r="P300" s="7">
        <f>_xlfn.XLOOKUP(A300,A299:A898,[1]Sheet3!U332:U931)</f>
        <v>38045.24</v>
      </c>
      <c r="Q300" s="11">
        <f>_xlfn.XLOOKUP(A300,A299:A898,[1]Sheet3!V332:V931)</f>
        <v>9.6904073824621115E-2</v>
      </c>
      <c r="R300" s="7">
        <f>_xlfn.XLOOKUP(A300,A299:A898,[1]Sheet3!W332:W931)</f>
        <v>42.13</v>
      </c>
      <c r="S300" t="str">
        <f>_xlfn.XLOOKUP(A300,A299:A898,[1]Sheet3!X332:X931)</f>
        <v>Credit Card</v>
      </c>
      <c r="T300" s="5">
        <f>_xlfn.XLOOKUP(A300,A299:A898,[1]Sheet3!Z332:Z931)</f>
        <v>1</v>
      </c>
      <c r="U300" t="b">
        <f>_xlfn.XLOOKUP(A300,A299:A898,[1]Sheet3!AA332:AA931)</f>
        <v>0</v>
      </c>
      <c r="V300" t="str">
        <f>_xlfn.XLOOKUP(A300,A299:A898,[1]Sheet3!AC332:AC931)</f>
        <v>Delivered</v>
      </c>
      <c r="W300" s="5">
        <f>_xlfn.XLOOKUP(A300,A299:A898,[1]Sheet3!AE332:AE931)</f>
        <v>7</v>
      </c>
    </row>
    <row r="301" spans="1:23" x14ac:dyDescent="0.35">
      <c r="A301" t="s">
        <v>316</v>
      </c>
      <c r="B301" s="1">
        <f>_xlfn.XLOOKUP(A301,A300:A899,[1]Sheet3!C283:C882)</f>
        <v>44788</v>
      </c>
      <c r="C301" t="str">
        <f>_xlfn.XLOOKUP(A301,A300:A899,[1]Sheet3!D283:D882)</f>
        <v>CUST61790</v>
      </c>
      <c r="D301" t="str">
        <f>_xlfn.XLOOKUP(A301,A300:A899,[1]Sheet3!E283:E882)</f>
        <v>Amit Kumar</v>
      </c>
      <c r="E301" s="5">
        <f>_xlfn.XLOOKUP(A301,A300:A899,[1]Sheet3!G283:G882)</f>
        <v>32</v>
      </c>
      <c r="F301" t="str">
        <f>_xlfn.XLOOKUP('Retail Sales'!A284,'Retail Sales'!A283:A882,[1]Sheet3!H283:H882)</f>
        <v>Young Adult</v>
      </c>
      <c r="G301" t="str">
        <f>_xlfn.XLOOKUP(A301,A300:A899,[1]Sheet3!J283:J882)</f>
        <v>Other</v>
      </c>
      <c r="H301" t="str">
        <f>_xlfn.XLOOKUP(A301,A300:A899,[1]Sheet3!K283:K882)</f>
        <v>East</v>
      </c>
      <c r="I301" t="str">
        <f>_xlfn.XLOOKUP(A301,A300:A899,[1]Sheet3!L283:L882)</f>
        <v>Kolkata</v>
      </c>
      <c r="J301" t="str">
        <f>_xlfn.XLOOKUP(A301,A300:A899,[1]Sheet3!M283:M882)</f>
        <v>Furniture</v>
      </c>
      <c r="K301" t="str">
        <f>_xlfn.XLOOKUP('Retail Sales'!A284,'Retail Sales'!A283:A882,[1]Sheet3!N283:N882)</f>
        <v>Sofa</v>
      </c>
      <c r="L301" s="5">
        <f>_xlfn.XLOOKUP(A301,A300:A899,[1]Sheet3!P283:P882)</f>
        <v>3</v>
      </c>
      <c r="M301" s="7">
        <f>_xlfn.XLOOKUP(A301,A300:A899,[1]Sheet3!Q283:Q882)</f>
        <v>23445.9</v>
      </c>
      <c r="N301" s="9">
        <f>_xlfn.XLOOKUP(A301,A300:A899,[1]Sheet3!S283:S882)</f>
        <v>0.31</v>
      </c>
      <c r="O301" s="7">
        <f>_xlfn.XLOOKUP(A301,A300:A899,[1]Sheet3!T283:T882)</f>
        <v>60026.42</v>
      </c>
      <c r="P301" s="7">
        <f>_xlfn.XLOOKUP(A301,A300:A899,[1]Sheet3!U283:U882)</f>
        <v>15012.25</v>
      </c>
      <c r="Q301" s="11">
        <f>_xlfn.XLOOKUP(A301,A300:A899,[1]Sheet3!V283:V882)</f>
        <v>0.25009404192353968</v>
      </c>
      <c r="R301" s="7">
        <f>_xlfn.XLOOKUP(A301,A300:A899,[1]Sheet3!W283:W882)</f>
        <v>54.92</v>
      </c>
      <c r="S301" t="str">
        <f>_xlfn.XLOOKUP(A301,A300:A899,[1]Sheet3!X283:X882)</f>
        <v>Credit Card</v>
      </c>
      <c r="T301" s="5">
        <f>_xlfn.XLOOKUP(A301,A300:A899,[1]Sheet3!Z283:Z882)</f>
        <v>1</v>
      </c>
      <c r="U301" t="b">
        <f>_xlfn.XLOOKUP(A301,A300:A899,[1]Sheet3!AA283:AA882)</f>
        <v>1</v>
      </c>
      <c r="V301" t="str">
        <f>_xlfn.XLOOKUP(A301,A300:A899,[1]Sheet3!AC283:AC882)</f>
        <v>Returned</v>
      </c>
      <c r="W301" s="5">
        <f>_xlfn.XLOOKUP(A301,A300:A899,[1]Sheet3!AE283:AE882)</f>
        <v>7</v>
      </c>
    </row>
    <row r="302" spans="1:23" x14ac:dyDescent="0.35">
      <c r="A302" t="s">
        <v>339</v>
      </c>
      <c r="B302" s="1">
        <f>_xlfn.XLOOKUP(A302,A301:A900,[1]Sheet3!C260:C859)</f>
        <v>44788</v>
      </c>
      <c r="C302" t="str">
        <f>_xlfn.XLOOKUP(A302,A301:A900,[1]Sheet3!D260:D859)</f>
        <v>CUST54369</v>
      </c>
      <c r="D302" t="str">
        <f>_xlfn.XLOOKUP(A302,A301:A900,[1]Sheet3!E260:E859)</f>
        <v>Priya Rao</v>
      </c>
      <c r="E302" s="5">
        <f>_xlfn.XLOOKUP(A302,A301:A900,[1]Sheet3!G260:G859)</f>
        <v>65</v>
      </c>
      <c r="F302" t="str">
        <f>_xlfn.XLOOKUP('Retail Sales'!A261,'Retail Sales'!A260:A859,[1]Sheet3!H260:H859)</f>
        <v>Senior</v>
      </c>
      <c r="G302" t="str">
        <f>_xlfn.XLOOKUP(A302,A301:A900,[1]Sheet3!J260:J859)</f>
        <v>Other</v>
      </c>
      <c r="H302" t="str">
        <f>_xlfn.XLOOKUP(A302,A301:A900,[1]Sheet3!K260:K859)</f>
        <v>East</v>
      </c>
      <c r="I302" t="str">
        <f>_xlfn.XLOOKUP(A302,A301:A900,[1]Sheet3!L260:L859)</f>
        <v>Kolkata</v>
      </c>
      <c r="J302" t="str">
        <f>_xlfn.XLOOKUP(A302,A301:A900,[1]Sheet3!M260:M859)</f>
        <v>Books</v>
      </c>
      <c r="K302" t="str">
        <f>_xlfn.XLOOKUP('Retail Sales'!A261,'Retail Sales'!A260:A859,[1]Sheet3!N260:N859)</f>
        <v>Fiction Novel</v>
      </c>
      <c r="L302" s="5">
        <f>_xlfn.XLOOKUP(A302,A301:A900,[1]Sheet3!P260:P859)</f>
        <v>6</v>
      </c>
      <c r="M302" s="7">
        <f>_xlfn.XLOOKUP(A302,A301:A900,[1]Sheet3!Q260:Q859)</f>
        <v>966.11</v>
      </c>
      <c r="N302" s="9">
        <f>_xlfn.XLOOKUP(A302,A301:A900,[1]Sheet3!S260:S859)</f>
        <v>0.28999999999999998</v>
      </c>
      <c r="O302" s="7">
        <f>_xlfn.XLOOKUP(A302,A301:A900,[1]Sheet3!T260:T859)</f>
        <v>5647.04</v>
      </c>
      <c r="P302" s="7">
        <f>_xlfn.XLOOKUP(A302,A301:A900,[1]Sheet3!U260:U859)</f>
        <v>1896.58</v>
      </c>
      <c r="Q302" s="11">
        <f>_xlfn.XLOOKUP(A302,A301:A900,[1]Sheet3!V260:V859)</f>
        <v>0.3358538278460928</v>
      </c>
      <c r="R302" s="7">
        <f>_xlfn.XLOOKUP(A302,A301:A900,[1]Sheet3!W260:W859)</f>
        <v>107.74</v>
      </c>
      <c r="S302" t="str">
        <f>_xlfn.XLOOKUP(A302,A301:A900,[1]Sheet3!X260:X859)</f>
        <v>Net Banking</v>
      </c>
      <c r="T302" s="5">
        <f>_xlfn.XLOOKUP(A302,A301:A900,[1]Sheet3!Z260:Z859)</f>
        <v>1</v>
      </c>
      <c r="U302" t="b">
        <f>_xlfn.XLOOKUP(A302,A301:A900,[1]Sheet3!AA260:AA859)</f>
        <v>0</v>
      </c>
      <c r="V302" t="str">
        <f>_xlfn.XLOOKUP(A302,A301:A900,[1]Sheet3!AC260:AC859)</f>
        <v>Cancelled</v>
      </c>
      <c r="W302" s="5">
        <f>_xlfn.XLOOKUP(A302,A301:A900,[1]Sheet3!AE260:AE859)</f>
        <v>5</v>
      </c>
    </row>
    <row r="303" spans="1:23" x14ac:dyDescent="0.35">
      <c r="A303" t="s">
        <v>597</v>
      </c>
      <c r="B303" s="1">
        <f>_xlfn.XLOOKUP(A303,A302:A901,[1]Sheet3!C2:C601)</f>
        <v>44789</v>
      </c>
      <c r="C303" t="str">
        <f>_xlfn.XLOOKUP(A303,A302:A901,[1]Sheet3!D2:D601)</f>
        <v>CUST07881</v>
      </c>
      <c r="D303" t="str">
        <f>_xlfn.XLOOKUP(A303,A302:A901,[1]Sheet3!E2:E601)</f>
        <v>Sanjay Verma</v>
      </c>
      <c r="E303" s="5">
        <f>_xlfn.XLOOKUP(A303,A302:A901,[1]Sheet3!G2:G601)</f>
        <v>28</v>
      </c>
      <c r="F303" t="str">
        <f>_xlfn.XLOOKUP('Retail Sales'!A3,'Retail Sales'!A2:A601,[1]Sheet3!H2:H601)</f>
        <v>Young Adult</v>
      </c>
      <c r="G303" t="str">
        <f>_xlfn.XLOOKUP(A303,A302:A901,[1]Sheet3!J2:J601)</f>
        <v>Male</v>
      </c>
      <c r="H303" t="str">
        <f>_xlfn.XLOOKUP(A303,A302:A901,[1]Sheet3!K2:K601)</f>
        <v>West</v>
      </c>
      <c r="I303" t="str">
        <f>_xlfn.XLOOKUP(A303,A302:A901,[1]Sheet3!L2:L601)</f>
        <v>Mumbai</v>
      </c>
      <c r="J303" t="str">
        <f>_xlfn.XLOOKUP(A303,A302:A901,[1]Sheet3!M2:M601)</f>
        <v>Beauty</v>
      </c>
      <c r="K303" t="str">
        <f>_xlfn.XLOOKUP('Retail Sales'!A3,'Retail Sales'!A2:A601,[1]Sheet3!N2:N601)</f>
        <v>Sunscreen</v>
      </c>
      <c r="L303" s="5">
        <f>_xlfn.XLOOKUP(A303,A302:A901,[1]Sheet3!P2:P601)</f>
        <v>8</v>
      </c>
      <c r="M303" s="7">
        <f>_xlfn.XLOOKUP(A303,A302:A901,[1]Sheet3!Q2:Q601)</f>
        <v>858.66</v>
      </c>
      <c r="N303" s="9">
        <f>_xlfn.XLOOKUP(A303,A302:A901,[1]Sheet3!S2:S601)</f>
        <v>0.08</v>
      </c>
      <c r="O303" s="7">
        <f>_xlfn.XLOOKUP(A303,A302:A901,[1]Sheet3!T2:T601)</f>
        <v>9147.31</v>
      </c>
      <c r="P303" s="7">
        <f>_xlfn.XLOOKUP(A303,A302:A901,[1]Sheet3!U2:U601)</f>
        <v>5355.56</v>
      </c>
      <c r="Q303" s="11">
        <f>_xlfn.XLOOKUP(A303,A302:A901,[1]Sheet3!V2:V601)</f>
        <v>0.58547922831958255</v>
      </c>
      <c r="R303" s="7">
        <f>_xlfn.XLOOKUP(A303,A302:A901,[1]Sheet3!W2:W601)</f>
        <v>64.489999999999995</v>
      </c>
      <c r="S303" t="str">
        <f>_xlfn.XLOOKUP(A303,A302:A901,[1]Sheet3!X2:X601)</f>
        <v>Debit Card</v>
      </c>
      <c r="T303" s="5">
        <f>_xlfn.XLOOKUP(A303,A302:A901,[1]Sheet3!Z2:Z601)</f>
        <v>5</v>
      </c>
      <c r="U303" t="b">
        <f>_xlfn.XLOOKUP(A303,A302:A901,[1]Sheet3!AA2:AA601)</f>
        <v>0</v>
      </c>
      <c r="V303" t="str">
        <f>_xlfn.XLOOKUP(A303,A302:A901,[1]Sheet3!AC2:AC601)</f>
        <v>Delivered</v>
      </c>
      <c r="W303" s="5">
        <f>_xlfn.XLOOKUP(A303,A302:A901,[1]Sheet3!AE2:AE601)</f>
        <v>2</v>
      </c>
    </row>
    <row r="304" spans="1:23" x14ac:dyDescent="0.35">
      <c r="A304" t="s">
        <v>518</v>
      </c>
      <c r="B304" s="1">
        <f>_xlfn.XLOOKUP(A304,A303:A902,[1]Sheet3!C81:C680)</f>
        <v>44794</v>
      </c>
      <c r="C304" t="str">
        <f>_xlfn.XLOOKUP(A304,A303:A902,[1]Sheet3!D81:D680)</f>
        <v>CUST53700</v>
      </c>
      <c r="D304" t="str">
        <f>_xlfn.XLOOKUP(A304,A303:A902,[1]Sheet3!E81:E680)</f>
        <v>Ananya Shah</v>
      </c>
      <c r="E304" s="5">
        <f>_xlfn.XLOOKUP(A304,A303:A902,[1]Sheet3!G81:G680)</f>
        <v>49</v>
      </c>
      <c r="F304" t="str">
        <f>_xlfn.XLOOKUP('Retail Sales'!A82,'Retail Sales'!A81:A680,[1]Sheet3!H81:H680)</f>
        <v>Adult</v>
      </c>
      <c r="G304" t="str">
        <f>_xlfn.XLOOKUP(A304,A303:A902,[1]Sheet3!J81:J680)</f>
        <v>Female</v>
      </c>
      <c r="H304" t="str">
        <f>_xlfn.XLOOKUP(A304,A303:A902,[1]Sheet3!K81:K680)</f>
        <v>South</v>
      </c>
      <c r="I304" t="str">
        <f>_xlfn.XLOOKUP(A304,A303:A902,[1]Sheet3!L81:L680)</f>
        <v>Chennai</v>
      </c>
      <c r="J304" t="str">
        <f>_xlfn.XLOOKUP(A304,A303:A902,[1]Sheet3!M81:M680)</f>
        <v>Furniture</v>
      </c>
      <c r="K304" t="str">
        <f>_xlfn.XLOOKUP('Retail Sales'!A82,'Retail Sales'!A81:A680,[1]Sheet3!N81:N680)</f>
        <v>Chair</v>
      </c>
      <c r="L304" s="5">
        <f>_xlfn.XLOOKUP(A304,A303:A902,[1]Sheet3!P81:P680)</f>
        <v>3</v>
      </c>
      <c r="M304" s="7">
        <f>_xlfn.XLOOKUP(A304,A303:A902,[1]Sheet3!Q81:Q680)</f>
        <v>25395.64</v>
      </c>
      <c r="N304" s="9">
        <f>_xlfn.XLOOKUP(A304,A303:A902,[1]Sheet3!S81:S680)</f>
        <v>0.3</v>
      </c>
      <c r="O304" s="7">
        <f>_xlfn.XLOOKUP(A304,A303:A902,[1]Sheet3!T81:T680)</f>
        <v>82667.820000000007</v>
      </c>
      <c r="P304" s="7">
        <f>_xlfn.XLOOKUP(A304,A303:A902,[1]Sheet3!U81:U680)</f>
        <v>28762.52</v>
      </c>
      <c r="Q304" s="11">
        <f>_xlfn.XLOOKUP(A304,A303:A902,[1]Sheet3!V81:V680)</f>
        <v>0.34792885550870939</v>
      </c>
      <c r="R304" s="7">
        <f>_xlfn.XLOOKUP(A304,A303:A902,[1]Sheet3!W81:W680)</f>
        <v>86.28</v>
      </c>
      <c r="S304" t="str">
        <f>_xlfn.XLOOKUP(A304,A303:A902,[1]Sheet3!X81:X680)</f>
        <v>UPI</v>
      </c>
      <c r="T304" s="5">
        <f>_xlfn.XLOOKUP(A304,A303:A902,[1]Sheet3!Z81:Z680)</f>
        <v>4</v>
      </c>
      <c r="U304" t="b">
        <f>_xlfn.XLOOKUP(A304,A303:A902,[1]Sheet3!AA81:AA680)</f>
        <v>0</v>
      </c>
      <c r="V304" t="str">
        <f>_xlfn.XLOOKUP(A304,A303:A902,[1]Sheet3!AC81:AC680)</f>
        <v>Delivered</v>
      </c>
      <c r="W304" s="5">
        <f>_xlfn.XLOOKUP(A304,A303:A902,[1]Sheet3!AE81:AE680)</f>
        <v>5</v>
      </c>
    </row>
    <row r="305" spans="1:23" x14ac:dyDescent="0.35">
      <c r="A305" t="s">
        <v>475</v>
      </c>
      <c r="B305" s="1">
        <f>_xlfn.XLOOKUP(A305,A304:A903,[1]Sheet3!C124:C723)</f>
        <v>44796</v>
      </c>
      <c r="C305" t="str">
        <f>_xlfn.XLOOKUP(A305,A304:A903,[1]Sheet3!D124:D723)</f>
        <v>CUST44717</v>
      </c>
      <c r="D305" t="str">
        <f>_xlfn.XLOOKUP(A305,A304:A903,[1]Sheet3!E124:E723)</f>
        <v>Meera Chatterjee</v>
      </c>
      <c r="E305" s="5">
        <f>_xlfn.XLOOKUP(A305,A304:A903,[1]Sheet3!G124:G723)</f>
        <v>34</v>
      </c>
      <c r="F305" t="str">
        <f>_xlfn.XLOOKUP('Retail Sales'!A125,'Retail Sales'!A124:A723,[1]Sheet3!H124:H723)</f>
        <v>Young Adult</v>
      </c>
      <c r="G305" t="str">
        <f>_xlfn.XLOOKUP(A305,A304:A903,[1]Sheet3!J124:J723)</f>
        <v>Male</v>
      </c>
      <c r="H305" t="str">
        <f>_xlfn.XLOOKUP(A305,A304:A903,[1]Sheet3!K124:K723)</f>
        <v>East</v>
      </c>
      <c r="I305" t="str">
        <f>_xlfn.XLOOKUP(A305,A304:A903,[1]Sheet3!L124:L723)</f>
        <v>Kolkata</v>
      </c>
      <c r="J305" t="str">
        <f>_xlfn.XLOOKUP(A305,A304:A903,[1]Sheet3!M124:M723)</f>
        <v>Electronics</v>
      </c>
      <c r="K305" t="str">
        <f>_xlfn.XLOOKUP('Retail Sales'!A125,'Retail Sales'!A124:A723,[1]Sheet3!N124:N723)</f>
        <v>Headphones</v>
      </c>
      <c r="L305" s="5">
        <f>_xlfn.XLOOKUP(A305,A304:A903,[1]Sheet3!P124:P723)</f>
        <v>6</v>
      </c>
      <c r="M305" s="7">
        <f>_xlfn.XLOOKUP(A305,A304:A903,[1]Sheet3!Q124:Q723)</f>
        <v>45624.04</v>
      </c>
      <c r="N305" s="9">
        <f>_xlfn.XLOOKUP(A305,A304:A903,[1]Sheet3!S124:S723)</f>
        <v>0.24</v>
      </c>
      <c r="O305" s="7">
        <f>_xlfn.XLOOKUP(A305,A304:A903,[1]Sheet3!T124:T723)</f>
        <v>274607.48</v>
      </c>
      <c r="P305" s="7">
        <f>_xlfn.XLOOKUP(A305,A304:A903,[1]Sheet3!U124:U723)</f>
        <v>23542.83</v>
      </c>
      <c r="Q305" s="11">
        <f>_xlfn.XLOOKUP(A305,A304:A903,[1]Sheet3!V124:V723)</f>
        <v>8.5732661033122631E-2</v>
      </c>
      <c r="R305" s="7">
        <f>_xlfn.XLOOKUP(A305,A304:A903,[1]Sheet3!W124:W723)</f>
        <v>97.97</v>
      </c>
      <c r="S305" t="str">
        <f>_xlfn.XLOOKUP(A305,A304:A903,[1]Sheet3!X124:X723)</f>
        <v>UPI</v>
      </c>
      <c r="T305" s="5">
        <f>_xlfn.XLOOKUP(A305,A304:A903,[1]Sheet3!Z124:Z723)</f>
        <v>4</v>
      </c>
      <c r="U305" t="b">
        <f>_xlfn.XLOOKUP(A305,A304:A903,[1]Sheet3!AA124:AA723)</f>
        <v>0</v>
      </c>
      <c r="V305" t="str">
        <f>_xlfn.XLOOKUP(A305,A304:A903,[1]Sheet3!AC124:AC723)</f>
        <v>Delivered</v>
      </c>
      <c r="W305" s="5">
        <f>_xlfn.XLOOKUP(A305,A304:A903,[1]Sheet3!AE124:AE723)</f>
        <v>7</v>
      </c>
    </row>
    <row r="306" spans="1:23" x14ac:dyDescent="0.35">
      <c r="A306" t="s">
        <v>48</v>
      </c>
      <c r="B306" s="1">
        <f>_xlfn.XLOOKUP(A306,A305:A904,[1]Sheet3!C551:C1150)</f>
        <v>44801</v>
      </c>
      <c r="C306" t="str">
        <f>_xlfn.XLOOKUP(A306,A305:A904,[1]Sheet3!D551:D1150)</f>
        <v>CUST98444</v>
      </c>
      <c r="D306" t="str">
        <f>_xlfn.XLOOKUP(A306,A305:A904,[1]Sheet3!E551:E1150)</f>
        <v>Ritu Mehta</v>
      </c>
      <c r="E306" s="5">
        <f>_xlfn.XLOOKUP(A306,A305:A904,[1]Sheet3!G551:G1150)</f>
        <v>15</v>
      </c>
      <c r="F306" t="str">
        <f>_xlfn.XLOOKUP('Retail Sales'!A552,'Retail Sales'!A551:A1150,[1]Sheet3!H551:H1150)</f>
        <v>Teen</v>
      </c>
      <c r="G306" t="str">
        <f>_xlfn.XLOOKUP(A306,A305:A904,[1]Sheet3!J551:J1150)</f>
        <v>Male</v>
      </c>
      <c r="H306" t="str">
        <f>_xlfn.XLOOKUP(A306,A305:A904,[1]Sheet3!K551:K1150)</f>
        <v>East</v>
      </c>
      <c r="I306" t="str">
        <f>_xlfn.XLOOKUP(A306,A305:A904,[1]Sheet3!L551:L1150)</f>
        <v>Guwahati</v>
      </c>
      <c r="J306" t="str">
        <f>_xlfn.XLOOKUP(A306,A305:A904,[1]Sheet3!M551:M1150)</f>
        <v>Sports</v>
      </c>
      <c r="K306" t="str">
        <f>_xlfn.XLOOKUP('Retail Sales'!A552,'Retail Sales'!A551:A1150,[1]Sheet3!N551:N1150)</f>
        <v>Dumbbells</v>
      </c>
      <c r="L306" s="5">
        <f>_xlfn.XLOOKUP(A306,A305:A904,[1]Sheet3!P551:P1150)</f>
        <v>1</v>
      </c>
      <c r="M306" s="7">
        <f>_xlfn.XLOOKUP(A306,A305:A904,[1]Sheet3!Q551:Q1150)</f>
        <v>8591.44</v>
      </c>
      <c r="N306" s="9">
        <f>_xlfn.XLOOKUP(A306,A305:A904,[1]Sheet3!S551:S1150)</f>
        <v>0.03</v>
      </c>
      <c r="O306" s="7">
        <f>_xlfn.XLOOKUP(A306,A305:A904,[1]Sheet3!T551:T1150)</f>
        <v>11764.77</v>
      </c>
      <c r="P306" s="7">
        <f>_xlfn.XLOOKUP(A306,A305:A904,[1]Sheet3!U551:U1150)</f>
        <v>2988.26</v>
      </c>
      <c r="Q306" s="11">
        <f>_xlfn.XLOOKUP(A306,A305:A904,[1]Sheet3!V551:V1150)</f>
        <v>0.25400071569609944</v>
      </c>
      <c r="R306" s="7">
        <f>_xlfn.XLOOKUP(A306,A305:A904,[1]Sheet3!W551:W1150)</f>
        <v>69.66</v>
      </c>
      <c r="S306" t="str">
        <f>_xlfn.XLOOKUP(A306,A305:A904,[1]Sheet3!X551:X1150)</f>
        <v>UPI</v>
      </c>
      <c r="T306" s="5">
        <f>_xlfn.XLOOKUP(A306,A305:A904,[1]Sheet3!Z551:Z1150)</f>
        <v>3</v>
      </c>
      <c r="U306" t="b">
        <f>_xlfn.XLOOKUP(A306,A305:A904,[1]Sheet3!AA551:AA1150)</f>
        <v>0</v>
      </c>
      <c r="V306" t="str">
        <f>_xlfn.XLOOKUP(A306,A305:A904,[1]Sheet3!AC551:AC1150)</f>
        <v>Delivered</v>
      </c>
      <c r="W306" s="5">
        <f>_xlfn.XLOOKUP(A306,A305:A904,[1]Sheet3!AE551:AE1150)</f>
        <v>8</v>
      </c>
    </row>
    <row r="307" spans="1:23" x14ac:dyDescent="0.35">
      <c r="A307" t="s">
        <v>524</v>
      </c>
      <c r="B307" s="1">
        <f>_xlfn.XLOOKUP(A307,A306:A905,[1]Sheet3!C75:C674)</f>
        <v>44808</v>
      </c>
      <c r="C307" t="str">
        <f>_xlfn.XLOOKUP(A307,A306:A905,[1]Sheet3!D75:D674)</f>
        <v>CUST64655</v>
      </c>
      <c r="D307" t="str">
        <f>_xlfn.XLOOKUP(A307,A306:A905,[1]Sheet3!E75:E674)</f>
        <v>Kavya Patel</v>
      </c>
      <c r="E307" s="5">
        <f>_xlfn.XLOOKUP(A307,A306:A905,[1]Sheet3!G75:G674)</f>
        <v>21</v>
      </c>
      <c r="F307" t="str">
        <f>_xlfn.XLOOKUP('Retail Sales'!A76,'Retail Sales'!A75:A674,[1]Sheet3!H75:H674)</f>
        <v>Young Adult</v>
      </c>
      <c r="G307" t="str">
        <f>_xlfn.XLOOKUP(A307,A306:A905,[1]Sheet3!J75:J674)</f>
        <v>Female</v>
      </c>
      <c r="H307" t="str">
        <f>_xlfn.XLOOKUP(A307,A306:A905,[1]Sheet3!K75:K674)</f>
        <v>East</v>
      </c>
      <c r="I307" t="str">
        <f>_xlfn.XLOOKUP(A307,A306:A905,[1]Sheet3!L75:L674)</f>
        <v>Guwahati</v>
      </c>
      <c r="J307" t="str">
        <f>_xlfn.XLOOKUP(A307,A306:A905,[1]Sheet3!M75:M674)</f>
        <v>Electronics</v>
      </c>
      <c r="K307" t="str">
        <f>_xlfn.XLOOKUP('Retail Sales'!A76,'Retail Sales'!A75:A674,[1]Sheet3!N75:N674)</f>
        <v>Headphones</v>
      </c>
      <c r="L307" s="5">
        <f>_xlfn.XLOOKUP(A307,A306:A905,[1]Sheet3!P75:P674)</f>
        <v>4</v>
      </c>
      <c r="M307" s="7">
        <f>_xlfn.XLOOKUP(A307,A306:A905,[1]Sheet3!Q75:Q674)</f>
        <v>41499.339999999997</v>
      </c>
      <c r="N307" s="9">
        <f>_xlfn.XLOOKUP(A307,A306:A905,[1]Sheet3!S75:S674)</f>
        <v>0</v>
      </c>
      <c r="O307" s="7">
        <f>_xlfn.XLOOKUP(A307,A306:A905,[1]Sheet3!T75:T674)</f>
        <v>175476.12</v>
      </c>
      <c r="P307" s="7">
        <f>_xlfn.XLOOKUP(A307,A306:A905,[1]Sheet3!U75:U674)</f>
        <v>19809.16</v>
      </c>
      <c r="Q307" s="11">
        <f>_xlfn.XLOOKUP(A307,A306:A905,[1]Sheet3!V75:V674)</f>
        <v>0.11288806704866737</v>
      </c>
      <c r="R307" s="7">
        <f>_xlfn.XLOOKUP(A307,A306:A905,[1]Sheet3!W75:W674)</f>
        <v>73.44</v>
      </c>
      <c r="S307" t="str">
        <f>_xlfn.XLOOKUP(A307,A306:A905,[1]Sheet3!X75:X674)</f>
        <v>Debit Card</v>
      </c>
      <c r="T307" s="5">
        <f>_xlfn.XLOOKUP(A307,A306:A905,[1]Sheet3!Z75:Z674)</f>
        <v>4</v>
      </c>
      <c r="U307" t="b">
        <f>_xlfn.XLOOKUP(A307,A306:A905,[1]Sheet3!AA75:AA674)</f>
        <v>0</v>
      </c>
      <c r="V307" t="str">
        <f>_xlfn.XLOOKUP(A307,A306:A905,[1]Sheet3!AC75:AC674)</f>
        <v>Shipped</v>
      </c>
      <c r="W307" s="5">
        <f>_xlfn.XLOOKUP(A307,A306:A905,[1]Sheet3!AE75:AE674)</f>
        <v>1</v>
      </c>
    </row>
    <row r="308" spans="1:23" x14ac:dyDescent="0.35">
      <c r="A308" t="s">
        <v>535</v>
      </c>
      <c r="B308" s="1">
        <f>_xlfn.XLOOKUP(A308,A307:A906,[1]Sheet3!C64:C663)</f>
        <v>44811</v>
      </c>
      <c r="C308" t="str">
        <f>_xlfn.XLOOKUP(A308,A307:A906,[1]Sheet3!D64:D663)</f>
        <v>CUST68290</v>
      </c>
      <c r="D308" t="str">
        <f>_xlfn.XLOOKUP(A308,A307:A906,[1]Sheet3!E64:E663)</f>
        <v>Karan Kapoor</v>
      </c>
      <c r="E308" s="5">
        <f>_xlfn.XLOOKUP(A308,A307:A906,[1]Sheet3!G64:G663)</f>
        <v>38</v>
      </c>
      <c r="F308" t="str">
        <f>_xlfn.XLOOKUP('Retail Sales'!A65,'Retail Sales'!A64:A663,[1]Sheet3!H64:H663)</f>
        <v>Adult</v>
      </c>
      <c r="G308" t="str">
        <f>_xlfn.XLOOKUP(A308,A307:A906,[1]Sheet3!J64:J663)</f>
        <v>Other</v>
      </c>
      <c r="H308" t="str">
        <f>_xlfn.XLOOKUP(A308,A307:A906,[1]Sheet3!K64:K663)</f>
        <v>North</v>
      </c>
      <c r="I308" t="str">
        <f>_xlfn.XLOOKUP(A308,A307:A906,[1]Sheet3!L64:L663)</f>
        <v>Chandigarh</v>
      </c>
      <c r="J308" t="str">
        <f>_xlfn.XLOOKUP(A308,A307:A906,[1]Sheet3!M64:M663)</f>
        <v>Furniture</v>
      </c>
      <c r="K308" t="str">
        <f>_xlfn.XLOOKUP('Retail Sales'!A65,'Retail Sales'!A64:A663,[1]Sheet3!N64:N663)</f>
        <v>Chair</v>
      </c>
      <c r="L308" s="5">
        <f>_xlfn.XLOOKUP(A308,A307:A906,[1]Sheet3!P64:P663)</f>
        <v>2</v>
      </c>
      <c r="M308" s="7">
        <f>_xlfn.XLOOKUP(A308,A307:A906,[1]Sheet3!Q64:Q663)</f>
        <v>22082.21</v>
      </c>
      <c r="N308" s="9">
        <f>_xlfn.XLOOKUP(A308,A307:A906,[1]Sheet3!S64:S663)</f>
        <v>0.19793402777777783</v>
      </c>
      <c r="O308" s="7">
        <f>_xlfn.XLOOKUP(A308,A307:A906,[1]Sheet3!T64:T663)</f>
        <v>51389.35</v>
      </c>
      <c r="P308" s="7">
        <f>_xlfn.XLOOKUP(A308,A307:A906,[1]Sheet3!U64:U663)</f>
        <v>9844.24</v>
      </c>
      <c r="Q308" s="11">
        <f>_xlfn.XLOOKUP(A308,A307:A906,[1]Sheet3!V64:V663)</f>
        <v>0.19156187030970426</v>
      </c>
      <c r="R308" s="7">
        <f>_xlfn.XLOOKUP(A308,A307:A906,[1]Sheet3!W64:W663)</f>
        <v>70.14</v>
      </c>
      <c r="S308" t="str">
        <f>_xlfn.XLOOKUP(A308,A307:A906,[1]Sheet3!X64:X663)</f>
        <v>Debit Card</v>
      </c>
      <c r="T308" s="5">
        <f>_xlfn.XLOOKUP(A308,A307:A906,[1]Sheet3!Z64:Z663)</f>
        <v>1</v>
      </c>
      <c r="U308" t="b">
        <f>_xlfn.XLOOKUP(A308,A307:A906,[1]Sheet3!AA64:AA663)</f>
        <v>0</v>
      </c>
      <c r="V308" t="str">
        <f>_xlfn.XLOOKUP(A308,A307:A906,[1]Sheet3!AC64:AC663)</f>
        <v>Pending</v>
      </c>
      <c r="W308" s="5">
        <f>_xlfn.XLOOKUP(A308,A307:A906,[1]Sheet3!AE64:AE663)</f>
        <v>7</v>
      </c>
    </row>
    <row r="309" spans="1:23" x14ac:dyDescent="0.35">
      <c r="A309" t="s">
        <v>52</v>
      </c>
      <c r="B309" s="1">
        <f>_xlfn.XLOOKUP(A309,A308:A907,[1]Sheet3!C547:C1146)</f>
        <v>44814</v>
      </c>
      <c r="C309" t="str">
        <f>_xlfn.XLOOKUP(A309,A308:A907,[1]Sheet3!D547:D1146)</f>
        <v>CUST95281</v>
      </c>
      <c r="D309" t="str">
        <f>_xlfn.XLOOKUP(A309,A308:A907,[1]Sheet3!E547:E1146)</f>
        <v>Shreya Bose</v>
      </c>
      <c r="E309" s="5">
        <f>_xlfn.XLOOKUP(A309,A308:A907,[1]Sheet3!G547:G1146)</f>
        <v>34</v>
      </c>
      <c r="F309" t="str">
        <f>_xlfn.XLOOKUP('Retail Sales'!A548,'Retail Sales'!A547:A1146,[1]Sheet3!H547:H1146)</f>
        <v>Young Adult</v>
      </c>
      <c r="G309" t="str">
        <f>_xlfn.XLOOKUP(A309,A308:A907,[1]Sheet3!J547:J1146)</f>
        <v>Male</v>
      </c>
      <c r="H309" t="str">
        <f>_xlfn.XLOOKUP(A309,A308:A907,[1]Sheet3!K547:K1146)</f>
        <v>East</v>
      </c>
      <c r="I309" t="str">
        <f>_xlfn.XLOOKUP(A309,A308:A907,[1]Sheet3!L547:L1146)</f>
        <v>Kolkata</v>
      </c>
      <c r="J309" t="str">
        <f>_xlfn.XLOOKUP(A309,A308:A907,[1]Sheet3!M547:M1146)</f>
        <v>Sports</v>
      </c>
      <c r="K309" t="str">
        <f>_xlfn.XLOOKUP('Retail Sales'!A548,'Retail Sales'!A547:A1146,[1]Sheet3!N547:N1146)</f>
        <v>Football</v>
      </c>
      <c r="L309" s="5">
        <f>_xlfn.XLOOKUP(A309,A308:A907,[1]Sheet3!P547:P1146)</f>
        <v>7.0954861111111107</v>
      </c>
      <c r="M309" s="7">
        <f>_xlfn.XLOOKUP(A309,A308:A907,[1]Sheet3!Q547:Q1146)</f>
        <v>541.85</v>
      </c>
      <c r="N309" s="9">
        <f>_xlfn.XLOOKUP(A309,A308:A907,[1]Sheet3!S547:S1146)</f>
        <v>0.04</v>
      </c>
      <c r="O309" s="7">
        <f>_xlfn.XLOOKUP(A309,A308:A907,[1]Sheet3!T547:T1146)</f>
        <v>618.29</v>
      </c>
      <c r="P309" s="7">
        <f>_xlfn.XLOOKUP(A309,A308:A907,[1]Sheet3!U547:U1146)</f>
        <v>107.23</v>
      </c>
      <c r="Q309" s="11">
        <f>_xlfn.XLOOKUP(A309,A308:A907,[1]Sheet3!V547:V1146)</f>
        <v>0.17342994387746852</v>
      </c>
      <c r="R309" s="7">
        <f>_xlfn.XLOOKUP(A309,A308:A907,[1]Sheet3!W547:W1146)</f>
        <v>87.16</v>
      </c>
      <c r="S309" t="str">
        <f>_xlfn.XLOOKUP(A309,A308:A907,[1]Sheet3!X547:X1146)</f>
        <v>UPI</v>
      </c>
      <c r="T309" s="5">
        <f>_xlfn.XLOOKUP(A309,A308:A907,[1]Sheet3!Z547:Z1146)</f>
        <v>2</v>
      </c>
      <c r="U309" t="b">
        <f>_xlfn.XLOOKUP(A309,A308:A907,[1]Sheet3!AA547:AA1146)</f>
        <v>0</v>
      </c>
      <c r="V309" t="str">
        <f>_xlfn.XLOOKUP(A309,A308:A907,[1]Sheet3!AC547:AC1146)</f>
        <v>Delivered</v>
      </c>
      <c r="W309" s="5">
        <f>_xlfn.XLOOKUP(A309,A308:A907,[1]Sheet3!AE547:AE1146)</f>
        <v>1</v>
      </c>
    </row>
    <row r="310" spans="1:23" x14ac:dyDescent="0.35">
      <c r="A310" t="s">
        <v>191</v>
      </c>
      <c r="B310" s="1">
        <f>_xlfn.XLOOKUP(A310,A309:A908,[1]Sheet3!C408:C1007)</f>
        <v>44814</v>
      </c>
      <c r="C310" t="str">
        <f>_xlfn.XLOOKUP(A310,A309:A908,[1]Sheet3!D408:D1007)</f>
        <v>CUST10492</v>
      </c>
      <c r="D310" t="str">
        <f>_xlfn.XLOOKUP(A310,A309:A908,[1]Sheet3!E408:E1007)</f>
        <v>Rahul Patel</v>
      </c>
      <c r="E310" s="5">
        <f>_xlfn.XLOOKUP(A310,A309:A908,[1]Sheet3!G408:G1007)</f>
        <v>61</v>
      </c>
      <c r="F310" t="str">
        <f>_xlfn.XLOOKUP('Retail Sales'!A409,'Retail Sales'!A408:A1007,[1]Sheet3!H408:H1007)</f>
        <v>Senior</v>
      </c>
      <c r="G310" t="str">
        <f>_xlfn.XLOOKUP(A310,A309:A908,[1]Sheet3!J408:J1007)</f>
        <v>Other</v>
      </c>
      <c r="H310" t="str">
        <f>_xlfn.XLOOKUP(A310,A309:A908,[1]Sheet3!K408:K1007)</f>
        <v>West</v>
      </c>
      <c r="I310" t="str">
        <f>_xlfn.XLOOKUP(A310,A309:A908,[1]Sheet3!L408:L1007)</f>
        <v>Surat</v>
      </c>
      <c r="J310" t="str">
        <f>_xlfn.XLOOKUP(A310,A309:A908,[1]Sheet3!M408:M1007)</f>
        <v>Beauty</v>
      </c>
      <c r="K310" t="str">
        <f>_xlfn.XLOOKUP('Retail Sales'!A409,'Retail Sales'!A408:A1007,[1]Sheet3!N408:N1007)</f>
        <v>Lipstick</v>
      </c>
      <c r="L310" s="5">
        <f>_xlfn.XLOOKUP(A310,A309:A908,[1]Sheet3!P408:P1007)</f>
        <v>9</v>
      </c>
      <c r="M310" s="7">
        <f>_xlfn.XLOOKUP(A310,A309:A908,[1]Sheet3!Q408:Q1007)</f>
        <v>1292.1600000000001</v>
      </c>
      <c r="N310" s="9">
        <f>_xlfn.XLOOKUP(A310,A309:A908,[1]Sheet3!S408:S1007)</f>
        <v>0.22</v>
      </c>
      <c r="O310" s="7">
        <f>_xlfn.XLOOKUP(A310,A309:A908,[1]Sheet3!T408:T1007)</f>
        <v>10154.82</v>
      </c>
      <c r="P310" s="7">
        <f>_xlfn.XLOOKUP(A310,A309:A908,[1]Sheet3!U408:U1007)</f>
        <v>3046.85</v>
      </c>
      <c r="Q310" s="11">
        <f>_xlfn.XLOOKUP(A310,A309:A908,[1]Sheet3!V408:V1007)</f>
        <v>0.30003978406313453</v>
      </c>
      <c r="R310" s="7">
        <f>_xlfn.XLOOKUP(A310,A309:A908,[1]Sheet3!W408:W1007)</f>
        <v>70.59</v>
      </c>
      <c r="S310" t="str">
        <f>_xlfn.XLOOKUP(A310,A309:A908,[1]Sheet3!X408:X1007)</f>
        <v>Credit Card</v>
      </c>
      <c r="T310" s="5">
        <f>_xlfn.XLOOKUP(A310,A309:A908,[1]Sheet3!Z408:Z1007)</f>
        <v>2</v>
      </c>
      <c r="U310" t="b">
        <f>_xlfn.XLOOKUP(A310,A309:A908,[1]Sheet3!AA408:AA1007)</f>
        <v>1</v>
      </c>
      <c r="V310" t="str">
        <f>_xlfn.XLOOKUP(A310,A309:A908,[1]Sheet3!AC408:AC1007)</f>
        <v>Returned</v>
      </c>
      <c r="W310" s="5">
        <f>_xlfn.XLOOKUP(A310,A309:A908,[1]Sheet3!AE408:AE1007)</f>
        <v>6</v>
      </c>
    </row>
    <row r="311" spans="1:23" x14ac:dyDescent="0.35">
      <c r="A311" t="s">
        <v>448</v>
      </c>
      <c r="B311" s="1">
        <f>_xlfn.XLOOKUP(A311,A310:A909,[1]Sheet3!C151:C750)</f>
        <v>44818</v>
      </c>
      <c r="C311" t="str">
        <f>_xlfn.XLOOKUP(A311,A310:A909,[1]Sheet3!D151:D750)</f>
        <v>CUST89600</v>
      </c>
      <c r="D311" t="str">
        <f>_xlfn.XLOOKUP(A311,A310:A909,[1]Sheet3!E151:E750)</f>
        <v>Aarav Joshi</v>
      </c>
      <c r="E311" s="5">
        <f>_xlfn.XLOOKUP(A311,A310:A909,[1]Sheet3!G151:G750)</f>
        <v>51</v>
      </c>
      <c r="F311" t="str">
        <f>_xlfn.XLOOKUP('Retail Sales'!A152,'Retail Sales'!A151:A750,[1]Sheet3!H151:H750)</f>
        <v>Senior</v>
      </c>
      <c r="G311" t="str">
        <f>_xlfn.XLOOKUP(A311,A310:A909,[1]Sheet3!J151:J750)</f>
        <v>Male</v>
      </c>
      <c r="H311" t="str">
        <f>_xlfn.XLOOKUP(A311,A310:A909,[1]Sheet3!K151:K750)</f>
        <v>South</v>
      </c>
      <c r="I311" t="str">
        <f>_xlfn.XLOOKUP(A311,A310:A909,[1]Sheet3!L151:L750)</f>
        <v>Chennai</v>
      </c>
      <c r="J311" t="str">
        <f>_xlfn.XLOOKUP(A311,A310:A909,[1]Sheet3!M151:M750)</f>
        <v>Sports</v>
      </c>
      <c r="K311" t="str">
        <f>_xlfn.XLOOKUP('Retail Sales'!A152,'Retail Sales'!A151:A750,[1]Sheet3!N151:N750)</f>
        <v>Football</v>
      </c>
      <c r="L311" s="5">
        <f>_xlfn.XLOOKUP(A311,A310:A909,[1]Sheet3!P151:P750)</f>
        <v>2</v>
      </c>
      <c r="M311" s="7">
        <f>_xlfn.XLOOKUP(A311,A310:A909,[1]Sheet3!Q151:Q750)</f>
        <v>13833.36</v>
      </c>
      <c r="N311" s="9">
        <f>_xlfn.XLOOKUP(A311,A310:A909,[1]Sheet3!S151:S750)</f>
        <v>0.06</v>
      </c>
      <c r="O311" s="7">
        <f>_xlfn.XLOOKUP(A311,A310:A909,[1]Sheet3!T151:T750)</f>
        <v>30150.799999999999</v>
      </c>
      <c r="P311" s="7">
        <f>_xlfn.XLOOKUP(A311,A310:A909,[1]Sheet3!U151:U750)</f>
        <v>8534.61</v>
      </c>
      <c r="Q311" s="11">
        <f>_xlfn.XLOOKUP(A311,A310:A909,[1]Sheet3!V151:V750)</f>
        <v>0.28306413096833255</v>
      </c>
      <c r="R311" s="7">
        <f>_xlfn.XLOOKUP(A311,A310:A909,[1]Sheet3!W151:W750)</f>
        <v>40.57</v>
      </c>
      <c r="S311" t="str">
        <f>_xlfn.XLOOKUP(A311,A310:A909,[1]Sheet3!X151:X750)</f>
        <v>Net Banking</v>
      </c>
      <c r="T311" s="5">
        <f>_xlfn.XLOOKUP(A311,A310:A909,[1]Sheet3!Z151:Z750)</f>
        <v>3</v>
      </c>
      <c r="U311" t="b">
        <f>_xlfn.XLOOKUP(A311,A310:A909,[1]Sheet3!AA151:AA750)</f>
        <v>0</v>
      </c>
      <c r="V311" t="str">
        <f>_xlfn.XLOOKUP(A311,A310:A909,[1]Sheet3!AC151:AC750)</f>
        <v>Delivered</v>
      </c>
      <c r="W311" s="5">
        <f>_xlfn.XLOOKUP(A311,A310:A909,[1]Sheet3!AE151:AE750)</f>
        <v>8</v>
      </c>
    </row>
    <row r="312" spans="1:23" x14ac:dyDescent="0.35">
      <c r="A312" t="s">
        <v>586</v>
      </c>
      <c r="B312" s="1">
        <f>_xlfn.XLOOKUP(A312,A311:A910,[1]Sheet3!C13:C612)</f>
        <v>44818</v>
      </c>
      <c r="C312" t="str">
        <f>_xlfn.XLOOKUP(A312,A311:A910,[1]Sheet3!D13:D612)</f>
        <v>CUST31062</v>
      </c>
      <c r="D312" t="str">
        <f>_xlfn.XLOOKUP(A312,A311:A910,[1]Sheet3!E13:E612)</f>
        <v>Vikram Pillai</v>
      </c>
      <c r="E312" s="5">
        <f>_xlfn.XLOOKUP(A312,A311:A910,[1]Sheet3!G13:G612)</f>
        <v>15</v>
      </c>
      <c r="F312" t="str">
        <f>_xlfn.XLOOKUP('Retail Sales'!A14,'Retail Sales'!A13:A612,[1]Sheet3!H13:H612)</f>
        <v>Teen</v>
      </c>
      <c r="G312" t="str">
        <f>_xlfn.XLOOKUP(A312,A311:A910,[1]Sheet3!J13:J612)</f>
        <v>Other</v>
      </c>
      <c r="H312" t="str">
        <f>_xlfn.XLOOKUP(A312,A311:A910,[1]Sheet3!K13:K612)</f>
        <v>North</v>
      </c>
      <c r="I312" t="str">
        <f>_xlfn.XLOOKUP(A312,A311:A910,[1]Sheet3!L13:L612)</f>
        <v>Ludhiana</v>
      </c>
      <c r="J312" t="str">
        <f>_xlfn.XLOOKUP(A312,A311:A910,[1]Sheet3!M13:M612)</f>
        <v>Beauty</v>
      </c>
      <c r="K312" t="str">
        <f>_xlfn.XLOOKUP('Retail Sales'!A14,'Retail Sales'!A13:A612,[1]Sheet3!N13:N612)</f>
        <v>Lipstick</v>
      </c>
      <c r="L312" s="5">
        <f>_xlfn.XLOOKUP(A312,A311:A910,[1]Sheet3!P13:P612)</f>
        <v>7</v>
      </c>
      <c r="M312" s="7">
        <f>_xlfn.XLOOKUP(A312,A311:A910,[1]Sheet3!Q13:Q612)</f>
        <v>111.14</v>
      </c>
      <c r="N312" s="9">
        <f>_xlfn.XLOOKUP(A312,A311:A910,[1]Sheet3!S13:S612)</f>
        <v>0.37</v>
      </c>
      <c r="O312" s="7">
        <f>_xlfn.XLOOKUP(A312,A311:A910,[1]Sheet3!T13:T612)</f>
        <v>567.33000000000004</v>
      </c>
      <c r="P312" s="7">
        <f>_xlfn.XLOOKUP(A312,A311:A910,[1]Sheet3!U13:U612)</f>
        <v>305.64999999999998</v>
      </c>
      <c r="Q312" s="11">
        <f>_xlfn.XLOOKUP(A312,A311:A910,[1]Sheet3!V13:V612)</f>
        <v>0.53875169654345789</v>
      </c>
      <c r="R312" s="7">
        <f>_xlfn.XLOOKUP(A312,A311:A910,[1]Sheet3!W13:W612)</f>
        <v>44.94</v>
      </c>
      <c r="S312" t="str">
        <f>_xlfn.XLOOKUP(A312,A311:A910,[1]Sheet3!X13:X612)</f>
        <v>Net Banking</v>
      </c>
      <c r="T312" s="5">
        <f>_xlfn.XLOOKUP(A312,A311:A910,[1]Sheet3!Z13:Z612)</f>
        <v>4</v>
      </c>
      <c r="U312" t="b">
        <f>_xlfn.XLOOKUP(A312,A311:A910,[1]Sheet3!AA13:AA612)</f>
        <v>0</v>
      </c>
      <c r="V312" t="str">
        <f>_xlfn.XLOOKUP(A312,A311:A910,[1]Sheet3!AC13:AC612)</f>
        <v>Delivered</v>
      </c>
      <c r="W312" s="5">
        <f>_xlfn.XLOOKUP(A312,A311:A910,[1]Sheet3!AE13:AE612)</f>
        <v>9</v>
      </c>
    </row>
    <row r="313" spans="1:23" x14ac:dyDescent="0.35">
      <c r="A313" t="s">
        <v>197</v>
      </c>
      <c r="B313" s="1">
        <f>_xlfn.XLOOKUP(A313,A312:A911,[1]Sheet3!C402:C1001)</f>
        <v>44819</v>
      </c>
      <c r="C313" t="str">
        <f>_xlfn.XLOOKUP(A313,A312:A911,[1]Sheet3!D402:D1001)</f>
        <v>CUST66737</v>
      </c>
      <c r="D313" t="str">
        <f>_xlfn.XLOOKUP(A313,A312:A911,[1]Sheet3!E402:E1001)</f>
        <v>Ananya Patel</v>
      </c>
      <c r="E313" s="5">
        <f>_xlfn.XLOOKUP(A313,A312:A911,[1]Sheet3!G402:G1001)</f>
        <v>43</v>
      </c>
      <c r="F313" t="str">
        <f>_xlfn.XLOOKUP('Retail Sales'!A403,'Retail Sales'!A402:A1001,[1]Sheet3!H402:H1001)</f>
        <v>Adult</v>
      </c>
      <c r="G313" t="str">
        <f>_xlfn.XLOOKUP(A313,A312:A911,[1]Sheet3!J402:J1001)</f>
        <v>Female</v>
      </c>
      <c r="H313" t="str">
        <f>_xlfn.XLOOKUP(A313,A312:A911,[1]Sheet3!K402:K1001)</f>
        <v>South</v>
      </c>
      <c r="I313" t="str">
        <f>_xlfn.XLOOKUP(A313,A312:A911,[1]Sheet3!L402:L1001)</f>
        <v>Chennai</v>
      </c>
      <c r="J313" t="str">
        <f>_xlfn.XLOOKUP(A313,A312:A911,[1]Sheet3!M402:M1001)</f>
        <v>Clothing</v>
      </c>
      <c r="K313" t="str">
        <f>_xlfn.XLOOKUP('Retail Sales'!A403,'Retail Sales'!A402:A1001,[1]Sheet3!N402:N1001)</f>
        <v>T-Shirt</v>
      </c>
      <c r="L313" s="5">
        <f>_xlfn.XLOOKUP(A313,A312:A911,[1]Sheet3!P402:P1001)</f>
        <v>7.0954861111111107</v>
      </c>
      <c r="M313" s="7">
        <f>_xlfn.XLOOKUP(A313,A312:A911,[1]Sheet3!Q402:Q1001)</f>
        <v>803.12</v>
      </c>
      <c r="N313" s="9">
        <f>_xlfn.XLOOKUP(A313,A312:A911,[1]Sheet3!S402:S1001)</f>
        <v>7.0000000000000007E-2</v>
      </c>
      <c r="O313" s="7">
        <f>_xlfn.XLOOKUP(A313,A312:A911,[1]Sheet3!T402:T1001)</f>
        <v>911.76</v>
      </c>
      <c r="P313" s="7">
        <f>_xlfn.XLOOKUP(A313,A312:A911,[1]Sheet3!U402:U1001)</f>
        <v>328.33</v>
      </c>
      <c r="Q313" s="11">
        <f>_xlfn.XLOOKUP(A313,A312:A911,[1]Sheet3!V402:V1001)</f>
        <v>0.36010572957795911</v>
      </c>
      <c r="R313" s="7">
        <f>_xlfn.XLOOKUP(A313,A312:A911,[1]Sheet3!W402:W1001)</f>
        <v>73.010000000000005</v>
      </c>
      <c r="S313" t="str">
        <f>_xlfn.XLOOKUP(A313,A312:A911,[1]Sheet3!X402:X1001)</f>
        <v>Credit Card</v>
      </c>
      <c r="T313" s="5">
        <f>_xlfn.XLOOKUP(A313,A312:A911,[1]Sheet3!Z402:Z1001)</f>
        <v>3</v>
      </c>
      <c r="U313" t="b">
        <f>_xlfn.XLOOKUP(A313,A312:A911,[1]Sheet3!AA402:AA1001)</f>
        <v>0</v>
      </c>
      <c r="V313" t="str">
        <f>_xlfn.XLOOKUP(A313,A312:A911,[1]Sheet3!AC402:AC1001)</f>
        <v>Delivered</v>
      </c>
      <c r="W313" s="5">
        <f>_xlfn.XLOOKUP(A313,A312:A911,[1]Sheet3!AE402:AE1001)</f>
        <v>7</v>
      </c>
    </row>
    <row r="314" spans="1:23" x14ac:dyDescent="0.35">
      <c r="A314" t="s">
        <v>59</v>
      </c>
      <c r="B314" s="1">
        <f>_xlfn.XLOOKUP(A314,A313:A912,[1]Sheet3!C540:C1139)</f>
        <v>44822</v>
      </c>
      <c r="C314" t="str">
        <f>_xlfn.XLOOKUP(A314,A313:A912,[1]Sheet3!D540:D1139)</f>
        <v>CUST68153</v>
      </c>
      <c r="D314" t="str">
        <f>_xlfn.XLOOKUP(A314,A313:A912,[1]Sheet3!E540:E1139)</f>
        <v>Aditya Das</v>
      </c>
      <c r="E314" s="5">
        <f>_xlfn.XLOOKUP(A314,A313:A912,[1]Sheet3!G540:G1139)</f>
        <v>45</v>
      </c>
      <c r="F314" t="str">
        <f>_xlfn.XLOOKUP('Retail Sales'!A541,'Retail Sales'!A540:A1139,[1]Sheet3!H540:H1139)</f>
        <v>Adult</v>
      </c>
      <c r="G314" t="str">
        <f>_xlfn.XLOOKUP(A314,A313:A912,[1]Sheet3!J540:J1139)</f>
        <v>Female</v>
      </c>
      <c r="H314" t="str">
        <f>_xlfn.XLOOKUP(A314,A313:A912,[1]Sheet3!K540:K1139)</f>
        <v>North</v>
      </c>
      <c r="I314" t="str">
        <f>_xlfn.XLOOKUP(A314,A313:A912,[1]Sheet3!L540:L1139)</f>
        <v>Amritsar</v>
      </c>
      <c r="J314" t="str">
        <f>_xlfn.XLOOKUP(A314,A313:A912,[1]Sheet3!M540:M1139)</f>
        <v>Beauty</v>
      </c>
      <c r="K314" t="str">
        <f>_xlfn.XLOOKUP('Retail Sales'!A541,'Retail Sales'!A540:A1139,[1]Sheet3!N540:N1139)</f>
        <v>Perfume</v>
      </c>
      <c r="L314" s="5">
        <f>_xlfn.XLOOKUP(A314,A313:A912,[1]Sheet3!P540:P1139)</f>
        <v>9</v>
      </c>
      <c r="M314" s="7">
        <f>_xlfn.XLOOKUP(A314,A313:A912,[1]Sheet3!Q540:Q1139)</f>
        <v>2226.0700000000002</v>
      </c>
      <c r="N314" s="9">
        <f>_xlfn.XLOOKUP(A314,A313:A912,[1]Sheet3!S540:S1139)</f>
        <v>0.16</v>
      </c>
      <c r="O314" s="7">
        <f>_xlfn.XLOOKUP(A314,A313:A912,[1]Sheet3!T540:T1139)</f>
        <v>18524.57</v>
      </c>
      <c r="P314" s="7">
        <f>_xlfn.XLOOKUP(A314,A313:A912,[1]Sheet3!U540:U1139)</f>
        <v>7612.81</v>
      </c>
      <c r="Q314" s="11">
        <f>_xlfn.XLOOKUP(A314,A313:A912,[1]Sheet3!V540:V1139)</f>
        <v>0.41095744732536305</v>
      </c>
      <c r="R314" s="7">
        <f>_xlfn.XLOOKUP(A314,A313:A912,[1]Sheet3!W540:W1139)</f>
        <v>50.45</v>
      </c>
      <c r="S314" t="str">
        <f>_xlfn.XLOOKUP(A314,A313:A912,[1]Sheet3!X540:X1139)</f>
        <v>EMI</v>
      </c>
      <c r="T314" s="5">
        <f>_xlfn.XLOOKUP(A314,A313:A912,[1]Sheet3!Z540:Z1139)</f>
        <v>4</v>
      </c>
      <c r="U314" t="b">
        <f>_xlfn.XLOOKUP(A314,A313:A912,[1]Sheet3!AA540:AA1139)</f>
        <v>0</v>
      </c>
      <c r="V314" t="str">
        <f>_xlfn.XLOOKUP(A314,A313:A912,[1]Sheet3!AC540:AC1139)</f>
        <v>Delivered</v>
      </c>
      <c r="W314" s="5">
        <f>_xlfn.XLOOKUP(A314,A313:A912,[1]Sheet3!AE540:AE1139)</f>
        <v>2</v>
      </c>
    </row>
    <row r="315" spans="1:23" x14ac:dyDescent="0.35">
      <c r="A315" t="s">
        <v>552</v>
      </c>
      <c r="B315" s="1">
        <f>_xlfn.XLOOKUP(A315,A314:A913,[1]Sheet3!C47:C646)</f>
        <v>44822</v>
      </c>
      <c r="C315" t="str">
        <f>_xlfn.XLOOKUP(A315,A314:A913,[1]Sheet3!D47:D646)</f>
        <v>CUST94046</v>
      </c>
      <c r="D315" t="str">
        <f>_xlfn.XLOOKUP(A315,A314:A913,[1]Sheet3!E47:E646)</f>
        <v>Ananya Nair</v>
      </c>
      <c r="E315" s="5">
        <f>_xlfn.XLOOKUP(A315,A314:A913,[1]Sheet3!G47:G646)</f>
        <v>38</v>
      </c>
      <c r="F315" t="str">
        <f>_xlfn.XLOOKUP('Retail Sales'!A48,'Retail Sales'!A47:A646,[1]Sheet3!H47:H646)</f>
        <v>Adult</v>
      </c>
      <c r="G315" t="str">
        <f>_xlfn.XLOOKUP(A315,A314:A913,[1]Sheet3!J47:J646)</f>
        <v>Other</v>
      </c>
      <c r="H315" t="str">
        <f>_xlfn.XLOOKUP(A315,A314:A913,[1]Sheet3!K47:K646)</f>
        <v>Central</v>
      </c>
      <c r="I315" t="str">
        <f>_xlfn.XLOOKUP(A315,A314:A913,[1]Sheet3!L47:L646)</f>
        <v>Raipur</v>
      </c>
      <c r="J315" t="str">
        <f>_xlfn.XLOOKUP(A315,A314:A913,[1]Sheet3!M47:M646)</f>
        <v>Electronics</v>
      </c>
      <c r="K315" t="str">
        <f>_xlfn.XLOOKUP('Retail Sales'!A48,'Retail Sales'!A47:A646,[1]Sheet3!N47:N646)</f>
        <v>Camera</v>
      </c>
      <c r="L315" s="5">
        <f>_xlfn.XLOOKUP(A315,A314:A913,[1]Sheet3!P47:P646)</f>
        <v>5</v>
      </c>
      <c r="M315" s="7">
        <f>_xlfn.XLOOKUP(A315,A314:A913,[1]Sheet3!Q47:Q646)</f>
        <v>11463.02</v>
      </c>
      <c r="N315" s="9">
        <f>_xlfn.XLOOKUP(A315,A314:A913,[1]Sheet3!S47:S646)</f>
        <v>0.34</v>
      </c>
      <c r="O315" s="7">
        <f>_xlfn.XLOOKUP(A315,A314:A913,[1]Sheet3!T47:T646)</f>
        <v>44107</v>
      </c>
      <c r="P315" s="7">
        <f>_xlfn.XLOOKUP(A315,A314:A913,[1]Sheet3!U47:U646)</f>
        <v>3355.55</v>
      </c>
      <c r="Q315" s="11">
        <f>_xlfn.XLOOKUP(A315,A314:A913,[1]Sheet3!V47:V646)</f>
        <v>7.6077493368399585E-2</v>
      </c>
      <c r="R315" s="7">
        <f>_xlfn.XLOOKUP(A315,A314:A913,[1]Sheet3!W47:W646)</f>
        <v>36.32</v>
      </c>
      <c r="S315" t="str">
        <f>_xlfn.XLOOKUP(A315,A314:A913,[1]Sheet3!X47:X646)</f>
        <v>Cash on Delivery</v>
      </c>
      <c r="T315" s="5">
        <f>_xlfn.XLOOKUP(A315,A314:A913,[1]Sheet3!Z47:Z646)</f>
        <v>5</v>
      </c>
      <c r="U315" t="b">
        <f>_xlfn.XLOOKUP(A315,A314:A913,[1]Sheet3!AA47:AA646)</f>
        <v>0</v>
      </c>
      <c r="V315" t="str">
        <f>_xlfn.XLOOKUP(A315,A314:A913,[1]Sheet3!AC47:AC646)</f>
        <v>Delivered</v>
      </c>
      <c r="W315" s="5">
        <f>_xlfn.XLOOKUP(A315,A314:A913,[1]Sheet3!AE47:AE646)</f>
        <v>10</v>
      </c>
    </row>
    <row r="316" spans="1:23" x14ac:dyDescent="0.35">
      <c r="A316" t="s">
        <v>84</v>
      </c>
      <c r="B316" s="1">
        <f>_xlfn.XLOOKUP(A316,A315:A914,[1]Sheet3!C515:C1114)</f>
        <v>44823</v>
      </c>
      <c r="C316" t="str">
        <f>_xlfn.XLOOKUP(A316,A315:A914,[1]Sheet3!D515:D1114)</f>
        <v>CUST48005</v>
      </c>
      <c r="D316" t="str">
        <f>_xlfn.XLOOKUP(A316,A315:A914,[1]Sheet3!E515:E1114)</f>
        <v>Deepa Nair</v>
      </c>
      <c r="E316" s="5">
        <f>_xlfn.XLOOKUP(A316,A315:A914,[1]Sheet3!G515:G1114)</f>
        <v>48</v>
      </c>
      <c r="F316" t="str">
        <f>_xlfn.XLOOKUP('Retail Sales'!A516,'Retail Sales'!A515:A1114,[1]Sheet3!H515:H1114)</f>
        <v>Adult</v>
      </c>
      <c r="G316" t="str">
        <f>_xlfn.XLOOKUP(A316,A315:A914,[1]Sheet3!J515:J1114)</f>
        <v>Other</v>
      </c>
      <c r="H316" t="str">
        <f>_xlfn.XLOOKUP(A316,A315:A914,[1]Sheet3!K515:K1114)</f>
        <v>South</v>
      </c>
      <c r="I316" t="str">
        <f>_xlfn.XLOOKUP(A316,A315:A914,[1]Sheet3!L515:L1114)</f>
        <v>Chennai</v>
      </c>
      <c r="J316" t="str">
        <f>_xlfn.XLOOKUP(A316,A315:A914,[1]Sheet3!M515:M1114)</f>
        <v>Electronics</v>
      </c>
      <c r="K316" t="str">
        <f>_xlfn.XLOOKUP('Retail Sales'!A516,'Retail Sales'!A515:A1114,[1]Sheet3!N515:N1114)</f>
        <v>Headphones</v>
      </c>
      <c r="L316" s="5">
        <f>_xlfn.XLOOKUP(A316,A315:A914,[1]Sheet3!P515:P1114)</f>
        <v>7</v>
      </c>
      <c r="M316" s="7">
        <f>_xlfn.XLOOKUP(A316,A315:A914,[1]Sheet3!Q515:Q1114)</f>
        <v>10316.01</v>
      </c>
      <c r="N316" s="9">
        <f>_xlfn.XLOOKUP(A316,A315:A914,[1]Sheet3!S515:S1114)</f>
        <v>0.33</v>
      </c>
      <c r="O316" s="7">
        <f>_xlfn.XLOOKUP(A316,A315:A914,[1]Sheet3!T515:T1114)</f>
        <v>50301.08</v>
      </c>
      <c r="P316" s="7">
        <f>_xlfn.XLOOKUP(A316,A315:A914,[1]Sheet3!U515:U1114)</f>
        <v>6888.17</v>
      </c>
      <c r="Q316" s="11">
        <f>_xlfn.XLOOKUP(A316,A315:A914,[1]Sheet3!V515:V1114)</f>
        <v>0.13693880926612312</v>
      </c>
      <c r="R316" s="7">
        <f>_xlfn.XLOOKUP(A316,A315:A914,[1]Sheet3!W515:W1114)</f>
        <v>90.01</v>
      </c>
      <c r="S316" t="str">
        <f>_xlfn.XLOOKUP(A316,A315:A914,[1]Sheet3!X515:X1114)</f>
        <v>Net Banking</v>
      </c>
      <c r="T316" s="5">
        <f>_xlfn.XLOOKUP(A316,A315:A914,[1]Sheet3!Z515:Z1114)</f>
        <v>3</v>
      </c>
      <c r="U316" t="b">
        <f>_xlfn.XLOOKUP(A316,A315:A914,[1]Sheet3!AA515:AA1114)</f>
        <v>0</v>
      </c>
      <c r="V316" t="str">
        <f>_xlfn.XLOOKUP(A316,A315:A914,[1]Sheet3!AC515:AC1114)</f>
        <v>Delivered</v>
      </c>
      <c r="W316" s="5">
        <f>_xlfn.XLOOKUP(A316,A315:A914,[1]Sheet3!AE515:AE1114)</f>
        <v>4</v>
      </c>
    </row>
    <row r="317" spans="1:23" x14ac:dyDescent="0.35">
      <c r="A317" t="s">
        <v>33</v>
      </c>
      <c r="B317" s="1">
        <f>_xlfn.XLOOKUP(A317,A316:A915,[1]Sheet3!C566:C1165)</f>
        <v>44825</v>
      </c>
      <c r="C317" t="str">
        <f>_xlfn.XLOOKUP(A317,A316:A915,[1]Sheet3!D566:D1165)</f>
        <v>CUST08013</v>
      </c>
      <c r="D317" t="str">
        <f>_xlfn.XLOOKUP(A317,A316:A915,[1]Sheet3!E566:E1165)</f>
        <v>Ritu Gupta</v>
      </c>
      <c r="E317" s="5">
        <f>_xlfn.XLOOKUP(A317,A316:A915,[1]Sheet3!G566:G1165)</f>
        <v>41</v>
      </c>
      <c r="F317" t="str">
        <f>_xlfn.XLOOKUP('Retail Sales'!A567,'Retail Sales'!A566:A1165,[1]Sheet3!H566:H1165)</f>
        <v>Adult</v>
      </c>
      <c r="G317" t="str">
        <f>_xlfn.XLOOKUP(A317,A316:A915,[1]Sheet3!J566:J1165)</f>
        <v>Other</v>
      </c>
      <c r="H317" t="str">
        <f>_xlfn.XLOOKUP(A317,A316:A915,[1]Sheet3!K566:K1165)</f>
        <v>East</v>
      </c>
      <c r="I317" t="str">
        <f>_xlfn.XLOOKUP(A317,A316:A915,[1]Sheet3!L566:L1165)</f>
        <v>Bhubaneswar</v>
      </c>
      <c r="J317" t="str">
        <f>_xlfn.XLOOKUP(A317,A316:A915,[1]Sheet3!M566:M1165)</f>
        <v>Sports</v>
      </c>
      <c r="K317" t="str">
        <f>_xlfn.XLOOKUP('Retail Sales'!A567,'Retail Sales'!A566:A1165,[1]Sheet3!N566:N1165)</f>
        <v>Yoga Mat</v>
      </c>
      <c r="L317" s="5">
        <f>_xlfn.XLOOKUP(A317,A316:A915,[1]Sheet3!P566:P1165)</f>
        <v>2</v>
      </c>
      <c r="M317" s="7">
        <f>_xlfn.XLOOKUP(A317,A316:A915,[1]Sheet3!Q566:Q1165)</f>
        <v>8645.73</v>
      </c>
      <c r="N317" s="9">
        <f>_xlfn.XLOOKUP(A317,A316:A915,[1]Sheet3!S566:S1165)</f>
        <v>0.24</v>
      </c>
      <c r="O317" s="7">
        <f>_xlfn.XLOOKUP(A317,A316:A915,[1]Sheet3!T566:T1165)</f>
        <v>14376.69</v>
      </c>
      <c r="P317" s="7">
        <f>_xlfn.XLOOKUP(A317,A316:A915,[1]Sheet3!U566:U1165)</f>
        <v>3461.36</v>
      </c>
      <c r="Q317" s="11">
        <f>_xlfn.XLOOKUP(A317,A316:A915,[1]Sheet3!V566:V1165)</f>
        <v>0.24076195563791108</v>
      </c>
      <c r="R317" s="7">
        <f>_xlfn.XLOOKUP(A317,A316:A915,[1]Sheet3!W566:W1165)</f>
        <v>94.07</v>
      </c>
      <c r="S317" t="str">
        <f>_xlfn.XLOOKUP(A317,A316:A915,[1]Sheet3!X566:X1165)</f>
        <v>EMI</v>
      </c>
      <c r="T317" s="5">
        <f>_xlfn.XLOOKUP(A317,A316:A915,[1]Sheet3!Z566:Z1165)</f>
        <v>4</v>
      </c>
      <c r="U317" t="b">
        <f>_xlfn.XLOOKUP(A317,A316:A915,[1]Sheet3!AA566:AA1165)</f>
        <v>1</v>
      </c>
      <c r="V317" t="str">
        <f>_xlfn.XLOOKUP(A317,A316:A915,[1]Sheet3!AC566:AC1165)</f>
        <v>Returned</v>
      </c>
      <c r="W317" s="5">
        <f>_xlfn.XLOOKUP(A317,A316:A915,[1]Sheet3!AE566:AE1165)</f>
        <v>3</v>
      </c>
    </row>
    <row r="318" spans="1:23" x14ac:dyDescent="0.35">
      <c r="A318" t="s">
        <v>234</v>
      </c>
      <c r="B318" s="1">
        <f>_xlfn.XLOOKUP(A318,A317:A916,[1]Sheet3!C365:C964)</f>
        <v>44827</v>
      </c>
      <c r="C318" t="str">
        <f>_xlfn.XLOOKUP(A318,A317:A916,[1]Sheet3!D365:D964)</f>
        <v>CUST16205</v>
      </c>
      <c r="D318" t="str">
        <f>_xlfn.XLOOKUP(A318,A317:A916,[1]Sheet3!E365:E964)</f>
        <v>Arjun Kapoor</v>
      </c>
      <c r="E318" s="5">
        <f>_xlfn.XLOOKUP(A318,A317:A916,[1]Sheet3!G365:G964)</f>
        <v>32</v>
      </c>
      <c r="F318" t="str">
        <f>_xlfn.XLOOKUP('Retail Sales'!A366,'Retail Sales'!A365:A964,[1]Sheet3!H365:H964)</f>
        <v>Young Adult</v>
      </c>
      <c r="G318" t="str">
        <f>_xlfn.XLOOKUP(A318,A317:A916,[1]Sheet3!J365:J964)</f>
        <v>Male</v>
      </c>
      <c r="H318" t="str">
        <f>_xlfn.XLOOKUP(A318,A317:A916,[1]Sheet3!K365:K964)</f>
        <v>East</v>
      </c>
      <c r="I318" t="str">
        <f>_xlfn.XLOOKUP(A318,A317:A916,[1]Sheet3!L365:L964)</f>
        <v>Guwahati</v>
      </c>
      <c r="J318" t="str">
        <f>_xlfn.XLOOKUP(A318,A317:A916,[1]Sheet3!M365:M964)</f>
        <v>Sports</v>
      </c>
      <c r="K318" t="str">
        <f>_xlfn.XLOOKUP('Retail Sales'!A366,'Retail Sales'!A365:A964,[1]Sheet3!N365:N964)</f>
        <v>Tennis Racket</v>
      </c>
      <c r="L318" s="5">
        <f>_xlfn.XLOOKUP(A318,A317:A916,[1]Sheet3!P365:P964)</f>
        <v>7.0954861111111107</v>
      </c>
      <c r="M318" s="7">
        <f>_xlfn.XLOOKUP(A318,A317:A916,[1]Sheet3!Q365:Q964)</f>
        <v>7290.72</v>
      </c>
      <c r="N318" s="9">
        <f>_xlfn.XLOOKUP(A318,A317:A916,[1]Sheet3!S365:S964)</f>
        <v>0</v>
      </c>
      <c r="O318" s="7">
        <f>_xlfn.XLOOKUP(A318,A317:A916,[1]Sheet3!T365:T964)</f>
        <v>8729.66</v>
      </c>
      <c r="P318" s="7">
        <f>_xlfn.XLOOKUP(A318,A317:A916,[1]Sheet3!U365:U964)</f>
        <v>2532.61</v>
      </c>
      <c r="Q318" s="11">
        <f>_xlfn.XLOOKUP(A318,A317:A916,[1]Sheet3!V365:V964)</f>
        <v>0.29011553714577659</v>
      </c>
      <c r="R318" s="7">
        <f>_xlfn.XLOOKUP(A318,A317:A916,[1]Sheet3!W365:W964)</f>
        <v>59.36</v>
      </c>
      <c r="S318" t="str">
        <f>_xlfn.XLOOKUP(A318,A317:A916,[1]Sheet3!X365:X964)</f>
        <v>EMI</v>
      </c>
      <c r="T318" s="5">
        <f>_xlfn.XLOOKUP(A318,A317:A916,[1]Sheet3!Z365:Z964)</f>
        <v>5</v>
      </c>
      <c r="U318" t="b">
        <f>_xlfn.XLOOKUP(A318,A317:A916,[1]Sheet3!AA365:AA964)</f>
        <v>0</v>
      </c>
      <c r="V318" t="str">
        <f>_xlfn.XLOOKUP(A318,A317:A916,[1]Sheet3!AC365:AC964)</f>
        <v>Delivered</v>
      </c>
      <c r="W318" s="5">
        <f>_xlfn.XLOOKUP(A318,A317:A916,[1]Sheet3!AE365:AE964)</f>
        <v>2</v>
      </c>
    </row>
    <row r="319" spans="1:23" x14ac:dyDescent="0.35">
      <c r="A319" t="s">
        <v>208</v>
      </c>
      <c r="B319" s="1">
        <f>_xlfn.XLOOKUP(A319,A318:A917,[1]Sheet3!C391:C990)</f>
        <v>44836</v>
      </c>
      <c r="C319" t="str">
        <f>_xlfn.XLOOKUP(A319,A318:A917,[1]Sheet3!D391:D990)</f>
        <v>CUST66337</v>
      </c>
      <c r="D319" t="str">
        <f>_xlfn.XLOOKUP(A319,A318:A917,[1]Sheet3!E391:E990)</f>
        <v>Kavya Singh</v>
      </c>
      <c r="E319" s="5">
        <f>_xlfn.XLOOKUP(A319,A318:A917,[1]Sheet3!G391:G990)</f>
        <v>34.294220665499125</v>
      </c>
      <c r="F319" t="str">
        <f>_xlfn.XLOOKUP('Retail Sales'!A392,'Retail Sales'!A391:A990,[1]Sheet3!H391:H990)</f>
        <v>Young Adult</v>
      </c>
      <c r="G319" t="str">
        <f>_xlfn.XLOOKUP(A319,A318:A917,[1]Sheet3!J391:J990)</f>
        <v>Female</v>
      </c>
      <c r="H319" t="str">
        <f>_xlfn.XLOOKUP(A319,A318:A917,[1]Sheet3!K391:K990)</f>
        <v>South</v>
      </c>
      <c r="I319" t="str">
        <f>_xlfn.XLOOKUP(A319,A318:A917,[1]Sheet3!L391:L990)</f>
        <v>Bangalore</v>
      </c>
      <c r="J319" t="str">
        <f>_xlfn.XLOOKUP(A319,A318:A917,[1]Sheet3!M391:M990)</f>
        <v>Clothing</v>
      </c>
      <c r="K319" t="str">
        <f>_xlfn.XLOOKUP('Retail Sales'!A392,'Retail Sales'!A391:A990,[1]Sheet3!N391:N990)</f>
        <v>Dress</v>
      </c>
      <c r="L319" s="5">
        <f>_xlfn.XLOOKUP(A319,A318:A917,[1]Sheet3!P391:P990)</f>
        <v>10</v>
      </c>
      <c r="M319" s="7">
        <f>_xlfn.XLOOKUP(A319,A318:A917,[1]Sheet3!Q391:Q990)</f>
        <v>2259.7800000000002</v>
      </c>
      <c r="N319" s="9">
        <f>_xlfn.XLOOKUP(A319,A318:A917,[1]Sheet3!S391:S990)</f>
        <v>0.04</v>
      </c>
      <c r="O319" s="7">
        <f>_xlfn.XLOOKUP(A319,A318:A917,[1]Sheet3!T391:T990)</f>
        <v>20953.37</v>
      </c>
      <c r="P319" s="7">
        <f>_xlfn.XLOOKUP(A319,A318:A917,[1]Sheet3!U391:U990)</f>
        <v>7949.05</v>
      </c>
      <c r="Q319" s="11">
        <f>_xlfn.XLOOKUP(A319,A318:A917,[1]Sheet3!V391:V990)</f>
        <v>0.37936856935185131</v>
      </c>
      <c r="R319" s="7">
        <f>_xlfn.XLOOKUP(A319,A318:A917,[1]Sheet3!W391:W990)</f>
        <v>52.93</v>
      </c>
      <c r="S319" t="str">
        <f>_xlfn.XLOOKUP(A319,A318:A917,[1]Sheet3!X391:X990)</f>
        <v>UPI</v>
      </c>
      <c r="T319" s="5">
        <f>_xlfn.XLOOKUP(A319,A318:A917,[1]Sheet3!Z391:Z990)</f>
        <v>5</v>
      </c>
      <c r="U319" t="b">
        <f>_xlfn.XLOOKUP(A319,A318:A917,[1]Sheet3!AA391:AA990)</f>
        <v>0</v>
      </c>
      <c r="V319" t="str">
        <f>_xlfn.XLOOKUP(A319,A318:A917,[1]Sheet3!AC391:AC990)</f>
        <v>Delivered</v>
      </c>
      <c r="W319" s="5">
        <f>_xlfn.XLOOKUP(A319,A318:A917,[1]Sheet3!AE391:AE990)</f>
        <v>7</v>
      </c>
    </row>
    <row r="320" spans="1:23" x14ac:dyDescent="0.35">
      <c r="A320" t="s">
        <v>371</v>
      </c>
      <c r="B320" s="1">
        <f>_xlfn.XLOOKUP(A320,A319:A918,[1]Sheet3!C228:C827)</f>
        <v>44838</v>
      </c>
      <c r="C320" t="str">
        <f>_xlfn.XLOOKUP(A320,A319:A918,[1]Sheet3!D228:D827)</f>
        <v>CUST62789</v>
      </c>
      <c r="D320" t="str">
        <f>_xlfn.XLOOKUP(A320,A319:A918,[1]Sheet3!E228:E827)</f>
        <v>Ananya Gupta</v>
      </c>
      <c r="E320" s="5">
        <f>_xlfn.XLOOKUP(A320,A319:A918,[1]Sheet3!G228:G827)</f>
        <v>40</v>
      </c>
      <c r="F320" t="str">
        <f>_xlfn.XLOOKUP('Retail Sales'!A229,'Retail Sales'!A228:A827,[1]Sheet3!H228:H827)</f>
        <v>Adult</v>
      </c>
      <c r="G320" t="str">
        <f>_xlfn.XLOOKUP(A320,A319:A918,[1]Sheet3!J228:J827)</f>
        <v>Other</v>
      </c>
      <c r="H320" t="str">
        <f>_xlfn.XLOOKUP(A320,A319:A918,[1]Sheet3!K228:K827)</f>
        <v>South</v>
      </c>
      <c r="I320" t="str">
        <f>_xlfn.XLOOKUP(A320,A319:A918,[1]Sheet3!L228:L827)</f>
        <v>Kochi</v>
      </c>
      <c r="J320" t="str">
        <f>_xlfn.XLOOKUP(A320,A319:A918,[1]Sheet3!M228:M827)</f>
        <v>Groceries</v>
      </c>
      <c r="K320" t="str">
        <f>_xlfn.XLOOKUP('Retail Sales'!A229,'Retail Sales'!A228:A827,[1]Sheet3!N228:N827)</f>
        <v>Dal (1kg)</v>
      </c>
      <c r="L320" s="5">
        <f>_xlfn.XLOOKUP(A320,A319:A918,[1]Sheet3!P228:P827)</f>
        <v>4</v>
      </c>
      <c r="M320" s="7">
        <f>_xlfn.XLOOKUP(A320,A319:A918,[1]Sheet3!Q228:Q827)</f>
        <v>314.73</v>
      </c>
      <c r="N320" s="9">
        <f>_xlfn.XLOOKUP(A320,A319:A918,[1]Sheet3!S228:S827)</f>
        <v>0.15</v>
      </c>
      <c r="O320" s="7">
        <f>_xlfn.XLOOKUP(A320,A319:A918,[1]Sheet3!T228:T827)</f>
        <v>998.21</v>
      </c>
      <c r="P320" s="7">
        <f>_xlfn.XLOOKUP(A320,A319:A918,[1]Sheet3!U228:U827)</f>
        <v>61.22</v>
      </c>
      <c r="Q320" s="11">
        <f>_xlfn.XLOOKUP(A320,A319:A918,[1]Sheet3!V228:V827)</f>
        <v>6.1329780306749078E-2</v>
      </c>
      <c r="R320" s="7">
        <f>_xlfn.XLOOKUP(A320,A319:A918,[1]Sheet3!W228:W827)</f>
        <v>79</v>
      </c>
      <c r="S320" t="str">
        <f>_xlfn.XLOOKUP(A320,A319:A918,[1]Sheet3!X228:X827)</f>
        <v>Cash on Delivery</v>
      </c>
      <c r="T320" s="5">
        <f>_xlfn.XLOOKUP(A320,A319:A918,[1]Sheet3!Z228:Z827)</f>
        <v>3</v>
      </c>
      <c r="U320" t="b">
        <f>_xlfn.XLOOKUP(A320,A319:A918,[1]Sheet3!AA228:AA827)</f>
        <v>0</v>
      </c>
      <c r="V320" t="str">
        <f>_xlfn.XLOOKUP(A320,A319:A918,[1]Sheet3!AC228:AC827)</f>
        <v>Delivered</v>
      </c>
      <c r="W320" s="5">
        <f>_xlfn.XLOOKUP(A320,A319:A918,[1]Sheet3!AE228:AE827)</f>
        <v>8</v>
      </c>
    </row>
    <row r="321" spans="1:23" x14ac:dyDescent="0.35">
      <c r="A321" t="s">
        <v>143</v>
      </c>
      <c r="B321" s="1">
        <f>_xlfn.XLOOKUP(A321,A320:A919,[1]Sheet3!C456:C1055)</f>
        <v>44839</v>
      </c>
      <c r="C321" t="str">
        <f>_xlfn.XLOOKUP(A321,A320:A919,[1]Sheet3!D456:D1055)</f>
        <v>CUST93809</v>
      </c>
      <c r="D321" t="str">
        <f>_xlfn.XLOOKUP(A321,A320:A919,[1]Sheet3!E456:E1055)</f>
        <v>Kavya Sharma</v>
      </c>
      <c r="E321" s="5">
        <f>_xlfn.XLOOKUP(A321,A320:A919,[1]Sheet3!G456:G1055)</f>
        <v>44</v>
      </c>
      <c r="F321" t="str">
        <f>_xlfn.XLOOKUP('Retail Sales'!A457,'Retail Sales'!A456:A1055,[1]Sheet3!H456:H1055)</f>
        <v>Adult</v>
      </c>
      <c r="G321" t="str">
        <f>_xlfn.XLOOKUP(A321,A320:A919,[1]Sheet3!J456:J1055)</f>
        <v>Other</v>
      </c>
      <c r="H321" t="str">
        <f>_xlfn.XLOOKUP(A321,A320:A919,[1]Sheet3!K456:K1055)</f>
        <v>Central</v>
      </c>
      <c r="I321" t="str">
        <f>_xlfn.XLOOKUP(A321,A320:A919,[1]Sheet3!L456:L1055)</f>
        <v>Indore</v>
      </c>
      <c r="J321" t="str">
        <f>_xlfn.XLOOKUP(A321,A320:A919,[1]Sheet3!M456:M1055)</f>
        <v>Furniture</v>
      </c>
      <c r="K321" t="str">
        <f>_xlfn.XLOOKUP('Retail Sales'!A457,'Retail Sales'!A456:A1055,[1]Sheet3!N456:N1055)</f>
        <v>Bookshelf</v>
      </c>
      <c r="L321" s="5">
        <f>_xlfn.XLOOKUP(A321,A320:A919,[1]Sheet3!P456:P1055)</f>
        <v>8</v>
      </c>
      <c r="M321" s="7">
        <f>_xlfn.XLOOKUP(A321,A320:A919,[1]Sheet3!Q456:Q1055)</f>
        <v>32195.15</v>
      </c>
      <c r="N321" s="9">
        <f>_xlfn.XLOOKUP(A321,A320:A919,[1]Sheet3!S456:S1055)</f>
        <v>0.25</v>
      </c>
      <c r="O321" s="7">
        <f>_xlfn.XLOOKUP(A321,A320:A919,[1]Sheet3!T456:T1055)</f>
        <v>191258.73</v>
      </c>
      <c r="P321" s="7">
        <f>_xlfn.XLOOKUP(A321,A320:A919,[1]Sheet3!U456:U1055)</f>
        <v>53878.3</v>
      </c>
      <c r="Q321" s="11">
        <f>_xlfn.XLOOKUP(A321,A320:A919,[1]Sheet3!V456:V1055)</f>
        <v>0.28170374235989121</v>
      </c>
      <c r="R321" s="7">
        <f>_xlfn.XLOOKUP(A321,A320:A919,[1]Sheet3!W456:W1055)</f>
        <v>67.87</v>
      </c>
      <c r="S321" t="str">
        <f>_xlfn.XLOOKUP(A321,A320:A919,[1]Sheet3!X456:X1055)</f>
        <v>Cash on Delivery</v>
      </c>
      <c r="T321" s="5">
        <f>_xlfn.XLOOKUP(A321,A320:A919,[1]Sheet3!Z456:Z1055)</f>
        <v>2</v>
      </c>
      <c r="U321" t="b">
        <f>_xlfn.XLOOKUP(A321,A320:A919,[1]Sheet3!AA456:AA1055)</f>
        <v>0</v>
      </c>
      <c r="V321" t="str">
        <f>_xlfn.XLOOKUP(A321,A320:A919,[1]Sheet3!AC456:AC1055)</f>
        <v>Delivered</v>
      </c>
      <c r="W321" s="5">
        <f>_xlfn.XLOOKUP(A321,A320:A919,[1]Sheet3!AE456:AE1055)</f>
        <v>4</v>
      </c>
    </row>
    <row r="322" spans="1:23" x14ac:dyDescent="0.35">
      <c r="A322" t="s">
        <v>287</v>
      </c>
      <c r="B322" s="1">
        <f>_xlfn.XLOOKUP(A322,A321:A920,[1]Sheet3!C312:C911)</f>
        <v>44843</v>
      </c>
      <c r="C322" t="str">
        <f>_xlfn.XLOOKUP(A322,A321:A920,[1]Sheet3!D312:D911)</f>
        <v>CUST15721</v>
      </c>
      <c r="D322" t="str">
        <f>_xlfn.XLOOKUP(A322,A321:A920,[1]Sheet3!E312:E911)</f>
        <v>Sunita Kumar</v>
      </c>
      <c r="E322" s="5">
        <f>_xlfn.XLOOKUP(A322,A321:A920,[1]Sheet3!G312:G911)</f>
        <v>32</v>
      </c>
      <c r="F322" t="str">
        <f>_xlfn.XLOOKUP('Retail Sales'!A313,'Retail Sales'!A312:A911,[1]Sheet3!H312:H911)</f>
        <v>Young Adult</v>
      </c>
      <c r="G322" t="str">
        <f>_xlfn.XLOOKUP(A322,A321:A920,[1]Sheet3!J312:J911)</f>
        <v>Female</v>
      </c>
      <c r="H322" t="str">
        <f>_xlfn.XLOOKUP(A322,A321:A920,[1]Sheet3!K312:K911)</f>
        <v>West</v>
      </c>
      <c r="I322" t="str">
        <f>_xlfn.XLOOKUP(A322,A321:A920,[1]Sheet3!L312:L911)</f>
        <v>Ahmedabad</v>
      </c>
      <c r="J322" t="str">
        <f>_xlfn.XLOOKUP(A322,A321:A920,[1]Sheet3!M312:M911)</f>
        <v>Groceries</v>
      </c>
      <c r="K322" t="str">
        <f>_xlfn.XLOOKUP('Retail Sales'!A313,'Retail Sales'!A312:A911,[1]Sheet3!N312:N911)</f>
        <v>Flour</v>
      </c>
      <c r="L322" s="5">
        <f>_xlfn.XLOOKUP(A322,A321:A920,[1]Sheet3!P312:P911)</f>
        <v>10</v>
      </c>
      <c r="M322" s="7">
        <f>_xlfn.XLOOKUP(A322,A321:A920,[1]Sheet3!Q312:Q911)</f>
        <v>364.93</v>
      </c>
      <c r="N322" s="9">
        <f>_xlfn.XLOOKUP(A322,A321:A920,[1]Sheet3!S312:S911)</f>
        <v>7.0000000000000007E-2</v>
      </c>
      <c r="O322" s="7">
        <f>_xlfn.XLOOKUP(A322,A321:A920,[1]Sheet3!T312:T911)</f>
        <v>3274.29</v>
      </c>
      <c r="P322" s="7">
        <f>_xlfn.XLOOKUP(A322,A321:A920,[1]Sheet3!U312:U911)</f>
        <v>294.88</v>
      </c>
      <c r="Q322" s="11">
        <f>_xlfn.XLOOKUP(A322,A321:A920,[1]Sheet3!V312:V911)</f>
        <v>9.0059218945175906E-2</v>
      </c>
      <c r="R322" s="7">
        <f>_xlfn.XLOOKUP(A322,A321:A920,[1]Sheet3!W312:W911)</f>
        <v>52.13</v>
      </c>
      <c r="S322" t="str">
        <f>_xlfn.XLOOKUP(A322,A321:A920,[1]Sheet3!X312:X911)</f>
        <v>UPI</v>
      </c>
      <c r="T322" s="5">
        <f>_xlfn.XLOOKUP(A322,A321:A920,[1]Sheet3!Z312:Z911)</f>
        <v>3</v>
      </c>
      <c r="U322" t="b">
        <f>_xlfn.XLOOKUP(A322,A321:A920,[1]Sheet3!AA312:AA911)</f>
        <v>0</v>
      </c>
      <c r="V322" t="str">
        <f>_xlfn.XLOOKUP(A322,A321:A920,[1]Sheet3!AC312:AC911)</f>
        <v>Pending</v>
      </c>
      <c r="W322" s="5">
        <f>_xlfn.XLOOKUP(A322,A321:A920,[1]Sheet3!AE312:AE911)</f>
        <v>3</v>
      </c>
    </row>
    <row r="323" spans="1:23" x14ac:dyDescent="0.35">
      <c r="A323" t="s">
        <v>445</v>
      </c>
      <c r="B323" s="1">
        <f>_xlfn.XLOOKUP(A323,A322:A921,[1]Sheet3!C154:C753)</f>
        <v>44850</v>
      </c>
      <c r="C323" t="str">
        <f>_xlfn.XLOOKUP(A323,A322:A921,[1]Sheet3!D154:D753)</f>
        <v>CUST40158</v>
      </c>
      <c r="D323" t="str">
        <f>_xlfn.XLOOKUP(A323,A322:A921,[1]Sheet3!E154:E753)</f>
        <v>Kavya Pillai</v>
      </c>
      <c r="E323" s="5">
        <f>_xlfn.XLOOKUP(A323,A322:A921,[1]Sheet3!G154:G753)</f>
        <v>36</v>
      </c>
      <c r="F323" t="str">
        <f>_xlfn.XLOOKUP('Retail Sales'!A155,'Retail Sales'!A154:A753,[1]Sheet3!H154:H753)</f>
        <v>Adult</v>
      </c>
      <c r="G323" t="str">
        <f>_xlfn.XLOOKUP(A323,A322:A921,[1]Sheet3!J154:J753)</f>
        <v>Male</v>
      </c>
      <c r="H323" t="str">
        <f>_xlfn.XLOOKUP(A323,A322:A921,[1]Sheet3!K154:K753)</f>
        <v>South</v>
      </c>
      <c r="I323" t="str">
        <f>_xlfn.XLOOKUP(A323,A322:A921,[1]Sheet3!L154:L753)</f>
        <v>Chennai</v>
      </c>
      <c r="J323" t="str">
        <f>_xlfn.XLOOKUP(A323,A322:A921,[1]Sheet3!M154:M753)</f>
        <v>Furniture</v>
      </c>
      <c r="K323" t="str">
        <f>_xlfn.XLOOKUP('Retail Sales'!A155,'Retail Sales'!A154:A753,[1]Sheet3!N154:N753)</f>
        <v>Chair</v>
      </c>
      <c r="L323" s="5">
        <f>_xlfn.XLOOKUP(A323,A322:A921,[1]Sheet3!P154:P753)</f>
        <v>8</v>
      </c>
      <c r="M323" s="7">
        <f>_xlfn.XLOOKUP(A323,A322:A921,[1]Sheet3!Q154:Q753)</f>
        <v>33543.43</v>
      </c>
      <c r="N323" s="9">
        <f>_xlfn.XLOOKUP(A323,A322:A921,[1]Sheet3!S154:S753)</f>
        <v>0.22</v>
      </c>
      <c r="O323" s="7">
        <f>_xlfn.XLOOKUP(A323,A322:A921,[1]Sheet3!T154:T753)</f>
        <v>218733.7</v>
      </c>
      <c r="P323" s="7">
        <f>_xlfn.XLOOKUP(A323,A322:A921,[1]Sheet3!U154:U753)</f>
        <v>59861.82</v>
      </c>
      <c r="Q323" s="11">
        <f>_xlfn.XLOOKUP(A323,A322:A921,[1]Sheet3!V154:V753)</f>
        <v>0.27367442694015598</v>
      </c>
      <c r="R323" s="7">
        <f>_xlfn.XLOOKUP(A323,A322:A921,[1]Sheet3!W154:W753)</f>
        <v>56.8</v>
      </c>
      <c r="S323" t="str">
        <f>_xlfn.XLOOKUP(A323,A322:A921,[1]Sheet3!X154:X753)</f>
        <v>EMI</v>
      </c>
      <c r="T323" s="5">
        <f>_xlfn.XLOOKUP(A323,A322:A921,[1]Sheet3!Z154:Z753)</f>
        <v>2</v>
      </c>
      <c r="U323" t="b">
        <f>_xlfn.XLOOKUP(A323,A322:A921,[1]Sheet3!AA154:AA753)</f>
        <v>0</v>
      </c>
      <c r="V323" t="str">
        <f>_xlfn.XLOOKUP(A323,A322:A921,[1]Sheet3!AC154:AC753)</f>
        <v>Delivered</v>
      </c>
      <c r="W323" s="5">
        <f>_xlfn.XLOOKUP(A323,A322:A921,[1]Sheet3!AE154:AE753)</f>
        <v>8</v>
      </c>
    </row>
    <row r="324" spans="1:23" x14ac:dyDescent="0.35">
      <c r="A324" t="s">
        <v>250</v>
      </c>
      <c r="B324" s="1">
        <f>_xlfn.XLOOKUP(A324,A323:A922,[1]Sheet3!C349:C948)</f>
        <v>44852</v>
      </c>
      <c r="C324" t="str">
        <f>_xlfn.XLOOKUP(A324,A323:A922,[1]Sheet3!D349:D948)</f>
        <v>CUST09796</v>
      </c>
      <c r="D324" t="str">
        <f>_xlfn.XLOOKUP(A324,A323:A922,[1]Sheet3!E349:E948)</f>
        <v>Shreya Mehta</v>
      </c>
      <c r="E324" s="5">
        <f>_xlfn.XLOOKUP(A324,A323:A922,[1]Sheet3!G349:G948)</f>
        <v>2</v>
      </c>
      <c r="F324" t="str">
        <f>_xlfn.XLOOKUP('Retail Sales'!A350,'Retail Sales'!A349:A948,[1]Sheet3!H349:H948)</f>
        <v>Child</v>
      </c>
      <c r="G324" t="str">
        <f>_xlfn.XLOOKUP(A324,A323:A922,[1]Sheet3!J349:J948)</f>
        <v>Other</v>
      </c>
      <c r="H324" t="str">
        <f>_xlfn.XLOOKUP(A324,A323:A922,[1]Sheet3!K349:K948)</f>
        <v>North</v>
      </c>
      <c r="I324" t="str">
        <f>_xlfn.XLOOKUP(A324,A323:A922,[1]Sheet3!L349:L948)</f>
        <v>Ludhiana</v>
      </c>
      <c r="J324" t="str">
        <f>_xlfn.XLOOKUP(A324,A323:A922,[1]Sheet3!M349:M948)</f>
        <v>Clothing</v>
      </c>
      <c r="K324" t="str">
        <f>_xlfn.XLOOKUP('Retail Sales'!A350,'Retail Sales'!A349:A948,[1]Sheet3!N349:N948)</f>
        <v>Kurta</v>
      </c>
      <c r="L324" s="5">
        <f>_xlfn.XLOOKUP(A324,A323:A922,[1]Sheet3!P349:P948)</f>
        <v>5</v>
      </c>
      <c r="M324" s="7">
        <f>_xlfn.XLOOKUP(A324,A323:A922,[1]Sheet3!Q349:Q948)</f>
        <v>3077.69</v>
      </c>
      <c r="N324" s="9">
        <f>_xlfn.XLOOKUP(A324,A323:A922,[1]Sheet3!S349:S948)</f>
        <v>0.12</v>
      </c>
      <c r="O324" s="7">
        <f>_xlfn.XLOOKUP(A324,A323:A922,[1]Sheet3!T349:T948)</f>
        <v>12279.25</v>
      </c>
      <c r="P324" s="7">
        <f>_xlfn.XLOOKUP(A324,A323:A922,[1]Sheet3!U349:U948)</f>
        <v>4018.97</v>
      </c>
      <c r="Q324" s="11">
        <f>_xlfn.XLOOKUP(A324,A323:A922,[1]Sheet3!V349:V948)</f>
        <v>0.32729767697538531</v>
      </c>
      <c r="R324" s="7">
        <f>_xlfn.XLOOKUP(A324,A323:A922,[1]Sheet3!W349:W948)</f>
        <v>55.38</v>
      </c>
      <c r="S324" t="str">
        <f>_xlfn.XLOOKUP(A324,A323:A922,[1]Sheet3!X349:X948)</f>
        <v>UPI</v>
      </c>
      <c r="T324" s="5">
        <f>_xlfn.XLOOKUP(A324,A323:A922,[1]Sheet3!Z349:Z948)</f>
        <v>3</v>
      </c>
      <c r="U324" t="b">
        <f>_xlfn.XLOOKUP(A324,A323:A922,[1]Sheet3!AA349:AA948)</f>
        <v>0</v>
      </c>
      <c r="V324" t="str">
        <f>_xlfn.XLOOKUP(A324,A323:A922,[1]Sheet3!AC349:AC948)</f>
        <v>Delivered</v>
      </c>
      <c r="W324" s="5">
        <f>_xlfn.XLOOKUP(A324,A323:A922,[1]Sheet3!AE349:AE948)</f>
        <v>8</v>
      </c>
    </row>
    <row r="325" spans="1:23" x14ac:dyDescent="0.35">
      <c r="A325" t="s">
        <v>141</v>
      </c>
      <c r="B325" s="1">
        <f>_xlfn.XLOOKUP(A325,A324:A923,[1]Sheet3!C458:C1057)</f>
        <v>44852</v>
      </c>
      <c r="C325" t="str">
        <f>_xlfn.XLOOKUP(A325,A324:A923,[1]Sheet3!D458:D1057)</f>
        <v>CUST12074</v>
      </c>
      <c r="D325" t="str">
        <f>_xlfn.XLOOKUP(A325,A324:A923,[1]Sheet3!E458:E1057)</f>
        <v>Ritu Joshi</v>
      </c>
      <c r="E325" s="5">
        <f>_xlfn.XLOOKUP(A325,A324:A923,[1]Sheet3!G458:G1057)</f>
        <v>51</v>
      </c>
      <c r="F325" t="str">
        <f>_xlfn.XLOOKUP('Retail Sales'!A459,'Retail Sales'!A458:A1057,[1]Sheet3!H458:H1057)</f>
        <v>Senior</v>
      </c>
      <c r="G325" t="str">
        <f>_xlfn.XLOOKUP(A325,A324:A923,[1]Sheet3!J458:J1057)</f>
        <v>Female</v>
      </c>
      <c r="H325" t="str">
        <f>_xlfn.XLOOKUP(A325,A324:A923,[1]Sheet3!K458:K1057)</f>
        <v>North</v>
      </c>
      <c r="I325" t="str">
        <f>_xlfn.XLOOKUP(A325,A324:A923,[1]Sheet3!L458:L1057)</f>
        <v>Amritsar</v>
      </c>
      <c r="J325" t="str">
        <f>_xlfn.XLOOKUP(A325,A324:A923,[1]Sheet3!M458:M1057)</f>
        <v>Sports</v>
      </c>
      <c r="K325" t="str">
        <f>_xlfn.XLOOKUP('Retail Sales'!A459,'Retail Sales'!A458:A1057,[1]Sheet3!N458:N1057)</f>
        <v>Football</v>
      </c>
      <c r="L325" s="5">
        <f>_xlfn.XLOOKUP(A325,A324:A923,[1]Sheet3!P458:P1057)</f>
        <v>10</v>
      </c>
      <c r="M325" s="7">
        <f>_xlfn.XLOOKUP(A325,A324:A923,[1]Sheet3!Q458:Q1057)</f>
        <v>14562.6</v>
      </c>
      <c r="N325" s="9">
        <f>_xlfn.XLOOKUP(A325,A324:A923,[1]Sheet3!S458:S1057)</f>
        <v>0.31</v>
      </c>
      <c r="O325" s="7">
        <f>_xlfn.XLOOKUP(A325,A324:A923,[1]Sheet3!T458:T1057)</f>
        <v>86000.34</v>
      </c>
      <c r="P325" s="7">
        <f>_xlfn.XLOOKUP(A325,A324:A923,[1]Sheet3!U458:U1057)</f>
        <v>18267.52</v>
      </c>
      <c r="Q325" s="11">
        <f>_xlfn.XLOOKUP(A325,A324:A923,[1]Sheet3!V458:V1057)</f>
        <v>0.21241218348671645</v>
      </c>
      <c r="R325" s="7">
        <f>_xlfn.XLOOKUP(A325,A324:A923,[1]Sheet3!W458:W1057)</f>
        <v>33.549999999999997</v>
      </c>
      <c r="S325" t="str">
        <f>_xlfn.XLOOKUP(A325,A324:A923,[1]Sheet3!X458:X1057)</f>
        <v>Cash on Delivery</v>
      </c>
      <c r="T325" s="5">
        <f>_xlfn.XLOOKUP(A325,A324:A923,[1]Sheet3!Z458:Z1057)</f>
        <v>5</v>
      </c>
      <c r="U325" t="b">
        <f>_xlfn.XLOOKUP(A325,A324:A923,[1]Sheet3!AA458:AA1057)</f>
        <v>0</v>
      </c>
      <c r="V325" t="str">
        <f>_xlfn.XLOOKUP(A325,A324:A923,[1]Sheet3!AC458:AC1057)</f>
        <v>Delivered</v>
      </c>
      <c r="W325" s="5">
        <f>_xlfn.XLOOKUP(A325,A324:A923,[1]Sheet3!AE458:AE1057)</f>
        <v>4</v>
      </c>
    </row>
    <row r="326" spans="1:23" x14ac:dyDescent="0.35">
      <c r="A326" t="s">
        <v>134</v>
      </c>
      <c r="B326" s="1">
        <f>_xlfn.XLOOKUP(A326,A325:A924,[1]Sheet3!C465:C1064)</f>
        <v>44862</v>
      </c>
      <c r="C326" t="str">
        <f>_xlfn.XLOOKUP(A326,A325:A924,[1]Sheet3!D465:D1064)</f>
        <v>CUST35452</v>
      </c>
      <c r="D326" t="str">
        <f>_xlfn.XLOOKUP(A326,A325:A924,[1]Sheet3!E465:E1064)</f>
        <v>Rahul Singh</v>
      </c>
      <c r="E326" s="5">
        <f>_xlfn.XLOOKUP(A326,A325:A924,[1]Sheet3!G465:G1064)</f>
        <v>36</v>
      </c>
      <c r="F326" t="str">
        <f>_xlfn.XLOOKUP('Retail Sales'!A466,'Retail Sales'!A465:A1064,[1]Sheet3!H465:H1064)</f>
        <v>Adult</v>
      </c>
      <c r="G326" t="str">
        <f>_xlfn.XLOOKUP(A326,A325:A924,[1]Sheet3!J465:J1064)</f>
        <v>Female</v>
      </c>
      <c r="H326" t="str">
        <f>_xlfn.XLOOKUP(A326,A325:A924,[1]Sheet3!K465:K1064)</f>
        <v>North</v>
      </c>
      <c r="I326" t="str">
        <f>_xlfn.XLOOKUP(A326,A325:A924,[1]Sheet3!L465:L1064)</f>
        <v>Ludhiana</v>
      </c>
      <c r="J326" t="str">
        <f>_xlfn.XLOOKUP(A326,A325:A924,[1]Sheet3!M465:M1064)</f>
        <v>Electronics</v>
      </c>
      <c r="K326" t="str">
        <f>_xlfn.XLOOKUP('Retail Sales'!A466,'Retail Sales'!A465:A1064,[1]Sheet3!N465:N1064)</f>
        <v>Camera</v>
      </c>
      <c r="L326" s="5">
        <f>_xlfn.XLOOKUP(A326,A325:A924,[1]Sheet3!P465:P1064)</f>
        <v>6</v>
      </c>
      <c r="M326" s="7">
        <f>_xlfn.XLOOKUP(A326,A325:A924,[1]Sheet3!Q465:Q1064)</f>
        <v>6441.62</v>
      </c>
      <c r="N326" s="9">
        <f>_xlfn.XLOOKUP(A326,A325:A924,[1]Sheet3!S465:S1064)</f>
        <v>0.27</v>
      </c>
      <c r="O326" s="7">
        <f>_xlfn.XLOOKUP(A326,A325:A924,[1]Sheet3!T465:T1064)</f>
        <v>31528.73</v>
      </c>
      <c r="P326" s="7">
        <f>_xlfn.XLOOKUP(A326,A325:A924,[1]Sheet3!U465:U1064)</f>
        <v>5997.64</v>
      </c>
      <c r="Q326" s="11">
        <f>_xlfn.XLOOKUP(A326,A325:A924,[1]Sheet3!V465:V1064)</f>
        <v>0.19022777003704242</v>
      </c>
      <c r="R326" s="7">
        <f>_xlfn.XLOOKUP(A326,A325:A924,[1]Sheet3!W465:W1064)</f>
        <v>53.2</v>
      </c>
      <c r="S326" t="str">
        <f>_xlfn.XLOOKUP(A326,A325:A924,[1]Sheet3!X465:X1064)</f>
        <v>EMI</v>
      </c>
      <c r="T326" s="5">
        <f>_xlfn.XLOOKUP(A326,A325:A924,[1]Sheet3!Z465:Z1064)</f>
        <v>3</v>
      </c>
      <c r="U326" t="b">
        <f>_xlfn.XLOOKUP(A326,A325:A924,[1]Sheet3!AA465:AA1064)</f>
        <v>0</v>
      </c>
      <c r="V326" t="str">
        <f>_xlfn.XLOOKUP(A326,A325:A924,[1]Sheet3!AC465:AC1064)</f>
        <v>Cancelled</v>
      </c>
      <c r="W326" s="5">
        <f>_xlfn.XLOOKUP(A326,A325:A924,[1]Sheet3!AE465:AE1064)</f>
        <v>8</v>
      </c>
    </row>
    <row r="327" spans="1:23" x14ac:dyDescent="0.35">
      <c r="A327" t="s">
        <v>385</v>
      </c>
      <c r="B327" s="1">
        <f>_xlfn.XLOOKUP(A327,A326:A925,[1]Sheet3!C214:C813)</f>
        <v>44862</v>
      </c>
      <c r="C327" t="str">
        <f>_xlfn.XLOOKUP(A327,A326:A925,[1]Sheet3!D214:D813)</f>
        <v>CUST54015</v>
      </c>
      <c r="D327" t="str">
        <f>_xlfn.XLOOKUP(A327,A326:A925,[1]Sheet3!E214:E813)</f>
        <v>Shreya Rao</v>
      </c>
      <c r="E327" s="5">
        <f>_xlfn.XLOOKUP(A327,A326:A925,[1]Sheet3!G214:G813)</f>
        <v>48</v>
      </c>
      <c r="F327" t="str">
        <f>_xlfn.XLOOKUP('Retail Sales'!A215,'Retail Sales'!A214:A813,[1]Sheet3!H214:H813)</f>
        <v>Adult</v>
      </c>
      <c r="G327" t="str">
        <f>_xlfn.XLOOKUP(A327,A326:A925,[1]Sheet3!J214:J813)</f>
        <v>Female</v>
      </c>
      <c r="H327" t="str">
        <f>_xlfn.XLOOKUP(A327,A326:A925,[1]Sheet3!K214:K813)</f>
        <v>West</v>
      </c>
      <c r="I327" t="str">
        <f>_xlfn.XLOOKUP(A327,A326:A925,[1]Sheet3!L214:L813)</f>
        <v>Pune</v>
      </c>
      <c r="J327" t="str">
        <f>_xlfn.XLOOKUP(A327,A326:A925,[1]Sheet3!M214:M813)</f>
        <v>Sports</v>
      </c>
      <c r="K327" t="str">
        <f>_xlfn.XLOOKUP('Retail Sales'!A215,'Retail Sales'!A214:A813,[1]Sheet3!N214:N813)</f>
        <v>Dumbbells</v>
      </c>
      <c r="L327" s="5">
        <f>_xlfn.XLOOKUP(A327,A326:A925,[1]Sheet3!P214:P813)</f>
        <v>1</v>
      </c>
      <c r="M327" s="7">
        <f>_xlfn.XLOOKUP(A327,A326:A925,[1]Sheet3!Q214:Q813)</f>
        <v>14172.12</v>
      </c>
      <c r="N327" s="9">
        <f>_xlfn.XLOOKUP(A327,A326:A925,[1]Sheet3!S214:S813)</f>
        <v>0.14000000000000001</v>
      </c>
      <c r="O327" s="7">
        <f>_xlfn.XLOOKUP(A327,A326:A925,[1]Sheet3!T214:T813)</f>
        <v>12312.75</v>
      </c>
      <c r="P327" s="7">
        <f>_xlfn.XLOOKUP(A327,A326:A925,[1]Sheet3!U214:U813)</f>
        <v>2055.13</v>
      </c>
      <c r="Q327" s="11">
        <f>_xlfn.XLOOKUP(A327,A326:A925,[1]Sheet3!V214:V813)</f>
        <v>0.16691072262492132</v>
      </c>
      <c r="R327" s="7">
        <f>_xlfn.XLOOKUP(A327,A326:A925,[1]Sheet3!W214:W813)</f>
        <v>79.52</v>
      </c>
      <c r="S327" t="str">
        <f>_xlfn.XLOOKUP(A327,A326:A925,[1]Sheet3!X214:X813)</f>
        <v>EMI</v>
      </c>
      <c r="T327" s="5">
        <f>_xlfn.XLOOKUP(A327,A326:A925,[1]Sheet3!Z214:Z813)</f>
        <v>5</v>
      </c>
      <c r="U327" t="b">
        <f>_xlfn.XLOOKUP(A327,A326:A925,[1]Sheet3!AA214:AA813)</f>
        <v>0</v>
      </c>
      <c r="V327" t="str">
        <f>_xlfn.XLOOKUP(A327,A326:A925,[1]Sheet3!AC214:AC813)</f>
        <v>Delivered</v>
      </c>
      <c r="W327" s="5">
        <f>_xlfn.XLOOKUP(A327,A326:A925,[1]Sheet3!AE214:AE813)</f>
        <v>6</v>
      </c>
    </row>
    <row r="328" spans="1:23" x14ac:dyDescent="0.35">
      <c r="A328" t="s">
        <v>42</v>
      </c>
      <c r="B328" s="1">
        <f>_xlfn.XLOOKUP(A328,A327:A926,[1]Sheet3!C557:C1156)</f>
        <v>44862</v>
      </c>
      <c r="C328" t="str">
        <f>_xlfn.XLOOKUP(A328,A327:A926,[1]Sheet3!D557:D1156)</f>
        <v>CUST51225</v>
      </c>
      <c r="D328" t="str">
        <f>_xlfn.XLOOKUP(A328,A327:A926,[1]Sheet3!E557:E1156)</f>
        <v>Ananya Kumar</v>
      </c>
      <c r="E328" s="5">
        <f>_xlfn.XLOOKUP(A328,A327:A926,[1]Sheet3!G557:G1156)</f>
        <v>23</v>
      </c>
      <c r="F328" t="str">
        <f>_xlfn.XLOOKUP('Retail Sales'!A558,'Retail Sales'!A557:A1156,[1]Sheet3!H557:H1156)</f>
        <v>Young Adult</v>
      </c>
      <c r="G328" t="str">
        <f>_xlfn.XLOOKUP(A328,A327:A926,[1]Sheet3!J557:J1156)</f>
        <v>Other</v>
      </c>
      <c r="H328" t="str">
        <f>_xlfn.XLOOKUP(A328,A327:A926,[1]Sheet3!K557:K1156)</f>
        <v>West</v>
      </c>
      <c r="I328" t="str">
        <f>_xlfn.XLOOKUP(A328,A327:A926,[1]Sheet3!L557:L1156)</f>
        <v>Mumbai</v>
      </c>
      <c r="J328" t="str">
        <f>_xlfn.XLOOKUP(A328,A327:A926,[1]Sheet3!M557:M1156)</f>
        <v>Sports</v>
      </c>
      <c r="K328" t="str">
        <f>_xlfn.XLOOKUP('Retail Sales'!A558,'Retail Sales'!A557:A1156,[1]Sheet3!N557:N1156)</f>
        <v>Dumbbells</v>
      </c>
      <c r="L328" s="5">
        <f>_xlfn.XLOOKUP(A328,A327:A926,[1]Sheet3!P557:P1156)</f>
        <v>7.0954861111111107</v>
      </c>
      <c r="M328" s="7">
        <f>_xlfn.XLOOKUP(A328,A327:A926,[1]Sheet3!Q557:Q1156)</f>
        <v>10898.37</v>
      </c>
      <c r="N328" s="9">
        <f>_xlfn.XLOOKUP(A328,A327:A926,[1]Sheet3!S557:S1156)</f>
        <v>0.05</v>
      </c>
      <c r="O328" s="7">
        <f>_xlfn.XLOOKUP(A328,A327:A926,[1]Sheet3!T557:T1156)</f>
        <v>11714.4</v>
      </c>
      <c r="P328" s="7">
        <f>_xlfn.XLOOKUP(A328,A327:A926,[1]Sheet3!U557:U1156)</f>
        <v>2224.4699999999998</v>
      </c>
      <c r="Q328" s="11">
        <f>_xlfn.XLOOKUP(A328,A327:A926,[1]Sheet3!V557:V1156)</f>
        <v>0.18989192788363038</v>
      </c>
      <c r="R328" s="7">
        <f>_xlfn.XLOOKUP(A328,A327:A926,[1]Sheet3!W557:W1156)</f>
        <v>82.53</v>
      </c>
      <c r="S328" t="str">
        <f>_xlfn.XLOOKUP(A328,A327:A926,[1]Sheet3!X557:X1156)</f>
        <v>Debit Card</v>
      </c>
      <c r="T328" s="5">
        <f>_xlfn.XLOOKUP(A328,A327:A926,[1]Sheet3!Z557:Z1156)</f>
        <v>5</v>
      </c>
      <c r="U328" t="b">
        <f>_xlfn.XLOOKUP(A328,A327:A926,[1]Sheet3!AA557:AA1156)</f>
        <v>0</v>
      </c>
      <c r="V328" t="str">
        <f>_xlfn.XLOOKUP(A328,A327:A926,[1]Sheet3!AC557:AC1156)</f>
        <v>Cancelled</v>
      </c>
      <c r="W328" s="5">
        <f>_xlfn.XLOOKUP(A328,A327:A926,[1]Sheet3!AE557:AE1156)</f>
        <v>10</v>
      </c>
    </row>
    <row r="329" spans="1:23" x14ac:dyDescent="0.35">
      <c r="A329" t="s">
        <v>117</v>
      </c>
      <c r="B329" s="1">
        <f>_xlfn.XLOOKUP(A329,A328:A927,[1]Sheet3!C482:C1081)</f>
        <v>44863</v>
      </c>
      <c r="C329" t="str">
        <f>_xlfn.XLOOKUP(A329,A328:A927,[1]Sheet3!D482:D1081)</f>
        <v>CUST85891</v>
      </c>
      <c r="D329" t="str">
        <f>_xlfn.XLOOKUP(A329,A328:A927,[1]Sheet3!E482:E1081)</f>
        <v>Aditya Mishra</v>
      </c>
      <c r="E329" s="5">
        <f>_xlfn.XLOOKUP(A329,A328:A927,[1]Sheet3!G482:G1081)</f>
        <v>30</v>
      </c>
      <c r="F329" t="str">
        <f>_xlfn.XLOOKUP('Retail Sales'!A483,'Retail Sales'!A482:A1081,[1]Sheet3!H482:H1081)</f>
        <v>Young Adult</v>
      </c>
      <c r="G329" t="str">
        <f>_xlfn.XLOOKUP(A329,A328:A927,[1]Sheet3!J482:J1081)</f>
        <v>Male</v>
      </c>
      <c r="H329" t="str">
        <f>_xlfn.XLOOKUP(A329,A328:A927,[1]Sheet3!K482:K1081)</f>
        <v>South</v>
      </c>
      <c r="I329" t="str">
        <f>_xlfn.XLOOKUP(A329,A328:A927,[1]Sheet3!L482:L1081)</f>
        <v>Hyderabad</v>
      </c>
      <c r="J329" t="str">
        <f>_xlfn.XLOOKUP(A329,A328:A927,[1]Sheet3!M482:M1081)</f>
        <v>Books</v>
      </c>
      <c r="K329" t="str">
        <f>_xlfn.XLOOKUP('Retail Sales'!A483,'Retail Sales'!A482:A1081,[1]Sheet3!N482:N1081)</f>
        <v>Self-Help Book</v>
      </c>
      <c r="L329" s="5">
        <f>_xlfn.XLOOKUP(A329,A328:A927,[1]Sheet3!P482:P1081)</f>
        <v>10</v>
      </c>
      <c r="M329" s="7">
        <f>_xlfn.XLOOKUP(A329,A328:A927,[1]Sheet3!Q482:Q1081)</f>
        <v>1494.95</v>
      </c>
      <c r="N329" s="9">
        <f>_xlfn.XLOOKUP(A329,A328:A927,[1]Sheet3!S482:S1081)</f>
        <v>0.38</v>
      </c>
      <c r="O329" s="7">
        <f>_xlfn.XLOOKUP(A329,A328:A927,[1]Sheet3!T482:T1081)</f>
        <v>9412.99</v>
      </c>
      <c r="P329" s="7">
        <f>_xlfn.XLOOKUP(A329,A328:A927,[1]Sheet3!U482:U1081)</f>
        <v>4806.7700000000004</v>
      </c>
      <c r="Q329" s="11">
        <f>_xlfn.XLOOKUP(A329,A328:A927,[1]Sheet3!V482:V1081)</f>
        <v>0.5106528318844491</v>
      </c>
      <c r="R329" s="7">
        <f>_xlfn.XLOOKUP(A329,A328:A927,[1]Sheet3!W482:W1081)</f>
        <v>81.37</v>
      </c>
      <c r="S329" t="str">
        <f>_xlfn.XLOOKUP(A329,A328:A927,[1]Sheet3!X482:X1081)</f>
        <v>Credit Card</v>
      </c>
      <c r="T329" s="5">
        <f>_xlfn.XLOOKUP(A329,A328:A927,[1]Sheet3!Z482:Z1081)</f>
        <v>3</v>
      </c>
      <c r="U329" t="b">
        <f>_xlfn.XLOOKUP(A329,A328:A927,[1]Sheet3!AA482:AA1081)</f>
        <v>1</v>
      </c>
      <c r="V329" t="str">
        <f>_xlfn.XLOOKUP(A329,A328:A927,[1]Sheet3!AC482:AC1081)</f>
        <v>Returned</v>
      </c>
      <c r="W329" s="5">
        <f>_xlfn.XLOOKUP(A329,A328:A927,[1]Sheet3!AE482:AE1081)</f>
        <v>6</v>
      </c>
    </row>
    <row r="330" spans="1:23" x14ac:dyDescent="0.35">
      <c r="A330" t="s">
        <v>323</v>
      </c>
      <c r="B330" s="1">
        <f>_xlfn.XLOOKUP(A330,A329:A928,[1]Sheet3!C276:C875)</f>
        <v>44866</v>
      </c>
      <c r="C330" t="str">
        <f>_xlfn.XLOOKUP(A330,A329:A928,[1]Sheet3!D276:D875)</f>
        <v>CUST38274</v>
      </c>
      <c r="D330" t="str">
        <f>_xlfn.XLOOKUP(A330,A329:A928,[1]Sheet3!E276:E875)</f>
        <v>Ananya Shah</v>
      </c>
      <c r="E330" s="5">
        <f>_xlfn.XLOOKUP(A330,A329:A928,[1]Sheet3!G276:G875)</f>
        <v>27</v>
      </c>
      <c r="F330" t="str">
        <f>_xlfn.XLOOKUP('Retail Sales'!A277,'Retail Sales'!A276:A875,[1]Sheet3!H276:H875)</f>
        <v>Young Adult</v>
      </c>
      <c r="G330" t="str">
        <f>_xlfn.XLOOKUP(A330,A329:A928,[1]Sheet3!J276:J875)</f>
        <v>Female</v>
      </c>
      <c r="H330" t="str">
        <f>_xlfn.XLOOKUP(A330,A329:A928,[1]Sheet3!K276:K875)</f>
        <v>West</v>
      </c>
      <c r="I330" t="str">
        <f>_xlfn.XLOOKUP(A330,A329:A928,[1]Sheet3!L276:L875)</f>
        <v>Pune</v>
      </c>
      <c r="J330" t="str">
        <f>_xlfn.XLOOKUP(A330,A329:A928,[1]Sheet3!M276:M875)</f>
        <v>Beauty</v>
      </c>
      <c r="K330" t="str">
        <f>_xlfn.XLOOKUP('Retail Sales'!A277,'Retail Sales'!A276:A875,[1]Sheet3!N276:N875)</f>
        <v>Lipstick</v>
      </c>
      <c r="L330" s="5">
        <f>_xlfn.XLOOKUP(A330,A329:A928,[1]Sheet3!P276:P875)</f>
        <v>6</v>
      </c>
      <c r="M330" s="7">
        <f>_xlfn.XLOOKUP(A330,A329:A928,[1]Sheet3!Q276:Q875)</f>
        <v>835.52</v>
      </c>
      <c r="N330" s="9">
        <f>_xlfn.XLOOKUP(A330,A329:A928,[1]Sheet3!S276:S875)</f>
        <v>0.01</v>
      </c>
      <c r="O330" s="7">
        <f>_xlfn.XLOOKUP(A330,A329:A928,[1]Sheet3!T276:T875)</f>
        <v>4761.71</v>
      </c>
      <c r="P330" s="7">
        <f>_xlfn.XLOOKUP(A330,A329:A928,[1]Sheet3!U276:U875)</f>
        <v>1237.08</v>
      </c>
      <c r="Q330" s="11">
        <f>_xlfn.XLOOKUP(A330,A329:A928,[1]Sheet3!V276:V875)</f>
        <v>0.2597974257147117</v>
      </c>
      <c r="R330" s="7">
        <f>_xlfn.XLOOKUP(A330,A329:A928,[1]Sheet3!W276:W875)</f>
        <v>54.35</v>
      </c>
      <c r="S330" t="str">
        <f>_xlfn.XLOOKUP(A330,A329:A928,[1]Sheet3!X276:X875)</f>
        <v>Cash on Delivery</v>
      </c>
      <c r="T330" s="5">
        <f>_xlfn.XLOOKUP(A330,A329:A928,[1]Sheet3!Z276:Z875)</f>
        <v>3</v>
      </c>
      <c r="U330" t="b">
        <f>_xlfn.XLOOKUP(A330,A329:A928,[1]Sheet3!AA276:AA875)</f>
        <v>0</v>
      </c>
      <c r="V330" t="str">
        <f>_xlfn.XLOOKUP(A330,A329:A928,[1]Sheet3!AC276:AC875)</f>
        <v>Delivered</v>
      </c>
      <c r="W330" s="5">
        <f>_xlfn.XLOOKUP(A330,A329:A928,[1]Sheet3!AE276:AE875)</f>
        <v>2</v>
      </c>
    </row>
    <row r="331" spans="1:23" x14ac:dyDescent="0.35">
      <c r="A331" t="s">
        <v>505</v>
      </c>
      <c r="B331" s="1">
        <f>_xlfn.XLOOKUP(A331,A330:A929,[1]Sheet3!C94:C693)</f>
        <v>44866</v>
      </c>
      <c r="C331" t="str">
        <f>_xlfn.XLOOKUP(A331,A330:A929,[1]Sheet3!D94:D693)</f>
        <v>CUST63245</v>
      </c>
      <c r="D331" t="str">
        <f>_xlfn.XLOOKUP(A331,A330:A929,[1]Sheet3!E94:E693)</f>
        <v>Ananya Verma</v>
      </c>
      <c r="E331" s="5">
        <f>_xlfn.XLOOKUP(A331,A330:A929,[1]Sheet3!G94:G693)</f>
        <v>29</v>
      </c>
      <c r="F331" t="str">
        <f>_xlfn.XLOOKUP('Retail Sales'!A95,'Retail Sales'!A94:A693,[1]Sheet3!H94:H693)</f>
        <v>Young Adult</v>
      </c>
      <c r="G331" t="str">
        <f>_xlfn.XLOOKUP(A331,A330:A929,[1]Sheet3!J94:J693)</f>
        <v>Male</v>
      </c>
      <c r="H331" t="str">
        <f>_xlfn.XLOOKUP(A331,A330:A929,[1]Sheet3!K94:K693)</f>
        <v>Central</v>
      </c>
      <c r="I331" t="str">
        <f>_xlfn.XLOOKUP(A331,A330:A929,[1]Sheet3!L94:L693)</f>
        <v>Indore</v>
      </c>
      <c r="J331" t="str">
        <f>_xlfn.XLOOKUP(A331,A330:A929,[1]Sheet3!M94:M693)</f>
        <v>Books</v>
      </c>
      <c r="K331" t="str">
        <f>_xlfn.XLOOKUP('Retail Sales'!A95,'Retail Sales'!A94:A693,[1]Sheet3!N94:N693)</f>
        <v>Textbook</v>
      </c>
      <c r="L331" s="5">
        <f>_xlfn.XLOOKUP(A331,A330:A929,[1]Sheet3!P94:P693)</f>
        <v>4</v>
      </c>
      <c r="M331" s="7">
        <f>_xlfn.XLOOKUP(A331,A330:A929,[1]Sheet3!Q94:Q693)</f>
        <v>1320.32</v>
      </c>
      <c r="N331" s="9">
        <f>_xlfn.XLOOKUP(A331,A330:A929,[1]Sheet3!S94:S693)</f>
        <v>0.01</v>
      </c>
      <c r="O331" s="7">
        <f>_xlfn.XLOOKUP(A331,A330:A929,[1]Sheet3!T94:T693)</f>
        <v>4535.42</v>
      </c>
      <c r="P331" s="7">
        <f>_xlfn.XLOOKUP(A331,A330:A929,[1]Sheet3!U94:U693)</f>
        <v>950.65</v>
      </c>
      <c r="Q331" s="11">
        <f>_xlfn.XLOOKUP(A331,A330:A929,[1]Sheet3!V94:V693)</f>
        <v>0.20960572559983418</v>
      </c>
      <c r="R331" s="7">
        <f>_xlfn.XLOOKUP(A331,A330:A929,[1]Sheet3!W94:W693)</f>
        <v>39.090000000000003</v>
      </c>
      <c r="S331" t="str">
        <f>_xlfn.XLOOKUP(A331,A330:A929,[1]Sheet3!X94:X693)</f>
        <v>Debit Card</v>
      </c>
      <c r="T331" s="5">
        <f>_xlfn.XLOOKUP(A331,A330:A929,[1]Sheet3!Z94:Z693)</f>
        <v>3</v>
      </c>
      <c r="U331" t="b">
        <f>_xlfn.XLOOKUP(A331,A330:A929,[1]Sheet3!AA94:AA693)</f>
        <v>0</v>
      </c>
      <c r="V331" t="str">
        <f>_xlfn.XLOOKUP(A331,A330:A929,[1]Sheet3!AC94:AC693)</f>
        <v>Delivered</v>
      </c>
      <c r="W331" s="5">
        <f>_xlfn.XLOOKUP(A331,A330:A929,[1]Sheet3!AE94:AE693)</f>
        <v>5</v>
      </c>
    </row>
    <row r="332" spans="1:23" x14ac:dyDescent="0.35">
      <c r="A332" t="s">
        <v>100</v>
      </c>
      <c r="B332" s="1">
        <f>_xlfn.XLOOKUP(A332,A331:A930,[1]Sheet3!C499:C1098)</f>
        <v>44867</v>
      </c>
      <c r="C332" t="str">
        <f>_xlfn.XLOOKUP(A332,A331:A930,[1]Sheet3!D499:D1098)</f>
        <v>CUST53890</v>
      </c>
      <c r="D332" t="str">
        <f>_xlfn.XLOOKUP(A332,A331:A930,[1]Sheet3!E499:E1098)</f>
        <v>Kavya Kapoor</v>
      </c>
      <c r="E332" s="5">
        <f>_xlfn.XLOOKUP(A332,A331:A930,[1]Sheet3!G499:G1098)</f>
        <v>46</v>
      </c>
      <c r="F332" t="str">
        <f>_xlfn.XLOOKUP('Retail Sales'!A500,'Retail Sales'!A499:A1098,[1]Sheet3!H499:H1098)</f>
        <v>Adult</v>
      </c>
      <c r="G332" t="str">
        <f>_xlfn.XLOOKUP(A332,A331:A930,[1]Sheet3!J499:J1098)</f>
        <v>Other</v>
      </c>
      <c r="H332" t="str">
        <f>_xlfn.XLOOKUP(A332,A331:A930,[1]Sheet3!K499:K1098)</f>
        <v>North</v>
      </c>
      <c r="I332" t="str">
        <f>_xlfn.XLOOKUP(A332,A331:A930,[1]Sheet3!L499:L1098)</f>
        <v>Chandigarh</v>
      </c>
      <c r="J332" t="str">
        <f>_xlfn.XLOOKUP(A332,A331:A930,[1]Sheet3!M499:M1098)</f>
        <v>Clothing</v>
      </c>
      <c r="K332" t="str">
        <f>_xlfn.XLOOKUP('Retail Sales'!A500,'Retail Sales'!A499:A1098,[1]Sheet3!N499:N1098)</f>
        <v>Dress</v>
      </c>
      <c r="L332" s="5">
        <f>_xlfn.XLOOKUP(A332,A331:A930,[1]Sheet3!P499:P1098)</f>
        <v>3</v>
      </c>
      <c r="M332" s="7">
        <f>_xlfn.XLOOKUP(A332,A331:A930,[1]Sheet3!Q499:Q1098)</f>
        <v>1457.48</v>
      </c>
      <c r="N332" s="9">
        <f>_xlfn.XLOOKUP(A332,A331:A930,[1]Sheet3!S499:S1098)</f>
        <v>0.04</v>
      </c>
      <c r="O332" s="7">
        <f>_xlfn.XLOOKUP(A332,A331:A930,[1]Sheet3!T499:T1098)</f>
        <v>3326.03</v>
      </c>
      <c r="P332" s="7">
        <f>_xlfn.XLOOKUP(A332,A331:A930,[1]Sheet3!U499:U1098)</f>
        <v>1139.23</v>
      </c>
      <c r="Q332" s="11">
        <f>_xlfn.XLOOKUP(A332,A331:A930,[1]Sheet3!V499:V1098)</f>
        <v>0.3425194601371605</v>
      </c>
      <c r="R332" s="7">
        <f>_xlfn.XLOOKUP(A332,A331:A930,[1]Sheet3!W499:W1098)</f>
        <v>47.06</v>
      </c>
      <c r="S332" t="str">
        <f>_xlfn.XLOOKUP(A332,A331:A930,[1]Sheet3!X499:X1098)</f>
        <v>Credit Card</v>
      </c>
      <c r="T332" s="5">
        <f>_xlfn.XLOOKUP(A332,A331:A930,[1]Sheet3!Z499:Z1098)</f>
        <v>5</v>
      </c>
      <c r="U332" t="b">
        <f>_xlfn.XLOOKUP(A332,A331:A930,[1]Sheet3!AA499:AA1098)</f>
        <v>0</v>
      </c>
      <c r="V332" t="str">
        <f>_xlfn.XLOOKUP(A332,A331:A930,[1]Sheet3!AC499:AC1098)</f>
        <v>Delivered</v>
      </c>
      <c r="W332" s="5">
        <f>_xlfn.XLOOKUP(A332,A331:A930,[1]Sheet3!AE499:AE1098)</f>
        <v>10</v>
      </c>
    </row>
    <row r="333" spans="1:23" x14ac:dyDescent="0.35">
      <c r="A333" t="s">
        <v>369</v>
      </c>
      <c r="B333" s="1">
        <f>_xlfn.XLOOKUP(A333,A332:A931,[1]Sheet3!C230:C829)</f>
        <v>44869</v>
      </c>
      <c r="C333" t="str">
        <f>_xlfn.XLOOKUP(A333,A332:A931,[1]Sheet3!D230:D829)</f>
        <v>CUST21465</v>
      </c>
      <c r="D333" t="str">
        <f>_xlfn.XLOOKUP(A333,A332:A931,[1]Sheet3!E230:E829)</f>
        <v>Pooja Kumar</v>
      </c>
      <c r="E333" s="5">
        <f>_xlfn.XLOOKUP(A333,A332:A931,[1]Sheet3!G230:G829)</f>
        <v>33</v>
      </c>
      <c r="F333" t="str">
        <f>_xlfn.XLOOKUP('Retail Sales'!A231,'Retail Sales'!A230:A829,[1]Sheet3!H230:H829)</f>
        <v>Young Adult</v>
      </c>
      <c r="G333" t="str">
        <f>_xlfn.XLOOKUP(A333,A332:A931,[1]Sheet3!J230:J829)</f>
        <v>Female</v>
      </c>
      <c r="H333" t="str">
        <f>_xlfn.XLOOKUP(A333,A332:A931,[1]Sheet3!K230:K829)</f>
        <v>West</v>
      </c>
      <c r="I333" t="str">
        <f>_xlfn.XLOOKUP(A333,A332:A931,[1]Sheet3!L230:L829)</f>
        <v>Ahmedabad</v>
      </c>
      <c r="J333" t="str">
        <f>_xlfn.XLOOKUP(A333,A332:A931,[1]Sheet3!M230:M829)</f>
        <v>Clothing</v>
      </c>
      <c r="K333" t="str">
        <f>_xlfn.XLOOKUP('Retail Sales'!A231,'Retail Sales'!A230:A829,[1]Sheet3!N230:N829)</f>
        <v>Saree</v>
      </c>
      <c r="L333" s="5">
        <f>_xlfn.XLOOKUP(A333,A332:A931,[1]Sheet3!P230:P829)</f>
        <v>7</v>
      </c>
      <c r="M333" s="7">
        <f>_xlfn.XLOOKUP(A333,A332:A931,[1]Sheet3!Q230:Q829)</f>
        <v>525.25</v>
      </c>
      <c r="N333" s="9">
        <f>_xlfn.XLOOKUP(A333,A332:A931,[1]Sheet3!S230:S829)</f>
        <v>0.03</v>
      </c>
      <c r="O333" s="7">
        <f>_xlfn.XLOOKUP(A333,A332:A931,[1]Sheet3!T230:T829)</f>
        <v>3229.98</v>
      </c>
      <c r="P333" s="7">
        <f>_xlfn.XLOOKUP(A333,A332:A931,[1]Sheet3!U230:U829)</f>
        <v>1218.3900000000001</v>
      </c>
      <c r="Q333" s="11">
        <f>_xlfn.XLOOKUP(A333,A332:A931,[1]Sheet3!V230:V829)</f>
        <v>0.37721286199914555</v>
      </c>
      <c r="R333" s="7">
        <f>_xlfn.XLOOKUP(A333,A332:A931,[1]Sheet3!W230:W829)</f>
        <v>48.82</v>
      </c>
      <c r="S333" t="str">
        <f>_xlfn.XLOOKUP(A333,A332:A931,[1]Sheet3!X230:X829)</f>
        <v>UPI</v>
      </c>
      <c r="T333" s="5">
        <f>_xlfn.XLOOKUP(A333,A332:A931,[1]Sheet3!Z230:Z829)</f>
        <v>4</v>
      </c>
      <c r="U333" t="b">
        <f>_xlfn.XLOOKUP(A333,A332:A931,[1]Sheet3!AA230:AA829)</f>
        <v>0</v>
      </c>
      <c r="V333" t="str">
        <f>_xlfn.XLOOKUP(A333,A332:A931,[1]Sheet3!AC230:AC829)</f>
        <v>Delivered</v>
      </c>
      <c r="W333" s="5">
        <f>_xlfn.XLOOKUP(A333,A332:A931,[1]Sheet3!AE230:AE829)</f>
        <v>8</v>
      </c>
    </row>
    <row r="334" spans="1:23" x14ac:dyDescent="0.35">
      <c r="A334" t="s">
        <v>227</v>
      </c>
      <c r="B334" s="1">
        <f>_xlfn.XLOOKUP(A334,A333:A932,[1]Sheet3!C372:C971)</f>
        <v>44871</v>
      </c>
      <c r="C334" t="str">
        <f>_xlfn.XLOOKUP(A334,A333:A932,[1]Sheet3!D372:D971)</f>
        <v>CUST13324</v>
      </c>
      <c r="D334" t="str">
        <f>_xlfn.XLOOKUP(A334,A333:A932,[1]Sheet3!E372:E971)</f>
        <v>Sanjay Iyer</v>
      </c>
      <c r="E334" s="5">
        <f>_xlfn.XLOOKUP(A334,A333:A932,[1]Sheet3!G372:G971)</f>
        <v>31</v>
      </c>
      <c r="F334" t="str">
        <f>_xlfn.XLOOKUP('Retail Sales'!A373,'Retail Sales'!A372:A971,[1]Sheet3!H372:H971)</f>
        <v>Young Adult</v>
      </c>
      <c r="G334" t="str">
        <f>_xlfn.XLOOKUP(A334,A333:A932,[1]Sheet3!J372:J971)</f>
        <v>Other</v>
      </c>
      <c r="H334" t="str">
        <f>_xlfn.XLOOKUP(A334,A333:A932,[1]Sheet3!K372:K971)</f>
        <v>North</v>
      </c>
      <c r="I334" t="str">
        <f>_xlfn.XLOOKUP(A334,A333:A932,[1]Sheet3!L372:L971)</f>
        <v>Delhi</v>
      </c>
      <c r="J334" t="str">
        <f>_xlfn.XLOOKUP(A334,A333:A932,[1]Sheet3!M372:M971)</f>
        <v>Groceries</v>
      </c>
      <c r="K334" t="str">
        <f>_xlfn.XLOOKUP('Retail Sales'!A373,'Retail Sales'!A372:A971,[1]Sheet3!N372:N971)</f>
        <v>Tea</v>
      </c>
      <c r="L334" s="5">
        <f>_xlfn.XLOOKUP(A334,A333:A932,[1]Sheet3!P372:P971)</f>
        <v>8</v>
      </c>
      <c r="M334" s="7">
        <f>_xlfn.XLOOKUP(A334,A333:A932,[1]Sheet3!Q372:Q971)</f>
        <v>163.97</v>
      </c>
      <c r="N334" s="9">
        <f>_xlfn.XLOOKUP(A334,A333:A932,[1]Sheet3!S372:S971)</f>
        <v>0.16</v>
      </c>
      <c r="O334" s="7">
        <f>_xlfn.XLOOKUP(A334,A333:A932,[1]Sheet3!T372:T971)</f>
        <v>1055.3399999999999</v>
      </c>
      <c r="P334" s="7">
        <f>_xlfn.XLOOKUP(A334,A333:A932,[1]Sheet3!U372:U971)</f>
        <v>91.59</v>
      </c>
      <c r="Q334" s="11">
        <f>_xlfn.XLOOKUP(A334,A333:A932,[1]Sheet3!V372:V971)</f>
        <v>8.6787196543294115E-2</v>
      </c>
      <c r="R334" s="7">
        <f>_xlfn.XLOOKUP(A334,A333:A932,[1]Sheet3!W372:W971)</f>
        <v>24.74</v>
      </c>
      <c r="S334" t="str">
        <f>_xlfn.XLOOKUP(A334,A333:A932,[1]Sheet3!X372:X971)</f>
        <v>Debit Card</v>
      </c>
      <c r="T334" s="5">
        <f>_xlfn.XLOOKUP(A334,A333:A932,[1]Sheet3!Z372:Z971)</f>
        <v>4</v>
      </c>
      <c r="U334" t="b">
        <f>_xlfn.XLOOKUP(A334,A333:A932,[1]Sheet3!AA372:AA971)</f>
        <v>0</v>
      </c>
      <c r="V334" t="str">
        <f>_xlfn.XLOOKUP(A334,A333:A932,[1]Sheet3!AC372:AC971)</f>
        <v>Shipped</v>
      </c>
      <c r="W334" s="5">
        <f>_xlfn.XLOOKUP(A334,A333:A932,[1]Sheet3!AE372:AE971)</f>
        <v>8</v>
      </c>
    </row>
    <row r="335" spans="1:23" x14ac:dyDescent="0.35">
      <c r="A335" t="s">
        <v>242</v>
      </c>
      <c r="B335" s="1">
        <f>_xlfn.XLOOKUP(A335,A334:A933,[1]Sheet3!C357:C956)</f>
        <v>44873</v>
      </c>
      <c r="C335" t="str">
        <f>_xlfn.XLOOKUP(A335,A334:A933,[1]Sheet3!D357:D956)</f>
        <v>CUST04556</v>
      </c>
      <c r="D335" t="str">
        <f>_xlfn.XLOOKUP(A335,A334:A933,[1]Sheet3!E357:E956)</f>
        <v>Amit Shah</v>
      </c>
      <c r="E335" s="5">
        <f>_xlfn.XLOOKUP(A335,A334:A933,[1]Sheet3!G357:G956)</f>
        <v>43</v>
      </c>
      <c r="F335" t="str">
        <f>_xlfn.XLOOKUP('Retail Sales'!A358,'Retail Sales'!A357:A956,[1]Sheet3!H357:H956)</f>
        <v>Adult</v>
      </c>
      <c r="G335" t="str">
        <f>_xlfn.XLOOKUP(A335,A334:A933,[1]Sheet3!J357:J956)</f>
        <v>Male</v>
      </c>
      <c r="H335" t="str">
        <f>_xlfn.XLOOKUP(A335,A334:A933,[1]Sheet3!K357:K956)</f>
        <v>East</v>
      </c>
      <c r="I335" t="str">
        <f>_xlfn.XLOOKUP(A335,A334:A933,[1]Sheet3!L357:L956)</f>
        <v>Kolkata</v>
      </c>
      <c r="J335" t="str">
        <f>_xlfn.XLOOKUP(A335,A334:A933,[1]Sheet3!M357:M956)</f>
        <v>Electronics</v>
      </c>
      <c r="K335" t="str">
        <f>_xlfn.XLOOKUP('Retail Sales'!A358,'Retail Sales'!A357:A956,[1]Sheet3!N357:N956)</f>
        <v>Laptop</v>
      </c>
      <c r="L335" s="5">
        <f>_xlfn.XLOOKUP(A335,A334:A933,[1]Sheet3!P357:P956)</f>
        <v>9</v>
      </c>
      <c r="M335" s="7">
        <f>_xlfn.XLOOKUP(A335,A334:A933,[1]Sheet3!Q357:Q956)</f>
        <v>33801.96</v>
      </c>
      <c r="N335" s="9">
        <f>_xlfn.XLOOKUP(A335,A334:A933,[1]Sheet3!S357:S956)</f>
        <v>0.4</v>
      </c>
      <c r="O335" s="7">
        <f>_xlfn.XLOOKUP(A335,A334:A933,[1]Sheet3!T357:T956)</f>
        <v>175761.72</v>
      </c>
      <c r="P335" s="7">
        <f>_xlfn.XLOOKUP(A335,A334:A933,[1]Sheet3!U357:U956)</f>
        <v>23971.25</v>
      </c>
      <c r="Q335" s="11">
        <f>_xlfn.XLOOKUP(A335,A334:A933,[1]Sheet3!V357:V956)</f>
        <v>0.13638493068911706</v>
      </c>
      <c r="R335" s="7">
        <f>_xlfn.XLOOKUP(A335,A334:A933,[1]Sheet3!W357:W956)</f>
        <v>95.97</v>
      </c>
      <c r="S335" t="str">
        <f>_xlfn.XLOOKUP(A335,A334:A933,[1]Sheet3!X357:X956)</f>
        <v>Cash on Delivery</v>
      </c>
      <c r="T335" s="5">
        <f>_xlfn.XLOOKUP(A335,A334:A933,[1]Sheet3!Z357:Z956)</f>
        <v>3</v>
      </c>
      <c r="U335" t="b">
        <f>_xlfn.XLOOKUP(A335,A334:A933,[1]Sheet3!AA357:AA956)</f>
        <v>1</v>
      </c>
      <c r="V335" t="str">
        <f>_xlfn.XLOOKUP(A335,A334:A933,[1]Sheet3!AC357:AC956)</f>
        <v>Returned</v>
      </c>
      <c r="W335" s="5">
        <f>_xlfn.XLOOKUP(A335,A334:A933,[1]Sheet3!AE357:AE956)</f>
        <v>7</v>
      </c>
    </row>
    <row r="336" spans="1:23" x14ac:dyDescent="0.35">
      <c r="A336" t="s">
        <v>501</v>
      </c>
      <c r="B336" s="1">
        <f>_xlfn.XLOOKUP(A336,A335:A934,[1]Sheet3!C98:C697)</f>
        <v>44885</v>
      </c>
      <c r="C336" t="str">
        <f>_xlfn.XLOOKUP(A336,A335:A934,[1]Sheet3!D98:D697)</f>
        <v>CUST85190</v>
      </c>
      <c r="D336" t="str">
        <f>_xlfn.XLOOKUP(A336,A335:A934,[1]Sheet3!E98:E697)</f>
        <v>Nikhil Patel</v>
      </c>
      <c r="E336" s="5">
        <f>_xlfn.XLOOKUP(A336,A335:A934,[1]Sheet3!G98:G697)</f>
        <v>45</v>
      </c>
      <c r="F336" t="str">
        <f>_xlfn.XLOOKUP('Retail Sales'!A99,'Retail Sales'!A98:A697,[1]Sheet3!H98:H697)</f>
        <v>Adult</v>
      </c>
      <c r="G336" t="str">
        <f>_xlfn.XLOOKUP(A336,A335:A934,[1]Sheet3!J98:J697)</f>
        <v>Other</v>
      </c>
      <c r="H336" t="str">
        <f>_xlfn.XLOOKUP(A336,A335:A934,[1]Sheet3!K98:K697)</f>
        <v>West</v>
      </c>
      <c r="I336" t="str">
        <f>_xlfn.XLOOKUP(A336,A335:A934,[1]Sheet3!L98:L697)</f>
        <v>Surat</v>
      </c>
      <c r="J336" t="str">
        <f>_xlfn.XLOOKUP(A336,A335:A934,[1]Sheet3!M98:M697)</f>
        <v>Electronics</v>
      </c>
      <c r="K336" t="str">
        <f>_xlfn.XLOOKUP('Retail Sales'!A99,'Retail Sales'!A98:A697,[1]Sheet3!N98:N697)</f>
        <v>Tablet</v>
      </c>
      <c r="L336" s="5">
        <f>_xlfn.XLOOKUP(A336,A335:A934,[1]Sheet3!P98:P697)</f>
        <v>4</v>
      </c>
      <c r="M336" s="7">
        <f>_xlfn.XLOOKUP(A336,A335:A934,[1]Sheet3!Q98:Q697)</f>
        <v>73017.83</v>
      </c>
      <c r="N336" s="9">
        <f>_xlfn.XLOOKUP(A336,A335:A934,[1]Sheet3!S98:S697)</f>
        <v>0.22</v>
      </c>
      <c r="O336" s="7">
        <f>_xlfn.XLOOKUP(A336,A335:A934,[1]Sheet3!T98:T697)</f>
        <v>192150.99</v>
      </c>
      <c r="P336" s="7">
        <f>_xlfn.XLOOKUP(A336,A335:A934,[1]Sheet3!U98:U697)</f>
        <v>23288.67</v>
      </c>
      <c r="Q336" s="11">
        <f>_xlfn.XLOOKUP(A336,A335:A934,[1]Sheet3!V98:V697)</f>
        <v>0.12119984393523031</v>
      </c>
      <c r="R336" s="7">
        <f>_xlfn.XLOOKUP(A336,A335:A934,[1]Sheet3!W98:W697)</f>
        <v>32.14</v>
      </c>
      <c r="S336" t="str">
        <f>_xlfn.XLOOKUP(A336,A335:A934,[1]Sheet3!X98:X697)</f>
        <v>Credit Card</v>
      </c>
      <c r="T336" s="5">
        <f>_xlfn.XLOOKUP(A336,A335:A934,[1]Sheet3!Z98:Z697)</f>
        <v>3</v>
      </c>
      <c r="U336" t="b">
        <f>_xlfn.XLOOKUP(A336,A335:A934,[1]Sheet3!AA98:AA697)</f>
        <v>0</v>
      </c>
      <c r="V336" t="str">
        <f>_xlfn.XLOOKUP(A336,A335:A934,[1]Sheet3!AC98:AC697)</f>
        <v>Delivered</v>
      </c>
      <c r="W336" s="5">
        <f>_xlfn.XLOOKUP(A336,A335:A934,[1]Sheet3!AE98:AE697)</f>
        <v>8</v>
      </c>
    </row>
    <row r="337" spans="1:23" x14ac:dyDescent="0.35">
      <c r="A337" t="s">
        <v>257</v>
      </c>
      <c r="B337" s="1">
        <f>_xlfn.XLOOKUP(A337,A336:A935,[1]Sheet3!C342:C941)</f>
        <v>44893</v>
      </c>
      <c r="C337" t="str">
        <f>_xlfn.XLOOKUP(A337,A336:A935,[1]Sheet3!D342:D941)</f>
        <v>CUST71240</v>
      </c>
      <c r="D337" t="str">
        <f>_xlfn.XLOOKUP(A337,A336:A935,[1]Sheet3!E342:E941)</f>
        <v>Pooja Sharma</v>
      </c>
      <c r="E337" s="5">
        <f>_xlfn.XLOOKUP(A337,A336:A935,[1]Sheet3!G342:G941)</f>
        <v>30</v>
      </c>
      <c r="F337" t="str">
        <f>_xlfn.XLOOKUP('Retail Sales'!A343,'Retail Sales'!A342:A941,[1]Sheet3!H342:H941)</f>
        <v>Young Adult</v>
      </c>
      <c r="G337" t="str">
        <f>_xlfn.XLOOKUP(A337,A336:A935,[1]Sheet3!J342:J941)</f>
        <v>Other</v>
      </c>
      <c r="H337" t="str">
        <f>_xlfn.XLOOKUP(A337,A336:A935,[1]Sheet3!K342:K941)</f>
        <v>North</v>
      </c>
      <c r="I337" t="str">
        <f>_xlfn.XLOOKUP(A337,A336:A935,[1]Sheet3!L342:L941)</f>
        <v>Chandigarh</v>
      </c>
      <c r="J337" t="str">
        <f>_xlfn.XLOOKUP(A337,A336:A935,[1]Sheet3!M342:M941)</f>
        <v>Books</v>
      </c>
      <c r="K337" t="str">
        <f>_xlfn.XLOOKUP('Retail Sales'!A343,'Retail Sales'!A342:A941,[1]Sheet3!N342:N941)</f>
        <v>Fiction Novel</v>
      </c>
      <c r="L337" s="5">
        <f>_xlfn.XLOOKUP(A337,A336:A935,[1]Sheet3!P342:P941)</f>
        <v>5</v>
      </c>
      <c r="M337" s="7">
        <f>_xlfn.XLOOKUP(A337,A336:A935,[1]Sheet3!Q342:Q941)</f>
        <v>1175.29</v>
      </c>
      <c r="N337" s="9">
        <f>_xlfn.XLOOKUP(A337,A336:A935,[1]Sheet3!S342:S941)</f>
        <v>0.36</v>
      </c>
      <c r="O337" s="7">
        <f>_xlfn.XLOOKUP(A337,A336:A935,[1]Sheet3!T342:T941)</f>
        <v>3025.64</v>
      </c>
      <c r="P337" s="7">
        <f>_xlfn.XLOOKUP(A337,A336:A935,[1]Sheet3!U342:U941)</f>
        <v>1294.96</v>
      </c>
      <c r="Q337" s="11">
        <f>_xlfn.XLOOKUP(A337,A336:A935,[1]Sheet3!V342:V941)</f>
        <v>0.42799539932047437</v>
      </c>
      <c r="R337" s="7">
        <f>_xlfn.XLOOKUP(A337,A336:A935,[1]Sheet3!W342:W941)</f>
        <v>66.209999999999994</v>
      </c>
      <c r="S337" t="str">
        <f>_xlfn.XLOOKUP(A337,A336:A935,[1]Sheet3!X342:X941)</f>
        <v>Net Banking</v>
      </c>
      <c r="T337" s="5">
        <f>_xlfn.XLOOKUP(A337,A336:A935,[1]Sheet3!Z342:Z941)</f>
        <v>2</v>
      </c>
      <c r="U337" t="b">
        <f>_xlfn.XLOOKUP(A337,A336:A935,[1]Sheet3!AA342:AA941)</f>
        <v>0</v>
      </c>
      <c r="V337" t="str">
        <f>_xlfn.XLOOKUP(A337,A336:A935,[1]Sheet3!AC342:AC941)</f>
        <v>Delivered</v>
      </c>
      <c r="W337" s="5">
        <f>_xlfn.XLOOKUP(A337,A336:A935,[1]Sheet3!AE342:AE941)</f>
        <v>4</v>
      </c>
    </row>
    <row r="338" spans="1:23" x14ac:dyDescent="0.35">
      <c r="A338" t="s">
        <v>324</v>
      </c>
      <c r="B338" s="1">
        <f>_xlfn.XLOOKUP(A338,A337:A936,[1]Sheet3!C275:C874)</f>
        <v>44901</v>
      </c>
      <c r="C338" t="str">
        <f>_xlfn.XLOOKUP(A338,A337:A936,[1]Sheet3!D275:D874)</f>
        <v>CUST34028</v>
      </c>
      <c r="D338" t="str">
        <f>_xlfn.XLOOKUP(A338,A337:A936,[1]Sheet3!E275:E874)</f>
        <v>Vikram Rao</v>
      </c>
      <c r="E338" s="5">
        <f>_xlfn.XLOOKUP(A338,A337:A936,[1]Sheet3!G275:G874)</f>
        <v>14</v>
      </c>
      <c r="F338" t="str">
        <f>_xlfn.XLOOKUP('Retail Sales'!A276,'Retail Sales'!A275:A874,[1]Sheet3!H275:H874)</f>
        <v>Teen</v>
      </c>
      <c r="G338" t="str">
        <f>_xlfn.XLOOKUP(A338,A337:A936,[1]Sheet3!J275:J874)</f>
        <v>Female</v>
      </c>
      <c r="H338" t="str">
        <f>_xlfn.XLOOKUP(A338,A337:A936,[1]Sheet3!K275:K874)</f>
        <v>East</v>
      </c>
      <c r="I338" t="str">
        <f>_xlfn.XLOOKUP(A338,A337:A936,[1]Sheet3!L275:L874)</f>
        <v>Guwahati</v>
      </c>
      <c r="J338" t="str">
        <f>_xlfn.XLOOKUP(A338,A337:A936,[1]Sheet3!M275:M874)</f>
        <v>Electronics</v>
      </c>
      <c r="K338" t="str">
        <f>_xlfn.XLOOKUP('Retail Sales'!A276,'Retail Sales'!A275:A874,[1]Sheet3!N275:N874)</f>
        <v>Smartphone</v>
      </c>
      <c r="L338" s="5">
        <f>_xlfn.XLOOKUP(A338,A337:A936,[1]Sheet3!P275:P874)</f>
        <v>1</v>
      </c>
      <c r="M338" s="7">
        <f>_xlfn.XLOOKUP(A338,A337:A936,[1]Sheet3!Q275:Q874)</f>
        <v>7708.68</v>
      </c>
      <c r="N338" s="9">
        <f>_xlfn.XLOOKUP(A338,A337:A936,[1]Sheet3!S275:S874)</f>
        <v>0.26</v>
      </c>
      <c r="O338" s="7">
        <f>_xlfn.XLOOKUP(A338,A337:A936,[1]Sheet3!T275:T874)</f>
        <v>4938.4799999999996</v>
      </c>
      <c r="P338" s="7">
        <f>_xlfn.XLOOKUP(A338,A337:A936,[1]Sheet3!U275:U874)</f>
        <v>534.97</v>
      </c>
      <c r="Q338" s="11">
        <f>_xlfn.XLOOKUP(A338,A337:A936,[1]Sheet3!V275:V874)</f>
        <v>0.10832685360677781</v>
      </c>
      <c r="R338" s="7">
        <f>_xlfn.XLOOKUP(A338,A337:A936,[1]Sheet3!W275:W874)</f>
        <v>101.65</v>
      </c>
      <c r="S338" t="str">
        <f>_xlfn.XLOOKUP(A338,A337:A936,[1]Sheet3!X275:X874)</f>
        <v>EMI</v>
      </c>
      <c r="T338" s="5">
        <f>_xlfn.XLOOKUP(A338,A337:A936,[1]Sheet3!Z275:Z874)</f>
        <v>2</v>
      </c>
      <c r="U338" t="b">
        <f>_xlfn.XLOOKUP(A338,A337:A936,[1]Sheet3!AA275:AA874)</f>
        <v>0</v>
      </c>
      <c r="V338" t="str">
        <f>_xlfn.XLOOKUP(A338,A337:A936,[1]Sheet3!AC275:AC874)</f>
        <v>Shipped</v>
      </c>
      <c r="W338" s="5">
        <f>_xlfn.XLOOKUP(A338,A337:A936,[1]Sheet3!AE275:AE874)</f>
        <v>6</v>
      </c>
    </row>
    <row r="339" spans="1:23" x14ac:dyDescent="0.35">
      <c r="A339" t="s">
        <v>491</v>
      </c>
      <c r="B339" s="1">
        <f>_xlfn.XLOOKUP(A339,A338:A937,[1]Sheet3!C108:C707)</f>
        <v>44909</v>
      </c>
      <c r="C339" t="str">
        <f>_xlfn.XLOOKUP(A339,A338:A937,[1]Sheet3!D108:D707)</f>
        <v>CUST69585</v>
      </c>
      <c r="D339" t="str">
        <f>_xlfn.XLOOKUP(A339,A338:A937,[1]Sheet3!E108:E707)</f>
        <v>Sunita Joshi</v>
      </c>
      <c r="E339" s="5">
        <f>_xlfn.XLOOKUP(A339,A338:A937,[1]Sheet3!G108:G707)</f>
        <v>12</v>
      </c>
      <c r="F339" t="str">
        <f>_xlfn.XLOOKUP('Retail Sales'!A109,'Retail Sales'!A108:A707,[1]Sheet3!H108:H707)</f>
        <v>Child</v>
      </c>
      <c r="G339" t="str">
        <f>_xlfn.XLOOKUP(A339,A338:A937,[1]Sheet3!J108:J707)</f>
        <v>Male</v>
      </c>
      <c r="H339" t="str">
        <f>_xlfn.XLOOKUP(A339,A338:A937,[1]Sheet3!K108:K707)</f>
        <v>West</v>
      </c>
      <c r="I339" t="str">
        <f>_xlfn.XLOOKUP(A339,A338:A937,[1]Sheet3!L108:L707)</f>
        <v>Ahmedabad</v>
      </c>
      <c r="J339" t="str">
        <f>_xlfn.XLOOKUP(A339,A338:A937,[1]Sheet3!M108:M707)</f>
        <v>Books</v>
      </c>
      <c r="K339" t="str">
        <f>_xlfn.XLOOKUP('Retail Sales'!A109,'Retail Sales'!A108:A707,[1]Sheet3!N108:N707)</f>
        <v>Cook Book</v>
      </c>
      <c r="L339" s="5">
        <f>_xlfn.XLOOKUP(A339,A338:A937,[1]Sheet3!P108:P707)</f>
        <v>9</v>
      </c>
      <c r="M339" s="7">
        <f>_xlfn.XLOOKUP(A339,A338:A937,[1]Sheet3!Q108:Q707)</f>
        <v>1471.74</v>
      </c>
      <c r="N339" s="9">
        <f>_xlfn.XLOOKUP(A339,A338:A937,[1]Sheet3!S108:S707)</f>
        <v>0.05</v>
      </c>
      <c r="O339" s="7">
        <f>_xlfn.XLOOKUP(A339,A338:A937,[1]Sheet3!T108:T707)</f>
        <v>10167.9</v>
      </c>
      <c r="P339" s="7">
        <f>_xlfn.XLOOKUP(A339,A338:A937,[1]Sheet3!U108:U707)</f>
        <v>5411.76</v>
      </c>
      <c r="Q339" s="11">
        <f>_xlfn.XLOOKUP(A339,A338:A937,[1]Sheet3!V108:V707)</f>
        <v>0.53223969551234773</v>
      </c>
      <c r="R339" s="7">
        <f>_xlfn.XLOOKUP(A339,A338:A937,[1]Sheet3!W108:W707)</f>
        <v>50.89</v>
      </c>
      <c r="S339" t="str">
        <f>_xlfn.XLOOKUP(A339,A338:A937,[1]Sheet3!X108:X707)</f>
        <v>Cash on Delivery</v>
      </c>
      <c r="T339" s="5">
        <f>_xlfn.XLOOKUP(A339,A338:A937,[1]Sheet3!Z108:Z707)</f>
        <v>4</v>
      </c>
      <c r="U339" t="b">
        <f>_xlfn.XLOOKUP(A339,A338:A937,[1]Sheet3!AA108:AA707)</f>
        <v>0</v>
      </c>
      <c r="V339" t="str">
        <f>_xlfn.XLOOKUP(A339,A338:A937,[1]Sheet3!AC108:AC707)</f>
        <v>Delivered</v>
      </c>
      <c r="W339" s="5">
        <f>_xlfn.XLOOKUP(A339,A338:A937,[1]Sheet3!AE108:AE707)</f>
        <v>7</v>
      </c>
    </row>
    <row r="340" spans="1:23" x14ac:dyDescent="0.35">
      <c r="A340" t="s">
        <v>352</v>
      </c>
      <c r="B340" s="1">
        <f>_xlfn.XLOOKUP(A340,A339:A938,[1]Sheet3!C247:C846)</f>
        <v>44913</v>
      </c>
      <c r="C340" t="str">
        <f>_xlfn.XLOOKUP(A340,A339:A938,[1]Sheet3!D247:D846)</f>
        <v>CUST29148</v>
      </c>
      <c r="D340" t="str">
        <f>_xlfn.XLOOKUP(A340,A339:A938,[1]Sheet3!E247:E846)</f>
        <v>Amit Kumar</v>
      </c>
      <c r="E340" s="5">
        <f>_xlfn.XLOOKUP(A340,A339:A938,[1]Sheet3!G247:G846)</f>
        <v>22</v>
      </c>
      <c r="F340" t="str">
        <f>_xlfn.XLOOKUP('Retail Sales'!A248,'Retail Sales'!A247:A846,[1]Sheet3!H247:H846)</f>
        <v>Young Adult</v>
      </c>
      <c r="G340" t="str">
        <f>_xlfn.XLOOKUP(A340,A339:A938,[1]Sheet3!J247:J846)</f>
        <v>Female</v>
      </c>
      <c r="H340" t="str">
        <f>_xlfn.XLOOKUP(A340,A339:A938,[1]Sheet3!K247:K846)</f>
        <v>South</v>
      </c>
      <c r="I340" t="str">
        <f>_xlfn.XLOOKUP(A340,A339:A938,[1]Sheet3!L247:L846)</f>
        <v>Bangalore</v>
      </c>
      <c r="J340" t="str">
        <f>_xlfn.XLOOKUP(A340,A339:A938,[1]Sheet3!M247:M846)</f>
        <v>Groceries</v>
      </c>
      <c r="K340" t="str">
        <f>_xlfn.XLOOKUP('Retail Sales'!A248,'Retail Sales'!A247:A846,[1]Sheet3!N247:N846)</f>
        <v>Sugar</v>
      </c>
      <c r="L340" s="5">
        <f>_xlfn.XLOOKUP(A340,A339:A938,[1]Sheet3!P247:P846)</f>
        <v>7</v>
      </c>
      <c r="M340" s="7">
        <f>_xlfn.XLOOKUP(A340,A339:A938,[1]Sheet3!Q247:Q846)</f>
        <v>56.3</v>
      </c>
      <c r="N340" s="9">
        <f>_xlfn.XLOOKUP(A340,A339:A938,[1]Sheet3!S247:S846)</f>
        <v>0.16</v>
      </c>
      <c r="O340" s="7">
        <f>_xlfn.XLOOKUP(A340,A339:A938,[1]Sheet3!T247:T846)</f>
        <v>219.23</v>
      </c>
      <c r="P340" s="7">
        <f>_xlfn.XLOOKUP(A340,A339:A938,[1]Sheet3!U247:U846)</f>
        <v>17.73</v>
      </c>
      <c r="Q340" s="11">
        <f>_xlfn.XLOOKUP(A340,A339:A938,[1]Sheet3!V247:V846)</f>
        <v>8.0873967978835018E-2</v>
      </c>
      <c r="R340" s="7">
        <f>_xlfn.XLOOKUP(A340,A339:A938,[1]Sheet3!W247:W846)</f>
        <v>83.47</v>
      </c>
      <c r="S340" t="str">
        <f>_xlfn.XLOOKUP(A340,A339:A938,[1]Sheet3!X247:X846)</f>
        <v>Net Banking</v>
      </c>
      <c r="T340" s="5">
        <f>_xlfn.XLOOKUP(A340,A339:A938,[1]Sheet3!Z247:Z846)</f>
        <v>4</v>
      </c>
      <c r="U340" t="b">
        <f>_xlfn.XLOOKUP(A340,A339:A938,[1]Sheet3!AA247:AA846)</f>
        <v>1</v>
      </c>
      <c r="V340" t="str">
        <f>_xlfn.XLOOKUP(A340,A339:A938,[1]Sheet3!AC247:AC846)</f>
        <v>Returned</v>
      </c>
      <c r="W340" s="5">
        <f>_xlfn.XLOOKUP(A340,A339:A938,[1]Sheet3!AE247:AE846)</f>
        <v>6</v>
      </c>
    </row>
    <row r="341" spans="1:23" x14ac:dyDescent="0.35">
      <c r="A341" t="s">
        <v>451</v>
      </c>
      <c r="B341" s="1">
        <f>_xlfn.XLOOKUP(A341,A340:A939,[1]Sheet3!C148:C747)</f>
        <v>44914</v>
      </c>
      <c r="C341" t="str">
        <f>_xlfn.XLOOKUP(A341,A340:A939,[1]Sheet3!D148:D747)</f>
        <v>CUST57740</v>
      </c>
      <c r="D341" t="str">
        <f>_xlfn.XLOOKUP(A341,A340:A939,[1]Sheet3!E148:E747)</f>
        <v>Sunita Verma</v>
      </c>
      <c r="E341" s="5">
        <f>_xlfn.XLOOKUP(A341,A340:A939,[1]Sheet3!G148:G747)</f>
        <v>19</v>
      </c>
      <c r="F341" t="str">
        <f>_xlfn.XLOOKUP('Retail Sales'!A149,'Retail Sales'!A148:A747,[1]Sheet3!H148:H747)</f>
        <v>Teen</v>
      </c>
      <c r="G341" t="str">
        <f>_xlfn.XLOOKUP(A341,A340:A939,[1]Sheet3!J148:J747)</f>
        <v>Male</v>
      </c>
      <c r="H341" t="str">
        <f>_xlfn.XLOOKUP(A341,A340:A939,[1]Sheet3!K148:K747)</f>
        <v>East</v>
      </c>
      <c r="I341" t="str">
        <f>_xlfn.XLOOKUP(A341,A340:A939,[1]Sheet3!L148:L747)</f>
        <v>Kolkata</v>
      </c>
      <c r="J341" t="str">
        <f>_xlfn.XLOOKUP(A341,A340:A939,[1]Sheet3!M148:M747)</f>
        <v>Furniture</v>
      </c>
      <c r="K341" t="str">
        <f>_xlfn.XLOOKUP('Retail Sales'!A149,'Retail Sales'!A148:A747,[1]Sheet3!N148:N747)</f>
        <v>Bookshelf</v>
      </c>
      <c r="L341" s="5">
        <f>_xlfn.XLOOKUP(A341,A340:A939,[1]Sheet3!P148:P747)</f>
        <v>5</v>
      </c>
      <c r="M341" s="7">
        <f>_xlfn.XLOOKUP(A341,A340:A939,[1]Sheet3!Q148:Q747)</f>
        <v>29767.34</v>
      </c>
      <c r="N341" s="9">
        <f>_xlfn.XLOOKUP(A341,A340:A939,[1]Sheet3!S148:S747)</f>
        <v>0.16</v>
      </c>
      <c r="O341" s="7">
        <f>_xlfn.XLOOKUP(A341,A340:A939,[1]Sheet3!T148:T747)</f>
        <v>92126.76</v>
      </c>
      <c r="P341" s="7">
        <f>_xlfn.XLOOKUP(A341,A340:A939,[1]Sheet3!U148:U747)</f>
        <v>24089.4</v>
      </c>
      <c r="Q341" s="11">
        <f>_xlfn.XLOOKUP(A341,A340:A939,[1]Sheet3!V148:V747)</f>
        <v>0.26148102896487407</v>
      </c>
      <c r="R341" s="7">
        <f>_xlfn.XLOOKUP(A341,A340:A939,[1]Sheet3!W148:W747)</f>
        <v>72.23</v>
      </c>
      <c r="S341" t="str">
        <f>_xlfn.XLOOKUP(A341,A340:A939,[1]Sheet3!X148:X747)</f>
        <v>Cash on Delivery</v>
      </c>
      <c r="T341" s="5">
        <f>_xlfn.XLOOKUP(A341,A340:A939,[1]Sheet3!Z148:Z747)</f>
        <v>3</v>
      </c>
      <c r="U341" t="b">
        <f>_xlfn.XLOOKUP(A341,A340:A939,[1]Sheet3!AA148:AA747)</f>
        <v>0</v>
      </c>
      <c r="V341" t="str">
        <f>_xlfn.XLOOKUP(A341,A340:A939,[1]Sheet3!AC148:AC747)</f>
        <v>Cancelled</v>
      </c>
      <c r="W341" s="5">
        <f>_xlfn.XLOOKUP(A341,A340:A939,[1]Sheet3!AE148:AE747)</f>
        <v>6</v>
      </c>
    </row>
    <row r="342" spans="1:23" x14ac:dyDescent="0.35">
      <c r="A342" t="s">
        <v>351</v>
      </c>
      <c r="B342" s="1">
        <f>_xlfn.XLOOKUP(A342,A341:A940,[1]Sheet3!C248:C847)</f>
        <v>44919</v>
      </c>
      <c r="C342" t="str">
        <f>_xlfn.XLOOKUP(A342,A341:A940,[1]Sheet3!D248:D847)</f>
        <v>CUST55151</v>
      </c>
      <c r="D342" t="str">
        <f>_xlfn.XLOOKUP(A342,A341:A940,[1]Sheet3!E248:E847)</f>
        <v>Ananya Reddy</v>
      </c>
      <c r="E342" s="5">
        <f>_xlfn.XLOOKUP(A342,A341:A940,[1]Sheet3!G248:G847)</f>
        <v>27</v>
      </c>
      <c r="F342" t="str">
        <f>_xlfn.XLOOKUP('Retail Sales'!A249,'Retail Sales'!A248:A847,[1]Sheet3!H248:H847)</f>
        <v>Young Adult</v>
      </c>
      <c r="G342" t="str">
        <f>_xlfn.XLOOKUP(A342,A341:A940,[1]Sheet3!J248:J847)</f>
        <v>Male</v>
      </c>
      <c r="H342" t="str">
        <f>_xlfn.XLOOKUP(A342,A341:A940,[1]Sheet3!K248:K847)</f>
        <v>East</v>
      </c>
      <c r="I342" t="str">
        <f>_xlfn.XLOOKUP(A342,A341:A940,[1]Sheet3!L248:L847)</f>
        <v>Kolkata</v>
      </c>
      <c r="J342" t="str">
        <f>_xlfn.XLOOKUP(A342,A341:A940,[1]Sheet3!M248:M847)</f>
        <v>Furniture</v>
      </c>
      <c r="K342" t="str">
        <f>_xlfn.XLOOKUP('Retail Sales'!A249,'Retail Sales'!A248:A847,[1]Sheet3!N248:N847)</f>
        <v>Wardrobe</v>
      </c>
      <c r="L342" s="5">
        <f>_xlfn.XLOOKUP(A342,A341:A940,[1]Sheet3!P248:P847)</f>
        <v>1</v>
      </c>
      <c r="M342" s="7">
        <f>_xlfn.XLOOKUP(A342,A341:A940,[1]Sheet3!Q248:Q847)</f>
        <v>21949.11</v>
      </c>
      <c r="N342" s="9">
        <f>_xlfn.XLOOKUP(A342,A341:A940,[1]Sheet3!S248:S847)</f>
        <v>0.11</v>
      </c>
      <c r="O342" s="7">
        <f>_xlfn.XLOOKUP(A342,A341:A940,[1]Sheet3!T248:T847)</f>
        <v>16420.47</v>
      </c>
      <c r="P342" s="7">
        <f>_xlfn.XLOOKUP(A342,A341:A940,[1]Sheet3!U248:U847)</f>
        <v>5291.08</v>
      </c>
      <c r="Q342" s="11">
        <f>_xlfn.XLOOKUP(A342,A341:A940,[1]Sheet3!V248:V847)</f>
        <v>0.32222463790622313</v>
      </c>
      <c r="R342" s="7">
        <f>_xlfn.XLOOKUP(A342,A341:A940,[1]Sheet3!W248:W847)</f>
        <v>87.46</v>
      </c>
      <c r="S342" t="str">
        <f>_xlfn.XLOOKUP(A342,A341:A940,[1]Sheet3!X248:X847)</f>
        <v>EMI</v>
      </c>
      <c r="T342" s="5">
        <f>_xlfn.XLOOKUP(A342,A341:A940,[1]Sheet3!Z248:Z847)</f>
        <v>1</v>
      </c>
      <c r="U342" t="b">
        <f>_xlfn.XLOOKUP(A342,A341:A940,[1]Sheet3!AA248:AA847)</f>
        <v>0</v>
      </c>
      <c r="V342" t="str">
        <f>_xlfn.XLOOKUP(A342,A341:A940,[1]Sheet3!AC248:AC847)</f>
        <v>Delivered</v>
      </c>
      <c r="W342" s="5">
        <f>_xlfn.XLOOKUP(A342,A341:A940,[1]Sheet3!AE248:AE847)</f>
        <v>2</v>
      </c>
    </row>
    <row r="343" spans="1:23" x14ac:dyDescent="0.35">
      <c r="A343" t="s">
        <v>79</v>
      </c>
      <c r="B343" s="1">
        <f>_xlfn.XLOOKUP(A343,A342:A941,[1]Sheet3!C520:C1119)</f>
        <v>44920</v>
      </c>
      <c r="C343" t="str">
        <f>_xlfn.XLOOKUP(A343,A342:A941,[1]Sheet3!D520:D1119)</f>
        <v>CUST29676</v>
      </c>
      <c r="D343" t="str">
        <f>_xlfn.XLOOKUP(A343,A342:A941,[1]Sheet3!E520:E1119)</f>
        <v>Arjun Rao</v>
      </c>
      <c r="E343" s="5">
        <f>_xlfn.XLOOKUP(A343,A342:A941,[1]Sheet3!G520:G1119)</f>
        <v>43</v>
      </c>
      <c r="F343" t="str">
        <f>_xlfn.XLOOKUP('Retail Sales'!A521,'Retail Sales'!A520:A1119,[1]Sheet3!H520:H1119)</f>
        <v>Adult</v>
      </c>
      <c r="G343" t="str">
        <f>_xlfn.XLOOKUP(A343,A342:A941,[1]Sheet3!J520:J1119)</f>
        <v>Other</v>
      </c>
      <c r="H343" t="str">
        <f>_xlfn.XLOOKUP(A343,A342:A941,[1]Sheet3!K520:K1119)</f>
        <v>South</v>
      </c>
      <c r="I343" t="str">
        <f>_xlfn.XLOOKUP(A343,A342:A941,[1]Sheet3!L520:L1119)</f>
        <v>Hyderabad</v>
      </c>
      <c r="J343" t="str">
        <f>_xlfn.XLOOKUP(A343,A342:A941,[1]Sheet3!M520:M1119)</f>
        <v>Beauty</v>
      </c>
      <c r="K343" t="str">
        <f>_xlfn.XLOOKUP('Retail Sales'!A521,'Retail Sales'!A520:A1119,[1]Sheet3!N520:N1119)</f>
        <v>Shampoo</v>
      </c>
      <c r="L343" s="5">
        <f>_xlfn.XLOOKUP(A343,A342:A941,[1]Sheet3!P520:P1119)</f>
        <v>4</v>
      </c>
      <c r="M343" s="7">
        <f>_xlfn.XLOOKUP(A343,A342:A941,[1]Sheet3!Q520:Q1119)</f>
        <v>1024.2</v>
      </c>
      <c r="N343" s="9">
        <f>_xlfn.XLOOKUP(A343,A342:A941,[1]Sheet3!S520:S1119)</f>
        <v>0.28000000000000003</v>
      </c>
      <c r="O343" s="7">
        <f>_xlfn.XLOOKUP(A343,A342:A941,[1]Sheet3!T520:T1119)</f>
        <v>2046.31</v>
      </c>
      <c r="P343" s="7">
        <f>_xlfn.XLOOKUP(A343,A342:A941,[1]Sheet3!U520:U1119)</f>
        <v>485.53</v>
      </c>
      <c r="Q343" s="11">
        <f>_xlfn.XLOOKUP(A343,A342:A941,[1]Sheet3!V520:V1119)</f>
        <v>0.23727099022142295</v>
      </c>
      <c r="R343" s="7">
        <f>_xlfn.XLOOKUP(A343,A342:A941,[1]Sheet3!W520:W1119)</f>
        <v>57.96</v>
      </c>
      <c r="S343" t="str">
        <f>_xlfn.XLOOKUP(A343,A342:A941,[1]Sheet3!X520:X1119)</f>
        <v>Net Banking</v>
      </c>
      <c r="T343" s="5">
        <f>_xlfn.XLOOKUP(A343,A342:A941,[1]Sheet3!Z520:Z1119)</f>
        <v>2</v>
      </c>
      <c r="U343" t="b">
        <f>_xlfn.XLOOKUP(A343,A342:A941,[1]Sheet3!AA520:AA1119)</f>
        <v>0</v>
      </c>
      <c r="V343" t="str">
        <f>_xlfn.XLOOKUP(A343,A342:A941,[1]Sheet3!AC520:AC1119)</f>
        <v>Delivered</v>
      </c>
      <c r="W343" s="5">
        <f>_xlfn.XLOOKUP(A343,A342:A941,[1]Sheet3!AE520:AE1119)</f>
        <v>9</v>
      </c>
    </row>
    <row r="344" spans="1:23" x14ac:dyDescent="0.35">
      <c r="A344" t="s">
        <v>68</v>
      </c>
      <c r="B344" s="1">
        <f>_xlfn.XLOOKUP(A344,A343:A942,[1]Sheet3!C531:C1130)</f>
        <v>44920</v>
      </c>
      <c r="C344" t="str">
        <f>_xlfn.XLOOKUP(A344,A343:A942,[1]Sheet3!D531:D1130)</f>
        <v>CUST68061</v>
      </c>
      <c r="D344" t="str">
        <f>_xlfn.XLOOKUP(A344,A343:A942,[1]Sheet3!E531:E1130)</f>
        <v>Sunita Chatterjee</v>
      </c>
      <c r="E344" s="5">
        <f>_xlfn.XLOOKUP(A344,A343:A942,[1]Sheet3!G531:G1130)</f>
        <v>34.294220665499125</v>
      </c>
      <c r="F344" t="str">
        <f>_xlfn.XLOOKUP('Retail Sales'!A532,'Retail Sales'!A531:A1130,[1]Sheet3!H531:H1130)</f>
        <v>Young Adult</v>
      </c>
      <c r="G344" t="str">
        <f>_xlfn.XLOOKUP(A344,A343:A942,[1]Sheet3!J531:J1130)</f>
        <v>Male</v>
      </c>
      <c r="H344" t="str">
        <f>_xlfn.XLOOKUP(A344,A343:A942,[1]Sheet3!K531:K1130)</f>
        <v>South</v>
      </c>
      <c r="I344" t="str">
        <f>_xlfn.XLOOKUP(A344,A343:A942,[1]Sheet3!L531:L1130)</f>
        <v>Hyderabad</v>
      </c>
      <c r="J344" t="str">
        <f>_xlfn.XLOOKUP(A344,A343:A942,[1]Sheet3!M531:M1130)</f>
        <v>Groceries</v>
      </c>
      <c r="K344" t="str">
        <f>_xlfn.XLOOKUP('Retail Sales'!A532,'Retail Sales'!A531:A1130,[1]Sheet3!N531:N1130)</f>
        <v>Rice (5kg)</v>
      </c>
      <c r="L344" s="5">
        <f>_xlfn.XLOOKUP(A344,A343:A942,[1]Sheet3!P531:P1130)</f>
        <v>7</v>
      </c>
      <c r="M344" s="7">
        <f>_xlfn.XLOOKUP(A344,A343:A942,[1]Sheet3!Q531:Q1130)</f>
        <v>89.81</v>
      </c>
      <c r="N344" s="9">
        <f>_xlfn.XLOOKUP(A344,A343:A942,[1]Sheet3!S531:S1130)</f>
        <v>0.34</v>
      </c>
      <c r="O344" s="7">
        <f>_xlfn.XLOOKUP(A344,A343:A942,[1]Sheet3!T531:T1130)</f>
        <v>325.22000000000003</v>
      </c>
      <c r="P344" s="7">
        <f>_xlfn.XLOOKUP(A344,A343:A942,[1]Sheet3!U531:U1130)</f>
        <v>31.2</v>
      </c>
      <c r="Q344" s="11">
        <f>_xlfn.XLOOKUP(A344,A343:A942,[1]Sheet3!V531:V1130)</f>
        <v>9.5935059344443754E-2</v>
      </c>
      <c r="R344" s="7">
        <f>_xlfn.XLOOKUP(A344,A343:A942,[1]Sheet3!W531:W1130)</f>
        <v>64.12</v>
      </c>
      <c r="S344" t="str">
        <f>_xlfn.XLOOKUP(A344,A343:A942,[1]Sheet3!X531:X1130)</f>
        <v>EMI</v>
      </c>
      <c r="T344" s="5">
        <f>_xlfn.XLOOKUP(A344,A343:A942,[1]Sheet3!Z531:Z1130)</f>
        <v>3</v>
      </c>
      <c r="U344" t="b">
        <f>_xlfn.XLOOKUP(A344,A343:A942,[1]Sheet3!AA531:AA1130)</f>
        <v>0</v>
      </c>
      <c r="V344" t="str">
        <f>_xlfn.XLOOKUP(A344,A343:A942,[1]Sheet3!AC531:AC1130)</f>
        <v>Delivered</v>
      </c>
      <c r="W344" s="5">
        <f>_xlfn.XLOOKUP(A344,A343:A942,[1]Sheet3!AE531:AE1130)</f>
        <v>5</v>
      </c>
    </row>
    <row r="345" spans="1:23" x14ac:dyDescent="0.35">
      <c r="A345" t="s">
        <v>175</v>
      </c>
      <c r="B345" s="1">
        <f>_xlfn.XLOOKUP(A345,A344:A943,[1]Sheet3!C424:C1023)</f>
        <v>44923</v>
      </c>
      <c r="C345" t="str">
        <f>_xlfn.XLOOKUP(A345,A344:A943,[1]Sheet3!D424:D1023)</f>
        <v>CUST66205</v>
      </c>
      <c r="D345" t="str">
        <f>_xlfn.XLOOKUP(A345,A344:A943,[1]Sheet3!E424:E1023)</f>
        <v>Ritu Verma</v>
      </c>
      <c r="E345" s="5">
        <f>_xlfn.XLOOKUP(A345,A344:A943,[1]Sheet3!G424:G1023)</f>
        <v>30</v>
      </c>
      <c r="F345" t="str">
        <f>_xlfn.XLOOKUP('Retail Sales'!A425,'Retail Sales'!A424:A1023,[1]Sheet3!H424:H1023)</f>
        <v>Young Adult</v>
      </c>
      <c r="G345" t="str">
        <f>_xlfn.XLOOKUP(A345,A344:A943,[1]Sheet3!J424:J1023)</f>
        <v>Male</v>
      </c>
      <c r="H345" t="str">
        <f>_xlfn.XLOOKUP(A345,A344:A943,[1]Sheet3!K424:K1023)</f>
        <v>West</v>
      </c>
      <c r="I345" t="str">
        <f>_xlfn.XLOOKUP(A345,A344:A943,[1]Sheet3!L424:L1023)</f>
        <v>Pune</v>
      </c>
      <c r="J345" t="str">
        <f>_xlfn.XLOOKUP(A345,A344:A943,[1]Sheet3!M424:M1023)</f>
        <v>Books</v>
      </c>
      <c r="K345" t="str">
        <f>_xlfn.XLOOKUP('Retail Sales'!A425,'Retail Sales'!A424:A1023,[1]Sheet3!N424:N1023)</f>
        <v>Biography</v>
      </c>
      <c r="L345" s="5">
        <f>_xlfn.XLOOKUP(A345,A344:A943,[1]Sheet3!P424:P1023)</f>
        <v>5</v>
      </c>
      <c r="M345" s="7">
        <f>_xlfn.XLOOKUP(A345,A344:A943,[1]Sheet3!Q424:Q1023)</f>
        <v>1103.75</v>
      </c>
      <c r="N345" s="9">
        <f>_xlfn.XLOOKUP(A345,A344:A943,[1]Sheet3!S424:S1023)</f>
        <v>0.25</v>
      </c>
      <c r="O345" s="7">
        <f>_xlfn.XLOOKUP(A345,A344:A943,[1]Sheet3!T424:T1023)</f>
        <v>3579.91</v>
      </c>
      <c r="P345" s="7">
        <f>_xlfn.XLOOKUP(A345,A344:A943,[1]Sheet3!U424:U1023)</f>
        <v>1891.54</v>
      </c>
      <c r="Q345" s="11">
        <f>_xlfn.XLOOKUP(A345,A344:A943,[1]Sheet3!V424:V1023)</f>
        <v>0.52837641169750083</v>
      </c>
      <c r="R345" s="7">
        <f>_xlfn.XLOOKUP(A345,A344:A943,[1]Sheet3!W424:W1023)</f>
        <v>60.86</v>
      </c>
      <c r="S345" t="str">
        <f>_xlfn.XLOOKUP(A345,A344:A943,[1]Sheet3!X424:X1023)</f>
        <v>Cash on Delivery</v>
      </c>
      <c r="T345" s="5">
        <f>_xlfn.XLOOKUP(A345,A344:A943,[1]Sheet3!Z424:Z1023)</f>
        <v>3</v>
      </c>
      <c r="U345" t="b">
        <f>_xlfn.XLOOKUP(A345,A344:A943,[1]Sheet3!AA424:AA1023)</f>
        <v>0</v>
      </c>
      <c r="V345" t="str">
        <f>_xlfn.XLOOKUP(A345,A344:A943,[1]Sheet3!AC424:AC1023)</f>
        <v>Cancelled</v>
      </c>
      <c r="W345" s="5">
        <f>_xlfn.XLOOKUP(A345,A344:A943,[1]Sheet3!AE424:AE1023)</f>
        <v>1</v>
      </c>
    </row>
    <row r="346" spans="1:23" x14ac:dyDescent="0.35">
      <c r="A346" t="s">
        <v>446</v>
      </c>
      <c r="B346" s="1">
        <f>_xlfn.XLOOKUP(A346,A345:A944,[1]Sheet3!C153:C752)</f>
        <v>44926</v>
      </c>
      <c r="C346" t="str">
        <f>_xlfn.XLOOKUP(A346,A345:A944,[1]Sheet3!D153:D752)</f>
        <v>CUST79852</v>
      </c>
      <c r="D346" t="str">
        <f>_xlfn.XLOOKUP(A346,A345:A944,[1]Sheet3!E153:E752)</f>
        <v>Nisha Kapoor</v>
      </c>
      <c r="E346" s="5">
        <f>_xlfn.XLOOKUP(A346,A345:A944,[1]Sheet3!G153:G752)</f>
        <v>26</v>
      </c>
      <c r="F346" t="str">
        <f>_xlfn.XLOOKUP('Retail Sales'!A154,'Retail Sales'!A153:A752,[1]Sheet3!H153:H752)</f>
        <v>Young Adult</v>
      </c>
      <c r="G346" t="str">
        <f>_xlfn.XLOOKUP(A346,A345:A944,[1]Sheet3!J153:J752)</f>
        <v>Male</v>
      </c>
      <c r="H346" t="str">
        <f>_xlfn.XLOOKUP(A346,A345:A944,[1]Sheet3!K153:K752)</f>
        <v>West</v>
      </c>
      <c r="I346" t="str">
        <f>_xlfn.XLOOKUP(A346,A345:A944,[1]Sheet3!L153:L752)</f>
        <v>Pune</v>
      </c>
      <c r="J346" t="str">
        <f>_xlfn.XLOOKUP(A346,A345:A944,[1]Sheet3!M153:M752)</f>
        <v>Books</v>
      </c>
      <c r="K346" t="str">
        <f>_xlfn.XLOOKUP('Retail Sales'!A154,'Retail Sales'!A153:A752,[1]Sheet3!N153:N752)</f>
        <v>Textbook</v>
      </c>
      <c r="L346" s="5">
        <f>_xlfn.XLOOKUP(A346,A345:A944,[1]Sheet3!P153:P752)</f>
        <v>3</v>
      </c>
      <c r="M346" s="7">
        <f>_xlfn.XLOOKUP(A346,A345:A944,[1]Sheet3!Q153:Q752)</f>
        <v>1379.58</v>
      </c>
      <c r="N346" s="9">
        <f>_xlfn.XLOOKUP(A346,A345:A944,[1]Sheet3!S153:S752)</f>
        <v>0.06</v>
      </c>
      <c r="O346" s="7">
        <f>_xlfn.XLOOKUP(A346,A345:A944,[1]Sheet3!T153:T752)</f>
        <v>3040.53</v>
      </c>
      <c r="P346" s="7">
        <f>_xlfn.XLOOKUP(A346,A345:A944,[1]Sheet3!U153:U752)</f>
        <v>976.28</v>
      </c>
      <c r="Q346" s="11">
        <f>_xlfn.XLOOKUP(A346,A345:A944,[1]Sheet3!V153:V752)</f>
        <v>0.32108875755213728</v>
      </c>
      <c r="R346" s="7">
        <f>_xlfn.XLOOKUP(A346,A345:A944,[1]Sheet3!W153:W752)</f>
        <v>64.67</v>
      </c>
      <c r="S346" t="str">
        <f>_xlfn.XLOOKUP(A346,A345:A944,[1]Sheet3!X153:X752)</f>
        <v>Net Banking</v>
      </c>
      <c r="T346" s="5">
        <f>_xlfn.XLOOKUP(A346,A345:A944,[1]Sheet3!Z153:Z752)</f>
        <v>4</v>
      </c>
      <c r="U346" t="b">
        <f>_xlfn.XLOOKUP(A346,A345:A944,[1]Sheet3!AA153:AA752)</f>
        <v>0</v>
      </c>
      <c r="V346" t="str">
        <f>_xlfn.XLOOKUP(A346,A345:A944,[1]Sheet3!AC153:AC752)</f>
        <v>Shipped</v>
      </c>
      <c r="W346" s="5">
        <f>_xlfn.XLOOKUP(A346,A345:A944,[1]Sheet3!AE153:AE752)</f>
        <v>4</v>
      </c>
    </row>
    <row r="347" spans="1:23" x14ac:dyDescent="0.35">
      <c r="A347" t="s">
        <v>277</v>
      </c>
      <c r="B347" s="1">
        <f>_xlfn.XLOOKUP(A347,A346:A945,[1]Sheet3!C322:C921)</f>
        <v>44929</v>
      </c>
      <c r="C347" t="str">
        <f>_xlfn.XLOOKUP(A347,A346:A945,[1]Sheet3!D322:D921)</f>
        <v>CUST61216</v>
      </c>
      <c r="D347" t="str">
        <f>_xlfn.XLOOKUP(A347,A346:A945,[1]Sheet3!E322:E921)</f>
        <v>Nikhil Joshi</v>
      </c>
      <c r="E347" s="5">
        <f>_xlfn.XLOOKUP(A347,A346:A945,[1]Sheet3!G322:G921)</f>
        <v>34</v>
      </c>
      <c r="F347" t="str">
        <f>_xlfn.XLOOKUP('Retail Sales'!A323,'Retail Sales'!A322:A921,[1]Sheet3!H322:H921)</f>
        <v>Young Adult</v>
      </c>
      <c r="G347" t="str">
        <f>_xlfn.XLOOKUP(A347,A346:A945,[1]Sheet3!J322:J921)</f>
        <v>Male</v>
      </c>
      <c r="H347" t="str">
        <f>_xlfn.XLOOKUP(A347,A346:A945,[1]Sheet3!K322:K921)</f>
        <v>West</v>
      </c>
      <c r="I347" t="str">
        <f>_xlfn.XLOOKUP(A347,A346:A945,[1]Sheet3!L322:L921)</f>
        <v>Pune</v>
      </c>
      <c r="J347" t="str">
        <f>_xlfn.XLOOKUP(A347,A346:A945,[1]Sheet3!M322:M921)</f>
        <v>Furniture</v>
      </c>
      <c r="K347" t="str">
        <f>_xlfn.XLOOKUP('Retail Sales'!A323,'Retail Sales'!A322:A921,[1]Sheet3!N322:N921)</f>
        <v>Bed Frame</v>
      </c>
      <c r="L347" s="5">
        <f>_xlfn.XLOOKUP(A347,A346:A945,[1]Sheet3!P322:P921)</f>
        <v>2</v>
      </c>
      <c r="M347" s="7">
        <f>_xlfn.XLOOKUP(A347,A346:A945,[1]Sheet3!Q322:Q921)</f>
        <v>9783.06</v>
      </c>
      <c r="N347" s="9">
        <f>_xlfn.XLOOKUP(A347,A346:A945,[1]Sheet3!S322:S921)</f>
        <v>0.12</v>
      </c>
      <c r="O347" s="7">
        <f>_xlfn.XLOOKUP(A347,A346:A945,[1]Sheet3!T322:T921)</f>
        <v>15984.43</v>
      </c>
      <c r="P347" s="7">
        <f>_xlfn.XLOOKUP(A347,A346:A945,[1]Sheet3!U322:U921)</f>
        <v>3578.22</v>
      </c>
      <c r="Q347" s="11">
        <f>_xlfn.XLOOKUP(A347,A346:A945,[1]Sheet3!V322:V921)</f>
        <v>0.22385659044457637</v>
      </c>
      <c r="R347" s="7">
        <f>_xlfn.XLOOKUP(A347,A346:A945,[1]Sheet3!W322:W921)</f>
        <v>43.71</v>
      </c>
      <c r="S347" t="str">
        <f>_xlfn.XLOOKUP(A347,A346:A945,[1]Sheet3!X322:X921)</f>
        <v>Cash on Delivery</v>
      </c>
      <c r="T347" s="5">
        <f>_xlfn.XLOOKUP(A347,A346:A945,[1]Sheet3!Z322:Z921)</f>
        <v>2</v>
      </c>
      <c r="U347" t="b">
        <f>_xlfn.XLOOKUP(A347,A346:A945,[1]Sheet3!AA322:AA921)</f>
        <v>1</v>
      </c>
      <c r="V347" t="str">
        <f>_xlfn.XLOOKUP(A347,A346:A945,[1]Sheet3!AC322:AC921)</f>
        <v>Returned</v>
      </c>
      <c r="W347" s="5">
        <f>_xlfn.XLOOKUP(A347,A346:A945,[1]Sheet3!AE322:AE921)</f>
        <v>5</v>
      </c>
    </row>
    <row r="348" spans="1:23" x14ac:dyDescent="0.35">
      <c r="A348" t="s">
        <v>584</v>
      </c>
      <c r="B348" s="1">
        <f>_xlfn.XLOOKUP(A348,A347:A946,[1]Sheet3!C15:C614)</f>
        <v>44930</v>
      </c>
      <c r="C348" t="str">
        <f>_xlfn.XLOOKUP(A348,A347:A946,[1]Sheet3!D15:D614)</f>
        <v>CUST73360</v>
      </c>
      <c r="D348" t="str">
        <f>_xlfn.XLOOKUP(A348,A347:A946,[1]Sheet3!E15:E614)</f>
        <v>Deepa Joshi</v>
      </c>
      <c r="E348" s="5">
        <f>_xlfn.XLOOKUP(A348,A347:A946,[1]Sheet3!G15:G614)</f>
        <v>53</v>
      </c>
      <c r="F348" t="str">
        <f>_xlfn.XLOOKUP('Retail Sales'!A16,'Retail Sales'!A15:A614,[1]Sheet3!H15:H614)</f>
        <v>Senior</v>
      </c>
      <c r="G348" t="str">
        <f>_xlfn.XLOOKUP(A348,A347:A946,[1]Sheet3!J15:J614)</f>
        <v>Male</v>
      </c>
      <c r="H348" t="str">
        <f>_xlfn.XLOOKUP(A348,A347:A946,[1]Sheet3!K15:K614)</f>
        <v>South</v>
      </c>
      <c r="I348" t="str">
        <f>_xlfn.XLOOKUP(A348,A347:A946,[1]Sheet3!L15:L614)</f>
        <v>Kochi</v>
      </c>
      <c r="J348" t="str">
        <f>_xlfn.XLOOKUP(A348,A347:A946,[1]Sheet3!M15:M614)</f>
        <v>Clothing</v>
      </c>
      <c r="K348" t="str">
        <f>_xlfn.XLOOKUP('Retail Sales'!A16,'Retail Sales'!A15:A614,[1]Sheet3!N15:N614)</f>
        <v>T-Shirt</v>
      </c>
      <c r="L348" s="5">
        <f>_xlfn.XLOOKUP(A348,A347:A946,[1]Sheet3!P15:P614)</f>
        <v>9</v>
      </c>
      <c r="M348" s="7">
        <f>_xlfn.XLOOKUP(A348,A347:A946,[1]Sheet3!Q15:Q614)</f>
        <v>590.14</v>
      </c>
      <c r="N348" s="9">
        <f>_xlfn.XLOOKUP(A348,A347:A946,[1]Sheet3!S15:S614)</f>
        <v>0.19793402777777783</v>
      </c>
      <c r="O348" s="7">
        <f>_xlfn.XLOOKUP(A348,A347:A946,[1]Sheet3!T15:T614)</f>
        <v>4824.04</v>
      </c>
      <c r="P348" s="7">
        <f>_xlfn.XLOOKUP(A348,A347:A946,[1]Sheet3!U15:U614)</f>
        <v>2277.4</v>
      </c>
      <c r="Q348" s="11">
        <f>_xlfn.XLOOKUP(A348,A347:A946,[1]Sheet3!V15:V614)</f>
        <v>0.4720939295694066</v>
      </c>
      <c r="R348" s="7">
        <f>_xlfn.XLOOKUP(A348,A347:A946,[1]Sheet3!W15:W614)</f>
        <v>79.19</v>
      </c>
      <c r="S348" t="str">
        <f>_xlfn.XLOOKUP(A348,A347:A946,[1]Sheet3!X15:X614)</f>
        <v>EMI</v>
      </c>
      <c r="T348" s="5">
        <f>_xlfn.XLOOKUP(A348,A347:A946,[1]Sheet3!Z15:Z614)</f>
        <v>1</v>
      </c>
      <c r="U348" t="b">
        <f>_xlfn.XLOOKUP(A348,A347:A946,[1]Sheet3!AA15:AA614)</f>
        <v>0</v>
      </c>
      <c r="V348" t="str">
        <f>_xlfn.XLOOKUP(A348,A347:A946,[1]Sheet3!AC15:AC614)</f>
        <v>Delivered</v>
      </c>
      <c r="W348" s="5">
        <f>_xlfn.XLOOKUP(A348,A347:A946,[1]Sheet3!AE15:AE614)</f>
        <v>4</v>
      </c>
    </row>
    <row r="349" spans="1:23" x14ac:dyDescent="0.35">
      <c r="A349" t="s">
        <v>82</v>
      </c>
      <c r="B349" s="1">
        <f>_xlfn.XLOOKUP(A349,A348:A947,[1]Sheet3!C517:C1116)</f>
        <v>44935</v>
      </c>
      <c r="C349" t="str">
        <f>_xlfn.XLOOKUP(A349,A348:A947,[1]Sheet3!D517:D1116)</f>
        <v>CUST20603</v>
      </c>
      <c r="D349" t="str">
        <f>_xlfn.XLOOKUP(A349,A348:A947,[1]Sheet3!E517:E1116)</f>
        <v>Aditya Patel</v>
      </c>
      <c r="E349" s="5">
        <f>_xlfn.XLOOKUP(A349,A348:A947,[1]Sheet3!G517:G1116)</f>
        <v>47</v>
      </c>
      <c r="F349" t="str">
        <f>_xlfn.XLOOKUP('Retail Sales'!A518,'Retail Sales'!A517:A1116,[1]Sheet3!H517:H1116)</f>
        <v>Adult</v>
      </c>
      <c r="G349" t="str">
        <f>_xlfn.XLOOKUP(A349,A348:A947,[1]Sheet3!J517:J1116)</f>
        <v>Other</v>
      </c>
      <c r="H349" t="str">
        <f>_xlfn.XLOOKUP(A349,A348:A947,[1]Sheet3!K517:K1116)</f>
        <v>North</v>
      </c>
      <c r="I349" t="str">
        <f>_xlfn.XLOOKUP(A349,A348:A947,[1]Sheet3!L517:L1116)</f>
        <v>Delhi</v>
      </c>
      <c r="J349" t="str">
        <f>_xlfn.XLOOKUP(A349,A348:A947,[1]Sheet3!M517:M1116)</f>
        <v>Furniture</v>
      </c>
      <c r="K349" t="str">
        <f>_xlfn.XLOOKUP('Retail Sales'!A518,'Retail Sales'!A517:A1116,[1]Sheet3!N517:N1116)</f>
        <v>Desk</v>
      </c>
      <c r="L349" s="5">
        <f>_xlfn.XLOOKUP(A349,A348:A947,[1]Sheet3!P517:P1116)</f>
        <v>4</v>
      </c>
      <c r="M349" s="7">
        <f>_xlfn.XLOOKUP(A349,A348:A947,[1]Sheet3!Q517:Q1116)</f>
        <v>16407.34</v>
      </c>
      <c r="N349" s="9">
        <f>_xlfn.XLOOKUP(A349,A348:A947,[1]Sheet3!S517:S1116)</f>
        <v>0.13</v>
      </c>
      <c r="O349" s="7">
        <f>_xlfn.XLOOKUP(A349,A348:A947,[1]Sheet3!T517:T1116)</f>
        <v>51661.63</v>
      </c>
      <c r="P349" s="7">
        <f>_xlfn.XLOOKUP(A349,A348:A947,[1]Sheet3!U517:U1116)</f>
        <v>18819.990000000002</v>
      </c>
      <c r="Q349" s="11">
        <f>_xlfn.XLOOKUP(A349,A348:A947,[1]Sheet3!V517:V1116)</f>
        <v>0.36429338369695269</v>
      </c>
      <c r="R349" s="7">
        <f>_xlfn.XLOOKUP(A349,A348:A947,[1]Sheet3!W517:W1116)</f>
        <v>55.63</v>
      </c>
      <c r="S349" t="str">
        <f>_xlfn.XLOOKUP(A349,A348:A947,[1]Sheet3!X517:X1116)</f>
        <v>Cash on Delivery</v>
      </c>
      <c r="T349" s="5">
        <f>_xlfn.XLOOKUP(A349,A348:A947,[1]Sheet3!Z517:Z1116)</f>
        <v>3</v>
      </c>
      <c r="U349" t="b">
        <f>_xlfn.XLOOKUP(A349,A348:A947,[1]Sheet3!AA517:AA1116)</f>
        <v>0</v>
      </c>
      <c r="V349" t="str">
        <f>_xlfn.XLOOKUP(A349,A348:A947,[1]Sheet3!AC517:AC1116)</f>
        <v>Delivered</v>
      </c>
      <c r="W349" s="5">
        <f>_xlfn.XLOOKUP(A349,A348:A947,[1]Sheet3!AE517:AE1116)</f>
        <v>7</v>
      </c>
    </row>
    <row r="350" spans="1:23" x14ac:dyDescent="0.35">
      <c r="A350" t="s">
        <v>317</v>
      </c>
      <c r="B350" s="1">
        <f>_xlfn.XLOOKUP(A350,A349:A948,[1]Sheet3!C282:C881)</f>
        <v>44938</v>
      </c>
      <c r="C350" t="str">
        <f>_xlfn.XLOOKUP(A350,A349:A948,[1]Sheet3!D282:D881)</f>
        <v>CUST69130</v>
      </c>
      <c r="D350" t="str">
        <f>_xlfn.XLOOKUP(A350,A349:A948,[1]Sheet3!E282:E881)</f>
        <v>Sunita Pillai</v>
      </c>
      <c r="E350" s="5">
        <f>_xlfn.XLOOKUP(A350,A349:A948,[1]Sheet3!G282:G881)</f>
        <v>48</v>
      </c>
      <c r="F350" t="str">
        <f>_xlfn.XLOOKUP('Retail Sales'!A283,'Retail Sales'!A282:A881,[1]Sheet3!H282:H881)</f>
        <v>Adult</v>
      </c>
      <c r="G350" t="str">
        <f>_xlfn.XLOOKUP(A350,A349:A948,[1]Sheet3!J282:J881)</f>
        <v>Other</v>
      </c>
      <c r="H350" t="str">
        <f>_xlfn.XLOOKUP(A350,A349:A948,[1]Sheet3!K282:K881)</f>
        <v>North</v>
      </c>
      <c r="I350" t="str">
        <f>_xlfn.XLOOKUP(A350,A349:A948,[1]Sheet3!L282:L881)</f>
        <v>Amritsar</v>
      </c>
      <c r="J350" t="str">
        <f>_xlfn.XLOOKUP(A350,A349:A948,[1]Sheet3!M282:M881)</f>
        <v>Sports</v>
      </c>
      <c r="K350" t="str">
        <f>_xlfn.XLOOKUP('Retail Sales'!A283,'Retail Sales'!A282:A881,[1]Sheet3!N282:N881)</f>
        <v>Yoga Mat</v>
      </c>
      <c r="L350" s="5">
        <f>_xlfn.XLOOKUP(A350,A349:A948,[1]Sheet3!P282:P881)</f>
        <v>6</v>
      </c>
      <c r="M350" s="7">
        <f>_xlfn.XLOOKUP(A350,A349:A948,[1]Sheet3!Q282:Q881)</f>
        <v>13916.75</v>
      </c>
      <c r="N350" s="9">
        <f>_xlfn.XLOOKUP(A350,A349:A948,[1]Sheet3!S282:S881)</f>
        <v>0.25</v>
      </c>
      <c r="O350" s="7">
        <f>_xlfn.XLOOKUP(A350,A349:A948,[1]Sheet3!T282:T881)</f>
        <v>54342.29</v>
      </c>
      <c r="P350" s="7">
        <f>_xlfn.XLOOKUP(A350,A349:A948,[1]Sheet3!U282:U881)</f>
        <v>12305.07</v>
      </c>
      <c r="Q350" s="11">
        <f>_xlfn.XLOOKUP(A350,A349:A948,[1]Sheet3!V282:V881)</f>
        <v>0.22643635371273457</v>
      </c>
      <c r="R350" s="7">
        <f>_xlfn.XLOOKUP(A350,A349:A948,[1]Sheet3!W282:W881)</f>
        <v>38.89</v>
      </c>
      <c r="S350" t="str">
        <f>_xlfn.XLOOKUP(A350,A349:A948,[1]Sheet3!X282:X881)</f>
        <v>UPI</v>
      </c>
      <c r="T350" s="5">
        <f>_xlfn.XLOOKUP(A350,A349:A948,[1]Sheet3!Z282:Z881)</f>
        <v>4</v>
      </c>
      <c r="U350" t="b">
        <f>_xlfn.XLOOKUP(A350,A349:A948,[1]Sheet3!AA282:AA881)</f>
        <v>0</v>
      </c>
      <c r="V350" t="str">
        <f>_xlfn.XLOOKUP(A350,A349:A948,[1]Sheet3!AC282:AC881)</f>
        <v>Pending</v>
      </c>
      <c r="W350" s="5">
        <f>_xlfn.XLOOKUP(A350,A349:A948,[1]Sheet3!AE282:AE881)</f>
        <v>5</v>
      </c>
    </row>
    <row r="351" spans="1:23" x14ac:dyDescent="0.35">
      <c r="A351" t="s">
        <v>562</v>
      </c>
      <c r="B351" s="1">
        <f>_xlfn.XLOOKUP(A351,A350:A949,[1]Sheet3!C37:C636)</f>
        <v>44943</v>
      </c>
      <c r="C351" t="str">
        <f>_xlfn.XLOOKUP(A351,A350:A949,[1]Sheet3!D37:D636)</f>
        <v>CUST71120</v>
      </c>
      <c r="D351" t="str">
        <f>_xlfn.XLOOKUP(A351,A350:A949,[1]Sheet3!E37:E636)</f>
        <v>Ritu Nair</v>
      </c>
      <c r="E351" s="5">
        <f>_xlfn.XLOOKUP(A351,A350:A949,[1]Sheet3!G37:G636)</f>
        <v>35</v>
      </c>
      <c r="F351" t="str">
        <f>_xlfn.XLOOKUP('Retail Sales'!A38,'Retail Sales'!A37:A636,[1]Sheet3!H37:H636)</f>
        <v>Young Adult</v>
      </c>
      <c r="G351" t="str">
        <f>_xlfn.XLOOKUP(A351,A350:A949,[1]Sheet3!J37:J636)</f>
        <v>Male</v>
      </c>
      <c r="H351" t="str">
        <f>_xlfn.XLOOKUP(A351,A350:A949,[1]Sheet3!K37:K636)</f>
        <v>North</v>
      </c>
      <c r="I351" t="str">
        <f>_xlfn.XLOOKUP(A351,A350:A949,[1]Sheet3!L37:L636)</f>
        <v>Amritsar</v>
      </c>
      <c r="J351" t="str">
        <f>_xlfn.XLOOKUP(A351,A350:A949,[1]Sheet3!M37:M636)</f>
        <v>Furniture</v>
      </c>
      <c r="K351" t="str">
        <f>_xlfn.XLOOKUP('Retail Sales'!A38,'Retail Sales'!A37:A636,[1]Sheet3!N37:N636)</f>
        <v>Sofa</v>
      </c>
      <c r="L351" s="5">
        <f>_xlfn.XLOOKUP(A351,A350:A949,[1]Sheet3!P37:P636)</f>
        <v>3</v>
      </c>
      <c r="M351" s="7">
        <f>_xlfn.XLOOKUP(A351,A350:A949,[1]Sheet3!Q37:Q636)</f>
        <v>31242.32</v>
      </c>
      <c r="N351" s="9">
        <f>_xlfn.XLOOKUP(A351,A350:A949,[1]Sheet3!S37:S636)</f>
        <v>0.01</v>
      </c>
      <c r="O351" s="7">
        <f>_xlfn.XLOOKUP(A351,A350:A949,[1]Sheet3!T37:T636)</f>
        <v>92924.36</v>
      </c>
      <c r="P351" s="7">
        <f>_xlfn.XLOOKUP(A351,A350:A949,[1]Sheet3!U37:U636)</f>
        <v>27403.47</v>
      </c>
      <c r="Q351" s="11">
        <f>_xlfn.XLOOKUP(A351,A350:A949,[1]Sheet3!V37:V636)</f>
        <v>0.29490082040920162</v>
      </c>
      <c r="R351" s="7">
        <f>_xlfn.XLOOKUP(A351,A350:A949,[1]Sheet3!W37:W636)</f>
        <v>52.73</v>
      </c>
      <c r="S351" t="str">
        <f>_xlfn.XLOOKUP(A351,A350:A949,[1]Sheet3!X37:X636)</f>
        <v>Debit Card</v>
      </c>
      <c r="T351" s="5">
        <f>_xlfn.XLOOKUP(A351,A350:A949,[1]Sheet3!Z37:Z636)</f>
        <v>3</v>
      </c>
      <c r="U351" t="b">
        <f>_xlfn.XLOOKUP(A351,A350:A949,[1]Sheet3!AA37:AA636)</f>
        <v>1</v>
      </c>
      <c r="V351" t="str">
        <f>_xlfn.XLOOKUP(A351,A350:A949,[1]Sheet3!AC37:AC636)</f>
        <v>Returned</v>
      </c>
      <c r="W351" s="5">
        <f>_xlfn.XLOOKUP(A351,A350:A949,[1]Sheet3!AE37:AE636)</f>
        <v>4</v>
      </c>
    </row>
    <row r="352" spans="1:23" x14ac:dyDescent="0.35">
      <c r="A352" t="s">
        <v>150</v>
      </c>
      <c r="B352" s="1">
        <f>_xlfn.XLOOKUP(A352,A351:A950,[1]Sheet3!C449:C1048)</f>
        <v>44956</v>
      </c>
      <c r="C352" t="str">
        <f>_xlfn.XLOOKUP(A352,A351:A950,[1]Sheet3!D449:D1048)</f>
        <v>CUST71632</v>
      </c>
      <c r="D352" t="str">
        <f>_xlfn.XLOOKUP(A352,A351:A950,[1]Sheet3!E449:E1048)</f>
        <v>Karan Sharma</v>
      </c>
      <c r="E352" s="5">
        <f>_xlfn.XLOOKUP(A352,A351:A950,[1]Sheet3!G449:G1048)</f>
        <v>13</v>
      </c>
      <c r="F352" t="str">
        <f>_xlfn.XLOOKUP('Retail Sales'!A450,'Retail Sales'!A449:A1048,[1]Sheet3!H449:H1048)</f>
        <v>Teen</v>
      </c>
      <c r="G352" t="str">
        <f>_xlfn.XLOOKUP(A352,A351:A950,[1]Sheet3!J449:J1048)</f>
        <v>Male</v>
      </c>
      <c r="H352" t="str">
        <f>_xlfn.XLOOKUP(A352,A351:A950,[1]Sheet3!K449:K1048)</f>
        <v>West</v>
      </c>
      <c r="I352" t="str">
        <f>_xlfn.XLOOKUP(A352,A351:A950,[1]Sheet3!L449:L1048)</f>
        <v>Surat</v>
      </c>
      <c r="J352" t="str">
        <f>_xlfn.XLOOKUP(A352,A351:A950,[1]Sheet3!M449:M1048)</f>
        <v>Sports</v>
      </c>
      <c r="K352" t="str">
        <f>_xlfn.XLOOKUP('Retail Sales'!A450,'Retail Sales'!A449:A1048,[1]Sheet3!N449:N1048)</f>
        <v>Dumbbells</v>
      </c>
      <c r="L352" s="5">
        <f>_xlfn.XLOOKUP(A352,A351:A950,[1]Sheet3!P449:P1048)</f>
        <v>4</v>
      </c>
      <c r="M352" s="7">
        <f>_xlfn.XLOOKUP(A352,A351:A950,[1]Sheet3!Q449:Q1048)</f>
        <v>6304.42</v>
      </c>
      <c r="N352" s="9">
        <f>_xlfn.XLOOKUP(A352,A351:A950,[1]Sheet3!S449:S1048)</f>
        <v>0.31</v>
      </c>
      <c r="O352" s="7">
        <f>_xlfn.XLOOKUP(A352,A351:A950,[1]Sheet3!T449:T1048)</f>
        <v>15164.38</v>
      </c>
      <c r="P352" s="7">
        <f>_xlfn.XLOOKUP(A352,A351:A950,[1]Sheet3!U449:U1048)</f>
        <v>3544.74</v>
      </c>
      <c r="Q352" s="11">
        <f>_xlfn.XLOOKUP(A352,A351:A950,[1]Sheet3!V449:V1048)</f>
        <v>0.23375436384474671</v>
      </c>
      <c r="R352" s="7">
        <f>_xlfn.XLOOKUP(A352,A351:A950,[1]Sheet3!W449:W1048)</f>
        <v>95.26</v>
      </c>
      <c r="S352" t="str">
        <f>_xlfn.XLOOKUP(A352,A351:A950,[1]Sheet3!X449:X1048)</f>
        <v>Credit Card</v>
      </c>
      <c r="T352" s="5">
        <f>_xlfn.XLOOKUP(A352,A351:A950,[1]Sheet3!Z449:Z1048)</f>
        <v>5</v>
      </c>
      <c r="U352" t="b">
        <f>_xlfn.XLOOKUP(A352,A351:A950,[1]Sheet3!AA449:AA1048)</f>
        <v>0</v>
      </c>
      <c r="V352" t="str">
        <f>_xlfn.XLOOKUP(A352,A351:A950,[1]Sheet3!AC449:AC1048)</f>
        <v>Delivered</v>
      </c>
      <c r="W352" s="5">
        <f>_xlfn.XLOOKUP(A352,A351:A950,[1]Sheet3!AE449:AE1048)</f>
        <v>6</v>
      </c>
    </row>
    <row r="353" spans="1:23" x14ac:dyDescent="0.35">
      <c r="A353" t="s">
        <v>279</v>
      </c>
      <c r="B353" s="1">
        <f>_xlfn.XLOOKUP(A353,A352:A951,[1]Sheet3!C320:C919)</f>
        <v>44963</v>
      </c>
      <c r="C353" t="str">
        <f>_xlfn.XLOOKUP(A353,A352:A951,[1]Sheet3!D320:D919)</f>
        <v>CUST31900</v>
      </c>
      <c r="D353" t="str">
        <f>_xlfn.XLOOKUP(A353,A352:A951,[1]Sheet3!E320:E919)</f>
        <v>Amit Rao</v>
      </c>
      <c r="E353" s="5">
        <f>_xlfn.XLOOKUP(A353,A352:A951,[1]Sheet3!G320:G919)</f>
        <v>39</v>
      </c>
      <c r="F353" t="str">
        <f>_xlfn.XLOOKUP('Retail Sales'!A321,'Retail Sales'!A320:A919,[1]Sheet3!H320:H919)</f>
        <v>Adult</v>
      </c>
      <c r="G353" t="str">
        <f>_xlfn.XLOOKUP(A353,A352:A951,[1]Sheet3!J320:J919)</f>
        <v>Other</v>
      </c>
      <c r="H353" t="str">
        <f>_xlfn.XLOOKUP(A353,A352:A951,[1]Sheet3!K320:K919)</f>
        <v>South</v>
      </c>
      <c r="I353" t="str">
        <f>_xlfn.XLOOKUP(A353,A352:A951,[1]Sheet3!L320:L919)</f>
        <v>Bangalore</v>
      </c>
      <c r="J353" t="str">
        <f>_xlfn.XLOOKUP(A353,A352:A951,[1]Sheet3!M320:M919)</f>
        <v>Sports</v>
      </c>
      <c r="K353" t="str">
        <f>_xlfn.XLOOKUP('Retail Sales'!A321,'Retail Sales'!A320:A919,[1]Sheet3!N320:N919)</f>
        <v>Yoga Mat</v>
      </c>
      <c r="L353" s="5">
        <f>_xlfn.XLOOKUP(A353,A352:A951,[1]Sheet3!P320:P919)</f>
        <v>8</v>
      </c>
      <c r="M353" s="7">
        <f>_xlfn.XLOOKUP(A353,A352:A951,[1]Sheet3!Q320:Q919)</f>
        <v>5590.43</v>
      </c>
      <c r="N353" s="9">
        <f>_xlfn.XLOOKUP(A353,A352:A951,[1]Sheet3!S320:S919)</f>
        <v>0.19</v>
      </c>
      <c r="O353" s="7">
        <f>_xlfn.XLOOKUP(A353,A352:A951,[1]Sheet3!T320:T919)</f>
        <v>37398.22</v>
      </c>
      <c r="P353" s="7">
        <f>_xlfn.XLOOKUP(A353,A352:A951,[1]Sheet3!U320:U919)</f>
        <v>4824.74</v>
      </c>
      <c r="Q353" s="11">
        <f>_xlfn.XLOOKUP(A353,A352:A951,[1]Sheet3!V320:V919)</f>
        <v>0.12900988335808494</v>
      </c>
      <c r="R353" s="7">
        <f>_xlfn.XLOOKUP(A353,A352:A951,[1]Sheet3!W320:W919)</f>
        <v>69.42</v>
      </c>
      <c r="S353" t="str">
        <f>_xlfn.XLOOKUP(A353,A352:A951,[1]Sheet3!X320:X919)</f>
        <v>Credit Card</v>
      </c>
      <c r="T353" s="5">
        <f>_xlfn.XLOOKUP(A353,A352:A951,[1]Sheet3!Z320:Z919)</f>
        <v>4</v>
      </c>
      <c r="U353" t="b">
        <f>_xlfn.XLOOKUP(A353,A352:A951,[1]Sheet3!AA320:AA919)</f>
        <v>0</v>
      </c>
      <c r="V353" t="str">
        <f>_xlfn.XLOOKUP(A353,A352:A951,[1]Sheet3!AC320:AC919)</f>
        <v>Delivered</v>
      </c>
      <c r="W353" s="5">
        <f>_xlfn.XLOOKUP(A353,A352:A951,[1]Sheet3!AE320:AE919)</f>
        <v>2</v>
      </c>
    </row>
    <row r="354" spans="1:23" x14ac:dyDescent="0.35">
      <c r="A354" t="s">
        <v>226</v>
      </c>
      <c r="B354" s="1">
        <f>_xlfn.XLOOKUP(A354,A353:A952,[1]Sheet3!C373:C972)</f>
        <v>44963</v>
      </c>
      <c r="C354" t="str">
        <f>_xlfn.XLOOKUP(A354,A353:A952,[1]Sheet3!D373:D972)</f>
        <v>CUST96115</v>
      </c>
      <c r="D354" t="str">
        <f>_xlfn.XLOOKUP(A354,A353:A952,[1]Sheet3!E373:E972)</f>
        <v>Sanjay Rao</v>
      </c>
      <c r="E354" s="5">
        <f>_xlfn.XLOOKUP(A354,A353:A952,[1]Sheet3!G373:G972)</f>
        <v>39</v>
      </c>
      <c r="F354" t="str">
        <f>_xlfn.XLOOKUP('Retail Sales'!A374,'Retail Sales'!A373:A972,[1]Sheet3!H373:H972)</f>
        <v>Adult</v>
      </c>
      <c r="G354" t="str">
        <f>_xlfn.XLOOKUP(A354,A353:A952,[1]Sheet3!J373:J972)</f>
        <v>Male</v>
      </c>
      <c r="H354" t="str">
        <f>_xlfn.XLOOKUP(A354,A353:A952,[1]Sheet3!K373:K972)</f>
        <v>South</v>
      </c>
      <c r="I354" t="str">
        <f>_xlfn.XLOOKUP(A354,A353:A952,[1]Sheet3!L373:L972)</f>
        <v>Kochi</v>
      </c>
      <c r="J354" t="str">
        <f>_xlfn.XLOOKUP(A354,A353:A952,[1]Sheet3!M373:M972)</f>
        <v>Books</v>
      </c>
      <c r="K354" t="str">
        <f>_xlfn.XLOOKUP('Retail Sales'!A374,'Retail Sales'!A373:A972,[1]Sheet3!N373:N972)</f>
        <v>Self-Help Book</v>
      </c>
      <c r="L354" s="5">
        <f>_xlfn.XLOOKUP(A354,A353:A952,[1]Sheet3!P373:P972)</f>
        <v>10</v>
      </c>
      <c r="M354" s="7">
        <f>_xlfn.XLOOKUP(A354,A353:A952,[1]Sheet3!Q373:Q972)</f>
        <v>947.87</v>
      </c>
      <c r="N354" s="9">
        <f>_xlfn.XLOOKUP(A354,A353:A952,[1]Sheet3!S373:S972)</f>
        <v>0.24</v>
      </c>
      <c r="O354" s="7">
        <f>_xlfn.XLOOKUP(A354,A353:A952,[1]Sheet3!T373:T972)</f>
        <v>7234.13</v>
      </c>
      <c r="P354" s="7">
        <f>_xlfn.XLOOKUP(A354,A353:A952,[1]Sheet3!U373:U972)</f>
        <v>3527.5</v>
      </c>
      <c r="Q354" s="11">
        <f>_xlfn.XLOOKUP(A354,A353:A952,[1]Sheet3!V373:V972)</f>
        <v>0.48761910554551824</v>
      </c>
      <c r="R354" s="7">
        <f>_xlfn.XLOOKUP(A354,A353:A952,[1]Sheet3!W373:W972)</f>
        <v>84.4</v>
      </c>
      <c r="S354" t="str">
        <f>_xlfn.XLOOKUP(A354,A353:A952,[1]Sheet3!X373:X972)</f>
        <v>Credit Card</v>
      </c>
      <c r="T354" s="5">
        <f>_xlfn.XLOOKUP(A354,A353:A952,[1]Sheet3!Z373:Z972)</f>
        <v>4</v>
      </c>
      <c r="U354" t="b">
        <f>_xlfn.XLOOKUP(A354,A353:A952,[1]Sheet3!AA373:AA972)</f>
        <v>0</v>
      </c>
      <c r="V354" t="str">
        <f>_xlfn.XLOOKUP(A354,A353:A952,[1]Sheet3!AC373:AC972)</f>
        <v>Delivered</v>
      </c>
      <c r="W354" s="5">
        <f>_xlfn.XLOOKUP(A354,A353:A952,[1]Sheet3!AE373:AE972)</f>
        <v>4</v>
      </c>
    </row>
    <row r="355" spans="1:23" x14ac:dyDescent="0.35">
      <c r="A355" t="s">
        <v>154</v>
      </c>
      <c r="B355" s="1">
        <f>_xlfn.XLOOKUP(A355,A354:A953,[1]Sheet3!C445:C1044)</f>
        <v>44966</v>
      </c>
      <c r="C355" t="str">
        <f>_xlfn.XLOOKUP(A355,A354:A953,[1]Sheet3!D445:D1044)</f>
        <v>CUST69520</v>
      </c>
      <c r="D355" t="str">
        <f>_xlfn.XLOOKUP(A355,A354:A953,[1]Sheet3!E445:E1044)</f>
        <v>Vikram Pillai</v>
      </c>
      <c r="E355" s="5">
        <f>_xlfn.XLOOKUP(A355,A354:A953,[1]Sheet3!G445:G1044)</f>
        <v>18</v>
      </c>
      <c r="F355" t="str">
        <f>_xlfn.XLOOKUP('Retail Sales'!A446,'Retail Sales'!A445:A1044,[1]Sheet3!H445:H1044)</f>
        <v>Teen</v>
      </c>
      <c r="G355" t="str">
        <f>_xlfn.XLOOKUP(A355,A354:A953,[1]Sheet3!J445:J1044)</f>
        <v>Male</v>
      </c>
      <c r="H355" t="str">
        <f>_xlfn.XLOOKUP(A355,A354:A953,[1]Sheet3!K445:K1044)</f>
        <v>North</v>
      </c>
      <c r="I355" t="str">
        <f>_xlfn.XLOOKUP(A355,A354:A953,[1]Sheet3!L445:L1044)</f>
        <v>Delhi</v>
      </c>
      <c r="J355" t="str">
        <f>_xlfn.XLOOKUP(A355,A354:A953,[1]Sheet3!M445:M1044)</f>
        <v>Sports</v>
      </c>
      <c r="K355" t="str">
        <f>_xlfn.XLOOKUP('Retail Sales'!A446,'Retail Sales'!A445:A1044,[1]Sheet3!N445:N1044)</f>
        <v>Yoga Mat</v>
      </c>
      <c r="L355" s="5">
        <f>_xlfn.XLOOKUP(A355,A354:A953,[1]Sheet3!P445:P1044)</f>
        <v>1</v>
      </c>
      <c r="M355" s="7">
        <f>_xlfn.XLOOKUP(A355,A354:A953,[1]Sheet3!Q445:Q1044)</f>
        <v>12495.08</v>
      </c>
      <c r="N355" s="9">
        <f>_xlfn.XLOOKUP(A355,A354:A953,[1]Sheet3!S445:S1044)</f>
        <v>0.27</v>
      </c>
      <c r="O355" s="7">
        <f>_xlfn.XLOOKUP(A355,A354:A953,[1]Sheet3!T445:T1044)</f>
        <v>9249.06</v>
      </c>
      <c r="P355" s="7">
        <f>_xlfn.XLOOKUP(A355,A354:A953,[1]Sheet3!U445:U1044)</f>
        <v>1686.4</v>
      </c>
      <c r="Q355" s="11">
        <f>_xlfn.XLOOKUP(A355,A354:A953,[1]Sheet3!V445:V1044)</f>
        <v>0.18233204239133494</v>
      </c>
      <c r="R355" s="7">
        <f>_xlfn.XLOOKUP(A355,A354:A953,[1]Sheet3!W445:W1044)</f>
        <v>55.06</v>
      </c>
      <c r="S355" t="str">
        <f>_xlfn.XLOOKUP(A355,A354:A953,[1]Sheet3!X445:X1044)</f>
        <v>Credit Card</v>
      </c>
      <c r="T355" s="5">
        <f>_xlfn.XLOOKUP(A355,A354:A953,[1]Sheet3!Z445:Z1044)</f>
        <v>5</v>
      </c>
      <c r="U355" t="b">
        <f>_xlfn.XLOOKUP(A355,A354:A953,[1]Sheet3!AA445:AA1044)</f>
        <v>0</v>
      </c>
      <c r="V355" t="str">
        <f>_xlfn.XLOOKUP(A355,A354:A953,[1]Sheet3!AC445:AC1044)</f>
        <v>Delivered</v>
      </c>
      <c r="W355" s="5">
        <f>_xlfn.XLOOKUP(A355,A354:A953,[1]Sheet3!AE445:AE1044)</f>
        <v>9</v>
      </c>
    </row>
    <row r="356" spans="1:23" x14ac:dyDescent="0.35">
      <c r="A356" t="s">
        <v>364</v>
      </c>
      <c r="B356" s="1">
        <f>_xlfn.XLOOKUP(A356,A355:A954,[1]Sheet3!C235:C834)</f>
        <v>44967</v>
      </c>
      <c r="C356" t="str">
        <f>_xlfn.XLOOKUP(A356,A355:A954,[1]Sheet3!D235:D834)</f>
        <v>CUST54344</v>
      </c>
      <c r="D356" t="str">
        <f>_xlfn.XLOOKUP(A356,A355:A954,[1]Sheet3!E235:E834)</f>
        <v>Nisha Reddy</v>
      </c>
      <c r="E356" s="5">
        <f>_xlfn.XLOOKUP(A356,A355:A954,[1]Sheet3!G235:G834)</f>
        <v>41</v>
      </c>
      <c r="F356" t="str">
        <f>_xlfn.XLOOKUP('Retail Sales'!A236,'Retail Sales'!A235:A834,[1]Sheet3!H235:H834)</f>
        <v>Adult</v>
      </c>
      <c r="G356" t="str">
        <f>_xlfn.XLOOKUP(A356,A355:A954,[1]Sheet3!J235:J834)</f>
        <v>Female</v>
      </c>
      <c r="H356" t="str">
        <f>_xlfn.XLOOKUP(A356,A355:A954,[1]Sheet3!K235:K834)</f>
        <v>North</v>
      </c>
      <c r="I356" t="str">
        <f>_xlfn.XLOOKUP(A356,A355:A954,[1]Sheet3!L235:L834)</f>
        <v>Delhi</v>
      </c>
      <c r="J356" t="str">
        <f>_xlfn.XLOOKUP(A356,A355:A954,[1]Sheet3!M235:M834)</f>
        <v>Clothing</v>
      </c>
      <c r="K356" t="str">
        <f>_xlfn.XLOOKUP('Retail Sales'!A236,'Retail Sales'!A235:A834,[1]Sheet3!N235:N834)</f>
        <v>Saree</v>
      </c>
      <c r="L356" s="5">
        <f>_xlfn.XLOOKUP(A356,A355:A954,[1]Sheet3!P235:P834)</f>
        <v>5</v>
      </c>
      <c r="M356" s="7">
        <f>_xlfn.XLOOKUP(A356,A355:A954,[1]Sheet3!Q235:Q834)</f>
        <v>2531.54</v>
      </c>
      <c r="N356" s="9">
        <f>_xlfn.XLOOKUP(A356,A355:A954,[1]Sheet3!S235:S834)</f>
        <v>0.19793402777777783</v>
      </c>
      <c r="O356" s="7">
        <f>_xlfn.XLOOKUP(A356,A355:A954,[1]Sheet3!T235:T834)</f>
        <v>13540.41</v>
      </c>
      <c r="P356" s="7">
        <f>_xlfn.XLOOKUP(A356,A355:A954,[1]Sheet3!U235:U834)</f>
        <v>5111.1099999999997</v>
      </c>
      <c r="Q356" s="11">
        <f>_xlfn.XLOOKUP(A356,A355:A954,[1]Sheet3!V235:V834)</f>
        <v>0.37747084467900155</v>
      </c>
      <c r="R356" s="7">
        <f>_xlfn.XLOOKUP(A356,A355:A954,[1]Sheet3!W235:W834)</f>
        <v>49.22</v>
      </c>
      <c r="S356" t="str">
        <f>_xlfn.XLOOKUP(A356,A355:A954,[1]Sheet3!X235:X834)</f>
        <v>Net Banking</v>
      </c>
      <c r="T356" s="5">
        <f>_xlfn.XLOOKUP(A356,A355:A954,[1]Sheet3!Z235:Z834)</f>
        <v>3</v>
      </c>
      <c r="U356" t="b">
        <f>_xlfn.XLOOKUP(A356,A355:A954,[1]Sheet3!AA235:AA834)</f>
        <v>0</v>
      </c>
      <c r="V356" t="str">
        <f>_xlfn.XLOOKUP(A356,A355:A954,[1]Sheet3!AC235:AC834)</f>
        <v>Shipped</v>
      </c>
      <c r="W356" s="5">
        <f>_xlfn.XLOOKUP(A356,A355:A954,[1]Sheet3!AE235:AE834)</f>
        <v>4</v>
      </c>
    </row>
    <row r="357" spans="1:23" x14ac:dyDescent="0.35">
      <c r="A357" t="s">
        <v>126</v>
      </c>
      <c r="B357" s="1">
        <f>_xlfn.XLOOKUP(A357,A356:A955,[1]Sheet3!C473:C1072)</f>
        <v>44971</v>
      </c>
      <c r="C357" t="str">
        <f>_xlfn.XLOOKUP(A357,A356:A955,[1]Sheet3!D473:D1072)</f>
        <v>CUST21078</v>
      </c>
      <c r="D357" t="str">
        <f>_xlfn.XLOOKUP(A357,A356:A955,[1]Sheet3!E473:E1072)</f>
        <v>Meera Kapoor</v>
      </c>
      <c r="E357" s="5">
        <f>_xlfn.XLOOKUP(A357,A356:A955,[1]Sheet3!G473:G1072)</f>
        <v>33</v>
      </c>
      <c r="F357" t="str">
        <f>_xlfn.XLOOKUP('Retail Sales'!A474,'Retail Sales'!A473:A1072,[1]Sheet3!H473:H1072)</f>
        <v>Young Adult</v>
      </c>
      <c r="G357" t="str">
        <f>_xlfn.XLOOKUP(A357,A356:A955,[1]Sheet3!J473:J1072)</f>
        <v>Female</v>
      </c>
      <c r="H357" t="str">
        <f>_xlfn.XLOOKUP(A357,A356:A955,[1]Sheet3!K473:K1072)</f>
        <v>North</v>
      </c>
      <c r="I357" t="str">
        <f>_xlfn.XLOOKUP(A357,A356:A955,[1]Sheet3!L473:L1072)</f>
        <v>Ludhiana</v>
      </c>
      <c r="J357" t="str">
        <f>_xlfn.XLOOKUP(A357,A356:A955,[1]Sheet3!M473:M1072)</f>
        <v>Electronics</v>
      </c>
      <c r="K357" t="str">
        <f>_xlfn.XLOOKUP('Retail Sales'!A474,'Retail Sales'!A473:A1072,[1]Sheet3!N473:N1072)</f>
        <v>Laptop</v>
      </c>
      <c r="L357" s="5">
        <f>_xlfn.XLOOKUP(A357,A356:A955,[1]Sheet3!P473:P1072)</f>
        <v>9</v>
      </c>
      <c r="M357" s="7">
        <f>_xlfn.XLOOKUP(A357,A356:A955,[1]Sheet3!Q473:Q1072)</f>
        <v>41854.410000000003</v>
      </c>
      <c r="N357" s="9">
        <f>_xlfn.XLOOKUP(A357,A356:A955,[1]Sheet3!S473:S1072)</f>
        <v>0.33</v>
      </c>
      <c r="O357" s="7">
        <f>_xlfn.XLOOKUP(A357,A356:A955,[1]Sheet3!T473:T1072)</f>
        <v>247342.73</v>
      </c>
      <c r="P357" s="7">
        <f>_xlfn.XLOOKUP(A357,A356:A955,[1]Sheet3!U473:U1072)</f>
        <v>30449.06</v>
      </c>
      <c r="Q357" s="11">
        <f>_xlfn.XLOOKUP(A357,A356:A955,[1]Sheet3!V473:V1072)</f>
        <v>0.12310473002380139</v>
      </c>
      <c r="R357" s="7">
        <f>_xlfn.XLOOKUP(A357,A356:A955,[1]Sheet3!W473:W1072)</f>
        <v>42.16</v>
      </c>
      <c r="S357" t="str">
        <f>_xlfn.XLOOKUP(A357,A356:A955,[1]Sheet3!X473:X1072)</f>
        <v>Debit Card</v>
      </c>
      <c r="T357" s="5">
        <f>_xlfn.XLOOKUP(A357,A356:A955,[1]Sheet3!Z473:Z1072)</f>
        <v>2</v>
      </c>
      <c r="U357" t="b">
        <f>_xlfn.XLOOKUP(A357,A356:A955,[1]Sheet3!AA473:AA1072)</f>
        <v>0</v>
      </c>
      <c r="V357" t="str">
        <f>_xlfn.XLOOKUP(A357,A356:A955,[1]Sheet3!AC473:AC1072)</f>
        <v>Delivered</v>
      </c>
      <c r="W357" s="5">
        <f>_xlfn.XLOOKUP(A357,A356:A955,[1]Sheet3!AE473:AE1072)</f>
        <v>8</v>
      </c>
    </row>
    <row r="358" spans="1:23" x14ac:dyDescent="0.35">
      <c r="A358" t="s">
        <v>293</v>
      </c>
      <c r="B358" s="1">
        <f>_xlfn.XLOOKUP(A358,A357:A956,[1]Sheet3!C306:C905)</f>
        <v>44972</v>
      </c>
      <c r="C358" t="str">
        <f>_xlfn.XLOOKUP(A358,A357:A956,[1]Sheet3!D306:D905)</f>
        <v>CUST74282</v>
      </c>
      <c r="D358" t="str">
        <f>_xlfn.XLOOKUP(A358,A357:A956,[1]Sheet3!E306:E905)</f>
        <v>Ritu Das</v>
      </c>
      <c r="E358" s="5">
        <f>_xlfn.XLOOKUP(A358,A357:A956,[1]Sheet3!G306:G905)</f>
        <v>47</v>
      </c>
      <c r="F358" t="str">
        <f>_xlfn.XLOOKUP('Retail Sales'!A307,'Retail Sales'!A306:A905,[1]Sheet3!H306:H905)</f>
        <v>Adult</v>
      </c>
      <c r="G358" t="str">
        <f>_xlfn.XLOOKUP(A358,A357:A956,[1]Sheet3!J306:J905)</f>
        <v>Male</v>
      </c>
      <c r="H358" t="str">
        <f>_xlfn.XLOOKUP(A358,A357:A956,[1]Sheet3!K306:K905)</f>
        <v>South</v>
      </c>
      <c r="I358" t="str">
        <f>_xlfn.XLOOKUP(A358,A357:A956,[1]Sheet3!L306:L905)</f>
        <v>Hyderabad</v>
      </c>
      <c r="J358" t="str">
        <f>_xlfn.XLOOKUP(A358,A357:A956,[1]Sheet3!M306:M905)</f>
        <v>Beauty</v>
      </c>
      <c r="K358" t="str">
        <f>_xlfn.XLOOKUP('Retail Sales'!A307,'Retail Sales'!A306:A905,[1]Sheet3!N306:N905)</f>
        <v>Perfume</v>
      </c>
      <c r="L358" s="5">
        <f>_xlfn.XLOOKUP(A358,A357:A956,[1]Sheet3!P306:P905)</f>
        <v>9</v>
      </c>
      <c r="M358" s="7">
        <f>_xlfn.XLOOKUP(A358,A357:A956,[1]Sheet3!Q306:Q905)</f>
        <v>1698.6</v>
      </c>
      <c r="N358" s="9">
        <f>_xlfn.XLOOKUP(A358,A357:A956,[1]Sheet3!S306:S905)</f>
        <v>0.25</v>
      </c>
      <c r="O358" s="7">
        <f>_xlfn.XLOOKUP(A358,A357:A956,[1]Sheet3!T306:T905)</f>
        <v>12379.8</v>
      </c>
      <c r="P358" s="7">
        <f>_xlfn.XLOOKUP(A358,A357:A956,[1]Sheet3!U306:U905)</f>
        <v>4098.1499999999996</v>
      </c>
      <c r="Q358" s="11">
        <f>_xlfn.XLOOKUP(A358,A357:A956,[1]Sheet3!V306:V905)</f>
        <v>0.33103523481800995</v>
      </c>
      <c r="R358" s="7">
        <f>_xlfn.XLOOKUP(A358,A357:A956,[1]Sheet3!W306:W905)</f>
        <v>63.7</v>
      </c>
      <c r="S358" t="str">
        <f>_xlfn.XLOOKUP(A358,A357:A956,[1]Sheet3!X306:X905)</f>
        <v>EMI</v>
      </c>
      <c r="T358" s="5">
        <f>_xlfn.XLOOKUP(A358,A357:A956,[1]Sheet3!Z306:Z905)</f>
        <v>3</v>
      </c>
      <c r="U358" t="b">
        <f>_xlfn.XLOOKUP(A358,A357:A956,[1]Sheet3!AA306:AA905)</f>
        <v>0</v>
      </c>
      <c r="V358" t="str">
        <f>_xlfn.XLOOKUP(A358,A357:A956,[1]Sheet3!AC306:AC905)</f>
        <v>Delivered</v>
      </c>
      <c r="W358" s="5">
        <f>_xlfn.XLOOKUP(A358,A357:A956,[1]Sheet3!AE306:AE905)</f>
        <v>1</v>
      </c>
    </row>
    <row r="359" spans="1:23" x14ac:dyDescent="0.35">
      <c r="A359" t="s">
        <v>26</v>
      </c>
      <c r="B359" s="1">
        <f>_xlfn.XLOOKUP(A359,A358:A957,[1]Sheet3!C573:C1172)</f>
        <v>44974</v>
      </c>
      <c r="C359" t="str">
        <f>_xlfn.XLOOKUP(A359,A358:A957,[1]Sheet3!D573:D1172)</f>
        <v>CUST02524</v>
      </c>
      <c r="D359" t="str">
        <f>_xlfn.XLOOKUP(A359,A358:A957,[1]Sheet3!E573:E1172)</f>
        <v>Amit Patel</v>
      </c>
      <c r="E359" s="5">
        <f>_xlfn.XLOOKUP(A359,A358:A957,[1]Sheet3!G573:G1172)</f>
        <v>50</v>
      </c>
      <c r="F359" t="str">
        <f>_xlfn.XLOOKUP('Retail Sales'!A574,'Retail Sales'!A573:A1172,[1]Sheet3!H573:H1172)</f>
        <v>Adult</v>
      </c>
      <c r="G359" t="str">
        <f>_xlfn.XLOOKUP(A359,A358:A957,[1]Sheet3!J573:J1172)</f>
        <v>Male</v>
      </c>
      <c r="H359" t="str">
        <f>_xlfn.XLOOKUP(A359,A358:A957,[1]Sheet3!K573:K1172)</f>
        <v>West</v>
      </c>
      <c r="I359" t="str">
        <f>_xlfn.XLOOKUP(A359,A358:A957,[1]Sheet3!L573:L1172)</f>
        <v>Pune</v>
      </c>
      <c r="J359" t="str">
        <f>_xlfn.XLOOKUP(A359,A358:A957,[1]Sheet3!M573:M1172)</f>
        <v>Sports</v>
      </c>
      <c r="K359" t="str">
        <f>_xlfn.XLOOKUP('Retail Sales'!A574,'Retail Sales'!A573:A1172,[1]Sheet3!N573:N1172)</f>
        <v>Cricket Bat</v>
      </c>
      <c r="L359" s="5">
        <f>_xlfn.XLOOKUP(A359,A358:A957,[1]Sheet3!P573:P1172)</f>
        <v>6</v>
      </c>
      <c r="M359" s="7">
        <f>_xlfn.XLOOKUP(A359,A358:A957,[1]Sheet3!Q573:Q1172)</f>
        <v>9703.74</v>
      </c>
      <c r="N359" s="9">
        <f>_xlfn.XLOOKUP(A359,A358:A957,[1]Sheet3!S573:S1172)</f>
        <v>0.16</v>
      </c>
      <c r="O359" s="7">
        <f>_xlfn.XLOOKUP(A359,A358:A957,[1]Sheet3!T573:T1172)</f>
        <v>52648.79</v>
      </c>
      <c r="P359" s="7">
        <f>_xlfn.XLOOKUP(A359,A358:A957,[1]Sheet3!U573:U1172)</f>
        <v>8966.19</v>
      </c>
      <c r="Q359" s="11">
        <f>_xlfn.XLOOKUP(A359,A358:A957,[1]Sheet3!V573:V1172)</f>
        <v>0.17030191956928165</v>
      </c>
      <c r="R359" s="7">
        <f>_xlfn.XLOOKUP(A359,A358:A957,[1]Sheet3!W573:W1172)</f>
        <v>50.19</v>
      </c>
      <c r="S359" t="str">
        <f>_xlfn.XLOOKUP(A359,A358:A957,[1]Sheet3!X573:X1172)</f>
        <v>EMI</v>
      </c>
      <c r="T359" s="5">
        <f>_xlfn.XLOOKUP(A359,A358:A957,[1]Sheet3!Z573:Z1172)</f>
        <v>1</v>
      </c>
      <c r="U359" t="b">
        <f>_xlfn.XLOOKUP(A359,A358:A957,[1]Sheet3!AA573:AA1172)</f>
        <v>0</v>
      </c>
      <c r="V359" t="str">
        <f>_xlfn.XLOOKUP(A359,A358:A957,[1]Sheet3!AC573:AC1172)</f>
        <v>Delivered</v>
      </c>
      <c r="W359" s="5">
        <f>_xlfn.XLOOKUP(A359,A358:A957,[1]Sheet3!AE573:AE1172)</f>
        <v>7</v>
      </c>
    </row>
    <row r="360" spans="1:23" x14ac:dyDescent="0.35">
      <c r="A360" t="s">
        <v>113</v>
      </c>
      <c r="B360" s="1">
        <f>_xlfn.XLOOKUP(A360,A359:A958,[1]Sheet3!C486:C1085)</f>
        <v>44975</v>
      </c>
      <c r="C360" t="str">
        <f>_xlfn.XLOOKUP(A360,A359:A958,[1]Sheet3!D486:D1085)</f>
        <v>CUST98321</v>
      </c>
      <c r="D360" t="str">
        <f>_xlfn.XLOOKUP(A360,A359:A958,[1]Sheet3!E486:E1085)</f>
        <v>Ananya Shah</v>
      </c>
      <c r="E360" s="5">
        <f>_xlfn.XLOOKUP(A360,A359:A958,[1]Sheet3!G486:G1085)</f>
        <v>30</v>
      </c>
      <c r="F360" t="str">
        <f>_xlfn.XLOOKUP('Retail Sales'!A487,'Retail Sales'!A486:A1085,[1]Sheet3!H486:H1085)</f>
        <v>Young Adult</v>
      </c>
      <c r="G360" t="str">
        <f>_xlfn.XLOOKUP(A360,A359:A958,[1]Sheet3!J486:J1085)</f>
        <v>Male</v>
      </c>
      <c r="H360" t="str">
        <f>_xlfn.XLOOKUP(A360,A359:A958,[1]Sheet3!K486:K1085)</f>
        <v>North</v>
      </c>
      <c r="I360" t="str">
        <f>_xlfn.XLOOKUP(A360,A359:A958,[1]Sheet3!L486:L1085)</f>
        <v>Delhi</v>
      </c>
      <c r="J360" t="str">
        <f>_xlfn.XLOOKUP(A360,A359:A958,[1]Sheet3!M486:M1085)</f>
        <v>Books</v>
      </c>
      <c r="K360" t="str">
        <f>_xlfn.XLOOKUP('Retail Sales'!A487,'Retail Sales'!A486:A1085,[1]Sheet3!N486:N1085)</f>
        <v>Cook Book</v>
      </c>
      <c r="L360" s="5">
        <f>_xlfn.XLOOKUP(A360,A359:A958,[1]Sheet3!P486:P1085)</f>
        <v>4</v>
      </c>
      <c r="M360" s="7">
        <f>_xlfn.XLOOKUP(A360,A359:A958,[1]Sheet3!Q486:Q1085)</f>
        <v>1488.05</v>
      </c>
      <c r="N360" s="9">
        <f>_xlfn.XLOOKUP(A360,A359:A958,[1]Sheet3!S486:S1085)</f>
        <v>0.16</v>
      </c>
      <c r="O360" s="7">
        <f>_xlfn.XLOOKUP(A360,A359:A958,[1]Sheet3!T486:T1085)</f>
        <v>5878.72</v>
      </c>
      <c r="P360" s="7">
        <f>_xlfn.XLOOKUP(A360,A359:A958,[1]Sheet3!U486:U1085)</f>
        <v>1895.88</v>
      </c>
      <c r="Q360" s="11">
        <f>_xlfn.XLOOKUP(A360,A359:A958,[1]Sheet3!V486:V1085)</f>
        <v>0.32249877524359044</v>
      </c>
      <c r="R360" s="7">
        <f>_xlfn.XLOOKUP(A360,A359:A958,[1]Sheet3!W486:W1085)</f>
        <v>33.950000000000003</v>
      </c>
      <c r="S360" t="str">
        <f>_xlfn.XLOOKUP(A360,A359:A958,[1]Sheet3!X486:X1085)</f>
        <v>Debit Card</v>
      </c>
      <c r="T360" s="5">
        <f>_xlfn.XLOOKUP(A360,A359:A958,[1]Sheet3!Z486:Z1085)</f>
        <v>3</v>
      </c>
      <c r="U360" t="b">
        <f>_xlfn.XLOOKUP(A360,A359:A958,[1]Sheet3!AA486:AA1085)</f>
        <v>1</v>
      </c>
      <c r="V360" t="str">
        <f>_xlfn.XLOOKUP(A360,A359:A958,[1]Sheet3!AC486:AC1085)</f>
        <v>Returned</v>
      </c>
      <c r="W360" s="5">
        <f>_xlfn.XLOOKUP(A360,A359:A958,[1]Sheet3!AE486:AE1085)</f>
        <v>9</v>
      </c>
    </row>
    <row r="361" spans="1:23" x14ac:dyDescent="0.35">
      <c r="A361" t="s">
        <v>130</v>
      </c>
      <c r="B361" s="1">
        <f>_xlfn.XLOOKUP(A361,A360:A959,[1]Sheet3!C469:C1068)</f>
        <v>44984</v>
      </c>
      <c r="C361" t="str">
        <f>_xlfn.XLOOKUP(A361,A360:A959,[1]Sheet3!D469:D1068)</f>
        <v>CUST02913</v>
      </c>
      <c r="D361" t="str">
        <f>_xlfn.XLOOKUP(A361,A360:A959,[1]Sheet3!E469:E1068)</f>
        <v>Nisha Kumar</v>
      </c>
      <c r="E361" s="5">
        <f>_xlfn.XLOOKUP(A361,A360:A959,[1]Sheet3!G469:G1068)</f>
        <v>32</v>
      </c>
      <c r="F361" t="str">
        <f>_xlfn.XLOOKUP('Retail Sales'!A470,'Retail Sales'!A469:A1068,[1]Sheet3!H469:H1068)</f>
        <v>Young Adult</v>
      </c>
      <c r="G361" t="str">
        <f>_xlfn.XLOOKUP(A361,A360:A959,[1]Sheet3!J469:J1068)</f>
        <v>Female</v>
      </c>
      <c r="H361" t="str">
        <f>_xlfn.XLOOKUP(A361,A360:A959,[1]Sheet3!K469:K1068)</f>
        <v>East</v>
      </c>
      <c r="I361" t="str">
        <f>_xlfn.XLOOKUP(A361,A360:A959,[1]Sheet3!L469:L1068)</f>
        <v>Kolkata</v>
      </c>
      <c r="J361" t="str">
        <f>_xlfn.XLOOKUP(A361,A360:A959,[1]Sheet3!M469:M1068)</f>
        <v>Books</v>
      </c>
      <c r="K361" t="str">
        <f>_xlfn.XLOOKUP('Retail Sales'!A470,'Retail Sales'!A469:A1068,[1]Sheet3!N469:N1068)</f>
        <v>Fiction Novel</v>
      </c>
      <c r="L361" s="5">
        <f>_xlfn.XLOOKUP(A361,A360:A959,[1]Sheet3!P469:P1068)</f>
        <v>2</v>
      </c>
      <c r="M361" s="7">
        <f>_xlfn.XLOOKUP(A361,A360:A959,[1]Sheet3!Q469:Q1068)</f>
        <v>484.9</v>
      </c>
      <c r="N361" s="9">
        <f>_xlfn.XLOOKUP(A361,A360:A959,[1]Sheet3!S469:S1068)</f>
        <v>0.1</v>
      </c>
      <c r="O361" s="7">
        <f>_xlfn.XLOOKUP(A361,A360:A959,[1]Sheet3!T469:T1068)</f>
        <v>1040.24</v>
      </c>
      <c r="P361" s="7">
        <f>_xlfn.XLOOKUP(A361,A360:A959,[1]Sheet3!U469:U1068)</f>
        <v>423.7</v>
      </c>
      <c r="Q361" s="11">
        <f>_xlfn.XLOOKUP(A361,A360:A959,[1]Sheet3!V469:V1068)</f>
        <v>0.40730985157271399</v>
      </c>
      <c r="R361" s="7">
        <f>_xlfn.XLOOKUP(A361,A360:A959,[1]Sheet3!W469:W1068)</f>
        <v>69.41</v>
      </c>
      <c r="S361" t="str">
        <f>_xlfn.XLOOKUP(A361,A360:A959,[1]Sheet3!X469:X1068)</f>
        <v>Net Banking</v>
      </c>
      <c r="T361" s="5">
        <f>_xlfn.XLOOKUP(A361,A360:A959,[1]Sheet3!Z469:Z1068)</f>
        <v>1</v>
      </c>
      <c r="U361" t="b">
        <f>_xlfn.XLOOKUP(A361,A360:A959,[1]Sheet3!AA469:AA1068)</f>
        <v>0</v>
      </c>
      <c r="V361" t="str">
        <f>_xlfn.XLOOKUP(A361,A360:A959,[1]Sheet3!AC469:AC1068)</f>
        <v>Delivered</v>
      </c>
      <c r="W361" s="5">
        <f>_xlfn.XLOOKUP(A361,A360:A959,[1]Sheet3!AE469:AE1068)</f>
        <v>10</v>
      </c>
    </row>
    <row r="362" spans="1:23" x14ac:dyDescent="0.35">
      <c r="A362" t="s">
        <v>304</v>
      </c>
      <c r="B362" s="1">
        <f>_xlfn.XLOOKUP(A362,A361:A960,[1]Sheet3!C295:C894)</f>
        <v>44984</v>
      </c>
      <c r="C362" t="str">
        <f>_xlfn.XLOOKUP(A362,A361:A960,[1]Sheet3!D295:D894)</f>
        <v>CUST82371</v>
      </c>
      <c r="D362" t="str">
        <f>_xlfn.XLOOKUP(A362,A361:A960,[1]Sheet3!E295:E894)</f>
        <v>Kavya Nair</v>
      </c>
      <c r="E362" s="5">
        <f>_xlfn.XLOOKUP(A362,A361:A960,[1]Sheet3!G295:G894)</f>
        <v>49</v>
      </c>
      <c r="F362" t="str">
        <f>_xlfn.XLOOKUP('Retail Sales'!A296,'Retail Sales'!A295:A894,[1]Sheet3!H295:H894)</f>
        <v>Adult</v>
      </c>
      <c r="G362" t="str">
        <f>_xlfn.XLOOKUP(A362,A361:A960,[1]Sheet3!J295:J894)</f>
        <v>Male</v>
      </c>
      <c r="H362" t="str">
        <f>_xlfn.XLOOKUP(A362,A361:A960,[1]Sheet3!K295:K894)</f>
        <v>East</v>
      </c>
      <c r="I362" t="str">
        <f>_xlfn.XLOOKUP(A362,A361:A960,[1]Sheet3!L295:L894)</f>
        <v>Patna</v>
      </c>
      <c r="J362" t="str">
        <f>_xlfn.XLOOKUP(A362,A361:A960,[1]Sheet3!M295:M894)</f>
        <v>Groceries</v>
      </c>
      <c r="K362" t="str">
        <f>_xlfn.XLOOKUP('Retail Sales'!A296,'Retail Sales'!A295:A894,[1]Sheet3!N295:N894)</f>
        <v>Dal (1kg)</v>
      </c>
      <c r="L362" s="5">
        <f>_xlfn.XLOOKUP(A362,A361:A960,[1]Sheet3!P295:P894)</f>
        <v>4</v>
      </c>
      <c r="M362" s="7">
        <f>_xlfn.XLOOKUP(A362,A361:A960,[1]Sheet3!Q295:Q894)</f>
        <v>230.58</v>
      </c>
      <c r="N362" s="9">
        <f>_xlfn.XLOOKUP(A362,A361:A960,[1]Sheet3!S295:S894)</f>
        <v>0.17</v>
      </c>
      <c r="O362" s="7">
        <f>_xlfn.XLOOKUP(A362,A361:A960,[1]Sheet3!T295:T894)</f>
        <v>768.3</v>
      </c>
      <c r="P362" s="7">
        <f>_xlfn.XLOOKUP(A362,A361:A960,[1]Sheet3!U295:U894)</f>
        <v>50.26</v>
      </c>
      <c r="Q362" s="11">
        <f>_xlfn.XLOOKUP(A362,A361:A960,[1]Sheet3!V295:V894)</f>
        <v>6.5417154757256277E-2</v>
      </c>
      <c r="R362" s="7">
        <f>_xlfn.XLOOKUP(A362,A361:A960,[1]Sheet3!W295:W894)</f>
        <v>81.52</v>
      </c>
      <c r="S362" t="str">
        <f>_xlfn.XLOOKUP(A362,A361:A960,[1]Sheet3!X295:X894)</f>
        <v>UPI</v>
      </c>
      <c r="T362" s="5">
        <f>_xlfn.XLOOKUP(A362,A361:A960,[1]Sheet3!Z295:Z894)</f>
        <v>1</v>
      </c>
      <c r="U362" t="b">
        <f>_xlfn.XLOOKUP(A362,A361:A960,[1]Sheet3!AA295:AA894)</f>
        <v>0</v>
      </c>
      <c r="V362" t="str">
        <f>_xlfn.XLOOKUP(A362,A361:A960,[1]Sheet3!AC295:AC894)</f>
        <v>Delivered</v>
      </c>
      <c r="W362" s="5">
        <f>_xlfn.XLOOKUP(A362,A361:A960,[1]Sheet3!AE295:AE894)</f>
        <v>1</v>
      </c>
    </row>
    <row r="363" spans="1:23" x14ac:dyDescent="0.35">
      <c r="A363" t="s">
        <v>163</v>
      </c>
      <c r="B363" s="1">
        <f>_xlfn.XLOOKUP(A363,A362:A961,[1]Sheet3!C436:C1035)</f>
        <v>44986</v>
      </c>
      <c r="C363" t="str">
        <f>_xlfn.XLOOKUP(A363,A362:A961,[1]Sheet3!D436:D1035)</f>
        <v>CUST97216</v>
      </c>
      <c r="D363" t="str">
        <f>_xlfn.XLOOKUP(A363,A362:A961,[1]Sheet3!E436:E1035)</f>
        <v>Deepa Pillai</v>
      </c>
      <c r="E363" s="5">
        <f>_xlfn.XLOOKUP(A363,A362:A961,[1]Sheet3!G436:G1035)</f>
        <v>29</v>
      </c>
      <c r="F363" t="str">
        <f>_xlfn.XLOOKUP('Retail Sales'!A437,'Retail Sales'!A436:A1035,[1]Sheet3!H436:H1035)</f>
        <v>Young Adult</v>
      </c>
      <c r="G363" t="str">
        <f>_xlfn.XLOOKUP(A363,A362:A961,[1]Sheet3!J436:J1035)</f>
        <v>Female</v>
      </c>
      <c r="H363" t="str">
        <f>_xlfn.XLOOKUP(A363,A362:A961,[1]Sheet3!K436:K1035)</f>
        <v>East</v>
      </c>
      <c r="I363" t="str">
        <f>_xlfn.XLOOKUP(A363,A362:A961,[1]Sheet3!L436:L1035)</f>
        <v>Bhubaneswar</v>
      </c>
      <c r="J363" t="str">
        <f>_xlfn.XLOOKUP(A363,A362:A961,[1]Sheet3!M436:M1035)</f>
        <v>Electronics</v>
      </c>
      <c r="K363" t="str">
        <f>_xlfn.XLOOKUP('Retail Sales'!A437,'Retail Sales'!A436:A1035,[1]Sheet3!N436:N1035)</f>
        <v>Headphones</v>
      </c>
      <c r="L363" s="5">
        <f>_xlfn.XLOOKUP(A363,A362:A961,[1]Sheet3!P436:P1035)</f>
        <v>6</v>
      </c>
      <c r="M363" s="7">
        <f>_xlfn.XLOOKUP(A363,A362:A961,[1]Sheet3!Q436:Q1035)</f>
        <v>78301.55</v>
      </c>
      <c r="N363" s="9">
        <f>_xlfn.XLOOKUP(A363,A362:A961,[1]Sheet3!S436:S1035)</f>
        <v>0.24</v>
      </c>
      <c r="O363" s="7">
        <f>_xlfn.XLOOKUP(A363,A362:A961,[1]Sheet3!T436:T1035)</f>
        <v>446345.61</v>
      </c>
      <c r="P363" s="7">
        <f>_xlfn.XLOOKUP(A363,A362:A961,[1]Sheet3!U436:U1035)</f>
        <v>61437.599999999999</v>
      </c>
      <c r="Q363" s="11">
        <f>_xlfn.XLOOKUP(A363,A362:A961,[1]Sheet3!V436:V1035)</f>
        <v>0.13764580321513636</v>
      </c>
      <c r="R363" s="7">
        <f>_xlfn.XLOOKUP(A363,A362:A961,[1]Sheet3!W436:W1035)</f>
        <v>87.28</v>
      </c>
      <c r="S363" t="str">
        <f>_xlfn.XLOOKUP(A363,A362:A961,[1]Sheet3!X436:X1035)</f>
        <v>EMI</v>
      </c>
      <c r="T363" s="5">
        <f>_xlfn.XLOOKUP(A363,A362:A961,[1]Sheet3!Z436:Z1035)</f>
        <v>4</v>
      </c>
      <c r="U363" t="b">
        <f>_xlfn.XLOOKUP(A363,A362:A961,[1]Sheet3!AA436:AA1035)</f>
        <v>0</v>
      </c>
      <c r="V363" t="str">
        <f>_xlfn.XLOOKUP(A363,A362:A961,[1]Sheet3!AC436:AC1035)</f>
        <v>Delivered</v>
      </c>
      <c r="W363" s="5">
        <f>_xlfn.XLOOKUP(A363,A362:A961,[1]Sheet3!AE436:AE1035)</f>
        <v>7</v>
      </c>
    </row>
    <row r="364" spans="1:23" x14ac:dyDescent="0.35">
      <c r="A364" t="s">
        <v>409</v>
      </c>
      <c r="B364" s="1">
        <f>_xlfn.XLOOKUP(A364,A363:A962,[1]Sheet3!C190:C789)</f>
        <v>44991</v>
      </c>
      <c r="C364" t="str">
        <f>_xlfn.XLOOKUP(A364,A363:A962,[1]Sheet3!D190:D789)</f>
        <v>CUST75386</v>
      </c>
      <c r="D364" t="str">
        <f>_xlfn.XLOOKUP(A364,A363:A962,[1]Sheet3!E190:E789)</f>
        <v>Rohan Mishra</v>
      </c>
      <c r="E364" s="5">
        <f>_xlfn.XLOOKUP(A364,A363:A962,[1]Sheet3!G190:G789)</f>
        <v>14</v>
      </c>
      <c r="F364" t="str">
        <f>_xlfn.XLOOKUP('Retail Sales'!A191,'Retail Sales'!A190:A789,[1]Sheet3!H190:H789)</f>
        <v>Teen</v>
      </c>
      <c r="G364" t="str">
        <f>_xlfn.XLOOKUP(A364,A363:A962,[1]Sheet3!J190:J789)</f>
        <v>Male</v>
      </c>
      <c r="H364" t="str">
        <f>_xlfn.XLOOKUP(A364,A363:A962,[1]Sheet3!K190:K789)</f>
        <v>East</v>
      </c>
      <c r="I364" t="str">
        <f>_xlfn.XLOOKUP(A364,A363:A962,[1]Sheet3!L190:L789)</f>
        <v>Guwahati</v>
      </c>
      <c r="J364" t="str">
        <f>_xlfn.XLOOKUP(A364,A363:A962,[1]Sheet3!M190:M789)</f>
        <v>Electronics</v>
      </c>
      <c r="K364" t="str">
        <f>_xlfn.XLOOKUP('Retail Sales'!A191,'Retail Sales'!A190:A789,[1]Sheet3!N190:N789)</f>
        <v>Headphones</v>
      </c>
      <c r="L364" s="5">
        <f>_xlfn.XLOOKUP(A364,A363:A962,[1]Sheet3!P190:P789)</f>
        <v>3</v>
      </c>
      <c r="M364" s="7">
        <f>_xlfn.XLOOKUP(A364,A363:A962,[1]Sheet3!Q190:Q789)</f>
        <v>65257.11</v>
      </c>
      <c r="N364" s="9">
        <f>_xlfn.XLOOKUP(A364,A363:A962,[1]Sheet3!S190:S789)</f>
        <v>0.2</v>
      </c>
      <c r="O364" s="7">
        <f>_xlfn.XLOOKUP(A364,A363:A962,[1]Sheet3!T190:T789)</f>
        <v>196362.97</v>
      </c>
      <c r="P364" s="7">
        <f>_xlfn.XLOOKUP(A364,A363:A962,[1]Sheet3!U190:U789)</f>
        <v>27495.56</v>
      </c>
      <c r="Q364" s="11">
        <f>_xlfn.XLOOKUP(A364,A363:A962,[1]Sheet3!V190:V789)</f>
        <v>0.14002416035976642</v>
      </c>
      <c r="R364" s="7">
        <f>_xlfn.XLOOKUP(A364,A363:A962,[1]Sheet3!W190:W789)</f>
        <v>51.41</v>
      </c>
      <c r="S364" t="str">
        <f>_xlfn.XLOOKUP(A364,A363:A962,[1]Sheet3!X190:X789)</f>
        <v>UPI</v>
      </c>
      <c r="T364" s="5">
        <f>_xlfn.XLOOKUP(A364,A363:A962,[1]Sheet3!Z190:Z789)</f>
        <v>1</v>
      </c>
      <c r="U364" t="b">
        <f>_xlfn.XLOOKUP(A364,A363:A962,[1]Sheet3!AA190:AA789)</f>
        <v>1</v>
      </c>
      <c r="V364" t="str">
        <f>_xlfn.XLOOKUP(A364,A363:A962,[1]Sheet3!AC190:AC789)</f>
        <v>Returned</v>
      </c>
      <c r="W364" s="5">
        <f>_xlfn.XLOOKUP(A364,A363:A962,[1]Sheet3!AE190:AE789)</f>
        <v>4</v>
      </c>
    </row>
    <row r="365" spans="1:23" x14ac:dyDescent="0.35">
      <c r="A365" t="s">
        <v>567</v>
      </c>
      <c r="B365" s="1">
        <f>_xlfn.XLOOKUP(A365,A364:A963,[1]Sheet3!C32:C631)</f>
        <v>44995</v>
      </c>
      <c r="C365" t="str">
        <f>_xlfn.XLOOKUP(A365,A364:A963,[1]Sheet3!D32:D631)</f>
        <v>CUST32875</v>
      </c>
      <c r="D365" t="str">
        <f>_xlfn.XLOOKUP(A365,A364:A963,[1]Sheet3!E32:E631)</f>
        <v>Kavya Patel</v>
      </c>
      <c r="E365" s="5">
        <f>_xlfn.XLOOKUP(A365,A364:A963,[1]Sheet3!G32:G631)</f>
        <v>41</v>
      </c>
      <c r="F365" t="str">
        <f>_xlfn.XLOOKUP('Retail Sales'!A33,'Retail Sales'!A32:A631,[1]Sheet3!H32:H631)</f>
        <v>Adult</v>
      </c>
      <c r="G365" t="str">
        <f>_xlfn.XLOOKUP(A365,A364:A963,[1]Sheet3!J32:J631)</f>
        <v>Male</v>
      </c>
      <c r="H365" t="str">
        <f>_xlfn.XLOOKUP(A365,A364:A963,[1]Sheet3!K32:K631)</f>
        <v>South</v>
      </c>
      <c r="I365" t="str">
        <f>_xlfn.XLOOKUP(A365,A364:A963,[1]Sheet3!L32:L631)</f>
        <v>Kochi</v>
      </c>
      <c r="J365" t="str">
        <f>_xlfn.XLOOKUP(A365,A364:A963,[1]Sheet3!M32:M631)</f>
        <v>Beauty</v>
      </c>
      <c r="K365" t="str">
        <f>_xlfn.XLOOKUP('Retail Sales'!A33,'Retail Sales'!A32:A631,[1]Sheet3!N32:N631)</f>
        <v>Hair Oil</v>
      </c>
      <c r="L365" s="5">
        <f>_xlfn.XLOOKUP(A365,A364:A963,[1]Sheet3!P32:P631)</f>
        <v>3</v>
      </c>
      <c r="M365" s="7">
        <f>_xlfn.XLOOKUP(A365,A364:A963,[1]Sheet3!Q32:Q631)</f>
        <v>1290.21</v>
      </c>
      <c r="N365" s="9">
        <f>_xlfn.XLOOKUP(A365,A364:A963,[1]Sheet3!S32:S631)</f>
        <v>0.12</v>
      </c>
      <c r="O365" s="7">
        <f>_xlfn.XLOOKUP(A365,A364:A963,[1]Sheet3!T32:T631)</f>
        <v>3690.09</v>
      </c>
      <c r="P365" s="7">
        <f>_xlfn.XLOOKUP(A365,A364:A963,[1]Sheet3!U32:U631)</f>
        <v>1777.76</v>
      </c>
      <c r="Q365" s="11">
        <f>_xlfn.XLOOKUP(A365,A364:A963,[1]Sheet3!V32:V631)</f>
        <v>0.48176602738686586</v>
      </c>
      <c r="R365" s="7">
        <f>_xlfn.XLOOKUP(A365,A364:A963,[1]Sheet3!W32:W631)</f>
        <v>64.97</v>
      </c>
      <c r="S365" t="str">
        <f>_xlfn.XLOOKUP(A365,A364:A963,[1]Sheet3!X32:X631)</f>
        <v>Cash on Delivery</v>
      </c>
      <c r="T365" s="5">
        <f>_xlfn.XLOOKUP(A365,A364:A963,[1]Sheet3!Z32:Z631)</f>
        <v>3</v>
      </c>
      <c r="U365" t="b">
        <f>_xlfn.XLOOKUP(A365,A364:A963,[1]Sheet3!AA32:AA631)</f>
        <v>0</v>
      </c>
      <c r="V365" t="str">
        <f>_xlfn.XLOOKUP(A365,A364:A963,[1]Sheet3!AC32:AC631)</f>
        <v>Delivered</v>
      </c>
      <c r="W365" s="5">
        <f>_xlfn.XLOOKUP(A365,A364:A963,[1]Sheet3!AE32:AE631)</f>
        <v>5</v>
      </c>
    </row>
    <row r="366" spans="1:23" x14ac:dyDescent="0.35">
      <c r="A366" t="s">
        <v>127</v>
      </c>
      <c r="B366" s="1">
        <f>_xlfn.XLOOKUP(A366,A365:A964,[1]Sheet3!C472:C1071)</f>
        <v>44996</v>
      </c>
      <c r="C366" t="str">
        <f>_xlfn.XLOOKUP(A366,A365:A964,[1]Sheet3!D472:D1071)</f>
        <v>CUST63976</v>
      </c>
      <c r="D366" t="str">
        <f>_xlfn.XLOOKUP(A366,A365:A964,[1]Sheet3!E472:E1071)</f>
        <v>Vikram Verma</v>
      </c>
      <c r="E366" s="5">
        <f>_xlfn.XLOOKUP(A366,A365:A964,[1]Sheet3!G472:G1071)</f>
        <v>42</v>
      </c>
      <c r="F366" t="str">
        <f>_xlfn.XLOOKUP('Retail Sales'!A473,'Retail Sales'!A472:A1071,[1]Sheet3!H472:H1071)</f>
        <v>Adult</v>
      </c>
      <c r="G366" t="str">
        <f>_xlfn.XLOOKUP(A366,A365:A964,[1]Sheet3!J472:J1071)</f>
        <v>Male</v>
      </c>
      <c r="H366" t="str">
        <f>_xlfn.XLOOKUP(A366,A365:A964,[1]Sheet3!K472:K1071)</f>
        <v>South</v>
      </c>
      <c r="I366" t="str">
        <f>_xlfn.XLOOKUP(A366,A365:A964,[1]Sheet3!L472:L1071)</f>
        <v>Hyderabad</v>
      </c>
      <c r="J366" t="str">
        <f>_xlfn.XLOOKUP(A366,A365:A964,[1]Sheet3!M472:M1071)</f>
        <v>Clothing</v>
      </c>
      <c r="K366" t="str">
        <f>_xlfn.XLOOKUP('Retail Sales'!A473,'Retail Sales'!A472:A1071,[1]Sheet3!N472:N1071)</f>
        <v>Jacket</v>
      </c>
      <c r="L366" s="5">
        <f>_xlfn.XLOOKUP(A366,A365:A964,[1]Sheet3!P472:P1071)</f>
        <v>8</v>
      </c>
      <c r="M366" s="7">
        <f>_xlfn.XLOOKUP(A366,A365:A964,[1]Sheet3!Q472:Q1071)</f>
        <v>570.17999999999995</v>
      </c>
      <c r="N366" s="9">
        <f>_xlfn.XLOOKUP(A366,A365:A964,[1]Sheet3!S472:S1071)</f>
        <v>0.04</v>
      </c>
      <c r="O366" s="7">
        <f>_xlfn.XLOOKUP(A366,A365:A964,[1]Sheet3!T472:T1071)</f>
        <v>5294.75</v>
      </c>
      <c r="P366" s="7">
        <f>_xlfn.XLOOKUP(A366,A365:A964,[1]Sheet3!U472:U1071)</f>
        <v>1738.46</v>
      </c>
      <c r="Q366" s="11">
        <f>_xlfn.XLOOKUP(A366,A365:A964,[1]Sheet3!V472:V1071)</f>
        <v>0.3283365597998017</v>
      </c>
      <c r="R366" s="7">
        <f>_xlfn.XLOOKUP(A366,A365:A964,[1]Sheet3!W472:W1071)</f>
        <v>56.28</v>
      </c>
      <c r="S366" t="str">
        <f>_xlfn.XLOOKUP(A366,A365:A964,[1]Sheet3!X472:X1071)</f>
        <v>Credit Card</v>
      </c>
      <c r="T366" s="5">
        <f>_xlfn.XLOOKUP(A366,A365:A964,[1]Sheet3!Z472:Z1071)</f>
        <v>2</v>
      </c>
      <c r="U366" t="b">
        <f>_xlfn.XLOOKUP(A366,A365:A964,[1]Sheet3!AA472:AA1071)</f>
        <v>0</v>
      </c>
      <c r="V366" t="str">
        <f>_xlfn.XLOOKUP(A366,A365:A964,[1]Sheet3!AC472:AC1071)</f>
        <v>Delivered</v>
      </c>
      <c r="W366" s="5">
        <f>_xlfn.XLOOKUP(A366,A365:A964,[1]Sheet3!AE472:AE1071)</f>
        <v>4</v>
      </c>
    </row>
    <row r="367" spans="1:23" x14ac:dyDescent="0.35">
      <c r="A367" t="s">
        <v>218</v>
      </c>
      <c r="B367" s="1">
        <f>_xlfn.XLOOKUP(A367,A366:A965,[1]Sheet3!C381:C980)</f>
        <v>44998</v>
      </c>
      <c r="C367" t="str">
        <f>_xlfn.XLOOKUP(A367,A366:A965,[1]Sheet3!D381:D980)</f>
        <v>CUST42802</v>
      </c>
      <c r="D367" t="str">
        <f>_xlfn.XLOOKUP(A367,A366:A965,[1]Sheet3!E381:E980)</f>
        <v>Sanjay Rao</v>
      </c>
      <c r="E367" s="5">
        <f>_xlfn.XLOOKUP(A367,A366:A965,[1]Sheet3!G381:G980)</f>
        <v>25</v>
      </c>
      <c r="F367" t="str">
        <f>_xlfn.XLOOKUP('Retail Sales'!A382,'Retail Sales'!A381:A980,[1]Sheet3!H381:H980)</f>
        <v>Young Adult</v>
      </c>
      <c r="G367" t="str">
        <f>_xlfn.XLOOKUP(A367,A366:A965,[1]Sheet3!J381:J980)</f>
        <v>Male</v>
      </c>
      <c r="H367" t="str">
        <f>_xlfn.XLOOKUP(A367,A366:A965,[1]Sheet3!K381:K980)</f>
        <v>South</v>
      </c>
      <c r="I367" t="str">
        <f>_xlfn.XLOOKUP(A367,A366:A965,[1]Sheet3!L381:L980)</f>
        <v>Hyderabad</v>
      </c>
      <c r="J367" t="str">
        <f>_xlfn.XLOOKUP(A367,A366:A965,[1]Sheet3!M381:M980)</f>
        <v>Sports</v>
      </c>
      <c r="K367" t="str">
        <f>_xlfn.XLOOKUP('Retail Sales'!A382,'Retail Sales'!A381:A980,[1]Sheet3!N381:N980)</f>
        <v>Cycle</v>
      </c>
      <c r="L367" s="5">
        <f>_xlfn.XLOOKUP(A367,A366:A965,[1]Sheet3!P381:P980)</f>
        <v>4</v>
      </c>
      <c r="M367" s="7">
        <f>_xlfn.XLOOKUP(A367,A366:A965,[1]Sheet3!Q381:Q980)</f>
        <v>7081.6</v>
      </c>
      <c r="N367" s="9">
        <f>_xlfn.XLOOKUP(A367,A366:A965,[1]Sheet3!S381:S980)</f>
        <v>0.31</v>
      </c>
      <c r="O367" s="7">
        <f>_xlfn.XLOOKUP(A367,A366:A965,[1]Sheet3!T381:T980)</f>
        <v>25039.19</v>
      </c>
      <c r="P367" s="7">
        <f>_xlfn.XLOOKUP(A367,A366:A965,[1]Sheet3!U381:U980)</f>
        <v>6611.41</v>
      </c>
      <c r="Q367" s="11">
        <f>_xlfn.XLOOKUP(A367,A366:A965,[1]Sheet3!V381:V980)</f>
        <v>0.26404248699738292</v>
      </c>
      <c r="R367" s="7">
        <f>_xlfn.XLOOKUP(A367,A366:A965,[1]Sheet3!W381:W980)</f>
        <v>89.06</v>
      </c>
      <c r="S367" t="str">
        <f>_xlfn.XLOOKUP(A367,A366:A965,[1]Sheet3!X381:X980)</f>
        <v>Debit Card</v>
      </c>
      <c r="T367" s="5">
        <f>_xlfn.XLOOKUP(A367,A366:A965,[1]Sheet3!Z381:Z980)</f>
        <v>3</v>
      </c>
      <c r="U367" t="b">
        <f>_xlfn.XLOOKUP(A367,A366:A965,[1]Sheet3!AA381:AA980)</f>
        <v>1</v>
      </c>
      <c r="V367" t="str">
        <f>_xlfn.XLOOKUP(A367,A366:A965,[1]Sheet3!AC381:AC980)</f>
        <v>Returned</v>
      </c>
      <c r="W367" s="5">
        <f>_xlfn.XLOOKUP(A367,A366:A965,[1]Sheet3!AE381:AE980)</f>
        <v>10</v>
      </c>
    </row>
    <row r="368" spans="1:23" x14ac:dyDescent="0.35">
      <c r="A368" t="s">
        <v>177</v>
      </c>
      <c r="B368" s="1">
        <f>_xlfn.XLOOKUP(A368,A367:A966,[1]Sheet3!C422:C1021)</f>
        <v>44999</v>
      </c>
      <c r="C368" t="str">
        <f>_xlfn.XLOOKUP(A368,A367:A966,[1]Sheet3!D422:D1021)</f>
        <v>CUST37138</v>
      </c>
      <c r="D368" t="str">
        <f>_xlfn.XLOOKUP(A368,A367:A966,[1]Sheet3!E422:E1021)</f>
        <v>Ritu Nair</v>
      </c>
      <c r="E368" s="5">
        <f>_xlfn.XLOOKUP(A368,A367:A966,[1]Sheet3!G422:G1021)</f>
        <v>42</v>
      </c>
      <c r="F368" t="str">
        <f>_xlfn.XLOOKUP('Retail Sales'!A423,'Retail Sales'!A422:A1021,[1]Sheet3!H422:H1021)</f>
        <v>Adult</v>
      </c>
      <c r="G368" t="str">
        <f>_xlfn.XLOOKUP(A368,A367:A966,[1]Sheet3!J422:J1021)</f>
        <v>Other</v>
      </c>
      <c r="H368" t="str">
        <f>_xlfn.XLOOKUP(A368,A367:A966,[1]Sheet3!K422:K1021)</f>
        <v>West</v>
      </c>
      <c r="I368" t="str">
        <f>_xlfn.XLOOKUP(A368,A367:A966,[1]Sheet3!L422:L1021)</f>
        <v>Pune</v>
      </c>
      <c r="J368" t="str">
        <f>_xlfn.XLOOKUP(A368,A367:A966,[1]Sheet3!M422:M1021)</f>
        <v>Electronics</v>
      </c>
      <c r="K368" t="str">
        <f>_xlfn.XLOOKUP('Retail Sales'!A423,'Retail Sales'!A422:A1021,[1]Sheet3!N422:N1021)</f>
        <v>Headphones</v>
      </c>
      <c r="L368" s="5">
        <f>_xlfn.XLOOKUP(A368,A367:A966,[1]Sheet3!P422:P1021)</f>
        <v>2</v>
      </c>
      <c r="M368" s="7">
        <f>_xlfn.XLOOKUP(A368,A367:A966,[1]Sheet3!Q422:Q1021)</f>
        <v>76935.789999999994</v>
      </c>
      <c r="N368" s="9">
        <f>_xlfn.XLOOKUP(A368,A367:A966,[1]Sheet3!S422:S1021)</f>
        <v>0.01</v>
      </c>
      <c r="O368" s="7">
        <f>_xlfn.XLOOKUP(A368,A367:A966,[1]Sheet3!T422:T1021)</f>
        <v>171768.97</v>
      </c>
      <c r="P368" s="7">
        <f>_xlfn.XLOOKUP(A368,A367:A966,[1]Sheet3!U422:U1021)</f>
        <v>27234.01</v>
      </c>
      <c r="Q368" s="11">
        <f>_xlfn.XLOOKUP(A368,A367:A966,[1]Sheet3!V422:V1021)</f>
        <v>0.1585502317444181</v>
      </c>
      <c r="R368" s="7">
        <f>_xlfn.XLOOKUP(A368,A367:A966,[1]Sheet3!W422:W1021)</f>
        <v>63.96</v>
      </c>
      <c r="S368" t="str">
        <f>_xlfn.XLOOKUP(A368,A367:A966,[1]Sheet3!X422:X1021)</f>
        <v>Cash on Delivery</v>
      </c>
      <c r="T368" s="5">
        <f>_xlfn.XLOOKUP(A368,A367:A966,[1]Sheet3!Z422:Z1021)</f>
        <v>1</v>
      </c>
      <c r="U368" t="b">
        <f>_xlfn.XLOOKUP(A368,A367:A966,[1]Sheet3!AA422:AA1021)</f>
        <v>0</v>
      </c>
      <c r="V368" t="str">
        <f>_xlfn.XLOOKUP(A368,A367:A966,[1]Sheet3!AC422:AC1021)</f>
        <v>Delivered</v>
      </c>
      <c r="W368" s="5">
        <f>_xlfn.XLOOKUP(A368,A367:A966,[1]Sheet3!AE422:AE1021)</f>
        <v>3</v>
      </c>
    </row>
    <row r="369" spans="1:23" x14ac:dyDescent="0.35">
      <c r="A369" t="s">
        <v>224</v>
      </c>
      <c r="B369" s="1">
        <f>_xlfn.XLOOKUP(A369,A368:A967,[1]Sheet3!C375:C974)</f>
        <v>45002</v>
      </c>
      <c r="C369" t="str">
        <f>_xlfn.XLOOKUP(A369,A368:A967,[1]Sheet3!D375:D974)</f>
        <v>CUST85785</v>
      </c>
      <c r="D369" t="str">
        <f>_xlfn.XLOOKUP(A369,A368:A967,[1]Sheet3!E375:E974)</f>
        <v>Meera Rao</v>
      </c>
      <c r="E369" s="5">
        <f>_xlfn.XLOOKUP(A369,A368:A967,[1]Sheet3!G375:G974)</f>
        <v>41</v>
      </c>
      <c r="F369" t="str">
        <f>_xlfn.XLOOKUP('Retail Sales'!A376,'Retail Sales'!A375:A974,[1]Sheet3!H375:H974)</f>
        <v>Adult</v>
      </c>
      <c r="G369" t="str">
        <f>_xlfn.XLOOKUP(A369,A368:A967,[1]Sheet3!J375:J974)</f>
        <v>Female</v>
      </c>
      <c r="H369" t="str">
        <f>_xlfn.XLOOKUP(A369,A368:A967,[1]Sheet3!K375:K974)</f>
        <v>West</v>
      </c>
      <c r="I369" t="str">
        <f>_xlfn.XLOOKUP(A369,A368:A967,[1]Sheet3!L375:L974)</f>
        <v>Surat</v>
      </c>
      <c r="J369" t="str">
        <f>_xlfn.XLOOKUP(A369,A368:A967,[1]Sheet3!M375:M974)</f>
        <v>Beauty</v>
      </c>
      <c r="K369" t="str">
        <f>_xlfn.XLOOKUP('Retail Sales'!A376,'Retail Sales'!A375:A974,[1]Sheet3!N375:N974)</f>
        <v>Perfume</v>
      </c>
      <c r="L369" s="5">
        <f>_xlfn.XLOOKUP(A369,A368:A967,[1]Sheet3!P375:P974)</f>
        <v>2</v>
      </c>
      <c r="M369" s="7">
        <f>_xlfn.XLOOKUP(A369,A368:A967,[1]Sheet3!Q375:Q974)</f>
        <v>888.49</v>
      </c>
      <c r="N369" s="9">
        <f>_xlfn.XLOOKUP(A369,A368:A967,[1]Sheet3!S375:S974)</f>
        <v>0.08</v>
      </c>
      <c r="O369" s="7">
        <f>_xlfn.XLOOKUP(A369,A368:A967,[1]Sheet3!T375:T974)</f>
        <v>2115.7399999999998</v>
      </c>
      <c r="P369" s="7">
        <f>_xlfn.XLOOKUP(A369,A368:A967,[1]Sheet3!U375:U974)</f>
        <v>795.3</v>
      </c>
      <c r="Q369" s="11">
        <f>_xlfn.XLOOKUP(A369,A368:A967,[1]Sheet3!V375:V974)</f>
        <v>0.37589684932931267</v>
      </c>
      <c r="R369" s="7">
        <f>_xlfn.XLOOKUP(A369,A368:A967,[1]Sheet3!W375:W974)</f>
        <v>42.25</v>
      </c>
      <c r="S369" t="str">
        <f>_xlfn.XLOOKUP(A369,A368:A967,[1]Sheet3!X375:X974)</f>
        <v>Debit Card</v>
      </c>
      <c r="T369" s="5">
        <f>_xlfn.XLOOKUP(A369,A368:A967,[1]Sheet3!Z375:Z974)</f>
        <v>1</v>
      </c>
      <c r="U369" t="b">
        <f>_xlfn.XLOOKUP(A369,A368:A967,[1]Sheet3!AA375:AA974)</f>
        <v>0</v>
      </c>
      <c r="V369" t="str">
        <f>_xlfn.XLOOKUP(A369,A368:A967,[1]Sheet3!AC375:AC974)</f>
        <v>Pending</v>
      </c>
      <c r="W369" s="5">
        <f>_xlfn.XLOOKUP(A369,A368:A967,[1]Sheet3!AE375:AE974)</f>
        <v>8</v>
      </c>
    </row>
    <row r="370" spans="1:23" x14ac:dyDescent="0.35">
      <c r="A370" t="s">
        <v>172</v>
      </c>
      <c r="B370" s="1">
        <f>_xlfn.XLOOKUP(A370,A369:A968,[1]Sheet3!C427:C1026)</f>
        <v>45003</v>
      </c>
      <c r="C370" t="str">
        <f>_xlfn.XLOOKUP(A370,A369:A968,[1]Sheet3!D427:D1026)</f>
        <v>CUST97042</v>
      </c>
      <c r="D370" t="str">
        <f>_xlfn.XLOOKUP(A370,A369:A968,[1]Sheet3!E427:E1026)</f>
        <v>Ananya Mishra</v>
      </c>
      <c r="E370" s="5">
        <f>_xlfn.XLOOKUP(A370,A369:A968,[1]Sheet3!G427:G1026)</f>
        <v>28</v>
      </c>
      <c r="F370" t="str">
        <f>_xlfn.XLOOKUP('Retail Sales'!A428,'Retail Sales'!A427:A1026,[1]Sheet3!H427:H1026)</f>
        <v>Young Adult</v>
      </c>
      <c r="G370" t="str">
        <f>_xlfn.XLOOKUP(A370,A369:A968,[1]Sheet3!J427:J1026)</f>
        <v>Other</v>
      </c>
      <c r="H370" t="str">
        <f>_xlfn.XLOOKUP(A370,A369:A968,[1]Sheet3!K427:K1026)</f>
        <v>Central</v>
      </c>
      <c r="I370" t="str">
        <f>_xlfn.XLOOKUP(A370,A369:A968,[1]Sheet3!L427:L1026)</f>
        <v>Bhopal</v>
      </c>
      <c r="J370" t="str">
        <f>_xlfn.XLOOKUP(A370,A369:A968,[1]Sheet3!M427:M1026)</f>
        <v>Books</v>
      </c>
      <c r="K370" t="str">
        <f>_xlfn.XLOOKUP('Retail Sales'!A428,'Retail Sales'!A427:A1026,[1]Sheet3!N427:N1026)</f>
        <v>Cook Book</v>
      </c>
      <c r="L370" s="5">
        <f>_xlfn.XLOOKUP(A370,A369:A968,[1]Sheet3!P427:P1026)</f>
        <v>4</v>
      </c>
      <c r="M370" s="7">
        <f>_xlfn.XLOOKUP(A370,A369:A968,[1]Sheet3!Q427:Q1026)</f>
        <v>1221.1099999999999</v>
      </c>
      <c r="N370" s="9">
        <f>_xlfn.XLOOKUP(A370,A369:A968,[1]Sheet3!S427:S1026)</f>
        <v>0.25</v>
      </c>
      <c r="O370" s="7">
        <f>_xlfn.XLOOKUP(A370,A369:A968,[1]Sheet3!T427:T1026)</f>
        <v>5162.57</v>
      </c>
      <c r="P370" s="7">
        <f>_xlfn.XLOOKUP(A370,A369:A968,[1]Sheet3!U427:U1026)</f>
        <v>1875.62</v>
      </c>
      <c r="Q370" s="11">
        <f>_xlfn.XLOOKUP(A370,A369:A968,[1]Sheet3!V427:V1026)</f>
        <v>0.36331129650542271</v>
      </c>
      <c r="R370" s="7">
        <f>_xlfn.XLOOKUP(A370,A369:A968,[1]Sheet3!W427:W1026)</f>
        <v>43.22</v>
      </c>
      <c r="S370" t="str">
        <f>_xlfn.XLOOKUP(A370,A369:A968,[1]Sheet3!X427:X1026)</f>
        <v>EMI</v>
      </c>
      <c r="T370" s="5">
        <f>_xlfn.XLOOKUP(A370,A369:A968,[1]Sheet3!Z427:Z1026)</f>
        <v>5</v>
      </c>
      <c r="U370" t="b">
        <f>_xlfn.XLOOKUP(A370,A369:A968,[1]Sheet3!AA427:AA1026)</f>
        <v>0</v>
      </c>
      <c r="V370" t="str">
        <f>_xlfn.XLOOKUP(A370,A369:A968,[1]Sheet3!AC427:AC1026)</f>
        <v>Delivered</v>
      </c>
      <c r="W370" s="5">
        <f>_xlfn.XLOOKUP(A370,A369:A968,[1]Sheet3!AE427:AE1026)</f>
        <v>5</v>
      </c>
    </row>
    <row r="371" spans="1:23" x14ac:dyDescent="0.35">
      <c r="A371" t="s">
        <v>72</v>
      </c>
      <c r="B371" s="1">
        <f>_xlfn.XLOOKUP(A371,A370:A969,[1]Sheet3!C527:C1126)</f>
        <v>45007</v>
      </c>
      <c r="C371" t="str">
        <f>_xlfn.XLOOKUP(A371,A370:A969,[1]Sheet3!D527:D1126)</f>
        <v>CUST21655</v>
      </c>
      <c r="D371" t="str">
        <f>_xlfn.XLOOKUP(A371,A370:A969,[1]Sheet3!E527:E1126)</f>
        <v>Amit Reddy</v>
      </c>
      <c r="E371" s="5">
        <f>_xlfn.XLOOKUP(A371,A370:A969,[1]Sheet3!G527:G1126)</f>
        <v>29</v>
      </c>
      <c r="F371" t="str">
        <f>_xlfn.XLOOKUP('Retail Sales'!A528,'Retail Sales'!A527:A1126,[1]Sheet3!H527:H1126)</f>
        <v>Young Adult</v>
      </c>
      <c r="G371" t="str">
        <f>_xlfn.XLOOKUP(A371,A370:A969,[1]Sheet3!J527:J1126)</f>
        <v>Other</v>
      </c>
      <c r="H371" t="str">
        <f>_xlfn.XLOOKUP(A371,A370:A969,[1]Sheet3!K527:K1126)</f>
        <v>North</v>
      </c>
      <c r="I371" t="str">
        <f>_xlfn.XLOOKUP(A371,A370:A969,[1]Sheet3!L527:L1126)</f>
        <v>Chandigarh</v>
      </c>
      <c r="J371" t="str">
        <f>_xlfn.XLOOKUP(A371,A370:A969,[1]Sheet3!M527:M1126)</f>
        <v>Groceries</v>
      </c>
      <c r="K371" t="str">
        <f>_xlfn.XLOOKUP('Retail Sales'!A528,'Retail Sales'!A527:A1126,[1]Sheet3!N527:N1126)</f>
        <v>Sugar</v>
      </c>
      <c r="L371" s="5">
        <f>_xlfn.XLOOKUP(A371,A370:A969,[1]Sheet3!P527:P1126)</f>
        <v>8</v>
      </c>
      <c r="M371" s="7">
        <f>_xlfn.XLOOKUP(A371,A370:A969,[1]Sheet3!Q527:Q1126)</f>
        <v>172.53</v>
      </c>
      <c r="N371" s="9">
        <f>_xlfn.XLOOKUP(A371,A370:A969,[1]Sheet3!S527:S1126)</f>
        <v>0.22</v>
      </c>
      <c r="O371" s="7">
        <f>_xlfn.XLOOKUP(A371,A370:A969,[1]Sheet3!T527:T1126)</f>
        <v>1491.46</v>
      </c>
      <c r="P371" s="7">
        <f>_xlfn.XLOOKUP(A371,A370:A969,[1]Sheet3!U527:U1126)</f>
        <v>177.24</v>
      </c>
      <c r="Q371" s="11">
        <f>_xlfn.XLOOKUP(A371,A370:A969,[1]Sheet3!V527:V1126)</f>
        <v>0.11883657624073056</v>
      </c>
      <c r="R371" s="7">
        <f>_xlfn.XLOOKUP(A371,A370:A969,[1]Sheet3!W527:W1126)</f>
        <v>47.93</v>
      </c>
      <c r="S371" t="str">
        <f>_xlfn.XLOOKUP(A371,A370:A969,[1]Sheet3!X527:X1126)</f>
        <v>Credit Card</v>
      </c>
      <c r="T371" s="5">
        <f>_xlfn.XLOOKUP(A371,A370:A969,[1]Sheet3!Z527:Z1126)</f>
        <v>3</v>
      </c>
      <c r="U371" t="b">
        <f>_xlfn.XLOOKUP(A371,A370:A969,[1]Sheet3!AA527:AA1126)</f>
        <v>0</v>
      </c>
      <c r="V371" t="str">
        <f>_xlfn.XLOOKUP(A371,A370:A969,[1]Sheet3!AC527:AC1126)</f>
        <v>Delivered</v>
      </c>
      <c r="W371" s="5">
        <f>_xlfn.XLOOKUP(A371,A370:A969,[1]Sheet3!AE527:AE1126)</f>
        <v>4</v>
      </c>
    </row>
    <row r="372" spans="1:23" x14ac:dyDescent="0.35">
      <c r="A372" t="s">
        <v>93</v>
      </c>
      <c r="B372" s="1">
        <f>_xlfn.XLOOKUP(A372,A371:A970,[1]Sheet3!C506:C1105)</f>
        <v>45010</v>
      </c>
      <c r="C372" t="str">
        <f>_xlfn.XLOOKUP(A372,A371:A970,[1]Sheet3!D506:D1105)</f>
        <v>CUST07357</v>
      </c>
      <c r="D372" t="str">
        <f>_xlfn.XLOOKUP(A372,A371:A970,[1]Sheet3!E506:E1105)</f>
        <v>Meera Nair</v>
      </c>
      <c r="E372" s="5">
        <f>_xlfn.XLOOKUP(A372,A371:A970,[1]Sheet3!G506:G1105)</f>
        <v>24</v>
      </c>
      <c r="F372" t="str">
        <f>_xlfn.XLOOKUP('Retail Sales'!A507,'Retail Sales'!A506:A1105,[1]Sheet3!H506:H1105)</f>
        <v>Young Adult</v>
      </c>
      <c r="G372" t="str">
        <f>_xlfn.XLOOKUP(A372,A371:A970,[1]Sheet3!J506:J1105)</f>
        <v>Female</v>
      </c>
      <c r="H372" t="str">
        <f>_xlfn.XLOOKUP(A372,A371:A970,[1]Sheet3!K506:K1105)</f>
        <v>West</v>
      </c>
      <c r="I372" t="str">
        <f>_xlfn.XLOOKUP(A372,A371:A970,[1]Sheet3!L506:L1105)</f>
        <v>Surat</v>
      </c>
      <c r="J372" t="str">
        <f>_xlfn.XLOOKUP(A372,A371:A970,[1]Sheet3!M506:M1105)</f>
        <v>Furniture</v>
      </c>
      <c r="K372" t="str">
        <f>_xlfn.XLOOKUP('Retail Sales'!A507,'Retail Sales'!A506:A1105,[1]Sheet3!N506:N1105)</f>
        <v>Bed Frame</v>
      </c>
      <c r="L372" s="5">
        <f>_xlfn.XLOOKUP(A372,A371:A970,[1]Sheet3!P506:P1105)</f>
        <v>6</v>
      </c>
      <c r="M372" s="7">
        <f>_xlfn.XLOOKUP(A372,A371:A970,[1]Sheet3!Q506:Q1105)</f>
        <v>16778.259999999998</v>
      </c>
      <c r="N372" s="9">
        <f>_xlfn.XLOOKUP(A372,A371:A970,[1]Sheet3!S506:S1105)</f>
        <v>0.34</v>
      </c>
      <c r="O372" s="7">
        <f>_xlfn.XLOOKUP(A372,A371:A970,[1]Sheet3!T506:T1105)</f>
        <v>79749.850000000006</v>
      </c>
      <c r="P372" s="7">
        <f>_xlfn.XLOOKUP(A372,A371:A970,[1]Sheet3!U506:U1105)</f>
        <v>20899.580000000002</v>
      </c>
      <c r="Q372" s="11">
        <f>_xlfn.XLOOKUP(A372,A371:A970,[1]Sheet3!V506:V1105)</f>
        <v>0.26206419197026704</v>
      </c>
      <c r="R372" s="7">
        <f>_xlfn.XLOOKUP(A372,A371:A970,[1]Sheet3!W506:W1105)</f>
        <v>68.680000000000007</v>
      </c>
      <c r="S372" t="str">
        <f>_xlfn.XLOOKUP(A372,A371:A970,[1]Sheet3!X506:X1105)</f>
        <v>UPI</v>
      </c>
      <c r="T372" s="5">
        <f>_xlfn.XLOOKUP(A372,A371:A970,[1]Sheet3!Z506:Z1105)</f>
        <v>3</v>
      </c>
      <c r="U372" t="b">
        <f>_xlfn.XLOOKUP(A372,A371:A970,[1]Sheet3!AA506:AA1105)</f>
        <v>0</v>
      </c>
      <c r="V372" t="str">
        <f>_xlfn.XLOOKUP(A372,A371:A970,[1]Sheet3!AC506:AC1105)</f>
        <v>Delivered</v>
      </c>
      <c r="W372" s="5">
        <f>_xlfn.XLOOKUP(A372,A371:A970,[1]Sheet3!AE506:AE1105)</f>
        <v>9</v>
      </c>
    </row>
    <row r="373" spans="1:23" x14ac:dyDescent="0.35">
      <c r="A373" t="s">
        <v>453</v>
      </c>
      <c r="B373" s="1">
        <f>_xlfn.XLOOKUP(A373,A372:A971,[1]Sheet3!C146:C745)</f>
        <v>45012</v>
      </c>
      <c r="C373" t="str">
        <f>_xlfn.XLOOKUP(A373,A372:A971,[1]Sheet3!D146:D745)</f>
        <v>CUST08867</v>
      </c>
      <c r="D373" t="str">
        <f>_xlfn.XLOOKUP(A373,A372:A971,[1]Sheet3!E146:E745)</f>
        <v>Nisha Kapoor</v>
      </c>
      <c r="E373" s="5">
        <f>_xlfn.XLOOKUP(A373,A372:A971,[1]Sheet3!G146:G745)</f>
        <v>12</v>
      </c>
      <c r="F373" t="str">
        <f>_xlfn.XLOOKUP('Retail Sales'!A147,'Retail Sales'!A146:A745,[1]Sheet3!H146:H745)</f>
        <v>Child</v>
      </c>
      <c r="G373" t="str">
        <f>_xlfn.XLOOKUP(A373,A372:A971,[1]Sheet3!J146:J745)</f>
        <v>Other</v>
      </c>
      <c r="H373" t="str">
        <f>_xlfn.XLOOKUP(A373,A372:A971,[1]Sheet3!K146:K745)</f>
        <v>Central</v>
      </c>
      <c r="I373" t="str">
        <f>_xlfn.XLOOKUP(A373,A372:A971,[1]Sheet3!L146:L745)</f>
        <v>Raipur</v>
      </c>
      <c r="J373" t="str">
        <f>_xlfn.XLOOKUP(A373,A372:A971,[1]Sheet3!M146:M745)</f>
        <v>Electronics</v>
      </c>
      <c r="K373" t="str">
        <f>_xlfn.XLOOKUP('Retail Sales'!A147,'Retail Sales'!A146:A745,[1]Sheet3!N146:N745)</f>
        <v>Tablet</v>
      </c>
      <c r="L373" s="5">
        <f>_xlfn.XLOOKUP(A373,A372:A971,[1]Sheet3!P146:P745)</f>
        <v>2</v>
      </c>
      <c r="M373" s="7">
        <f>_xlfn.XLOOKUP(A373,A372:A971,[1]Sheet3!Q146:Q745)</f>
        <v>69342.570000000007</v>
      </c>
      <c r="N373" s="9">
        <f>_xlfn.XLOOKUP(A373,A372:A971,[1]Sheet3!S146:S745)</f>
        <v>0.08</v>
      </c>
      <c r="O373" s="7">
        <f>_xlfn.XLOOKUP(A373,A372:A971,[1]Sheet3!T146:T745)</f>
        <v>154630.39000000001</v>
      </c>
      <c r="P373" s="7">
        <f>_xlfn.XLOOKUP(A373,A372:A971,[1]Sheet3!U146:U745)</f>
        <v>18946.95</v>
      </c>
      <c r="Q373" s="11">
        <f>_xlfn.XLOOKUP(A373,A372:A971,[1]Sheet3!V146:V745)</f>
        <v>0.12253057112511971</v>
      </c>
      <c r="R373" s="7">
        <f>_xlfn.XLOOKUP(A373,A372:A971,[1]Sheet3!W146:W745)</f>
        <v>47.74</v>
      </c>
      <c r="S373" t="str">
        <f>_xlfn.XLOOKUP(A373,A372:A971,[1]Sheet3!X146:X745)</f>
        <v>Net Banking</v>
      </c>
      <c r="T373" s="5">
        <f>_xlfn.XLOOKUP(A373,A372:A971,[1]Sheet3!Z146:Z745)</f>
        <v>2</v>
      </c>
      <c r="U373" t="b">
        <f>_xlfn.XLOOKUP(A373,A372:A971,[1]Sheet3!AA146:AA745)</f>
        <v>0</v>
      </c>
      <c r="V373" t="str">
        <f>_xlfn.XLOOKUP(A373,A372:A971,[1]Sheet3!AC146:AC745)</f>
        <v>Delivered</v>
      </c>
      <c r="W373" s="5">
        <f>_xlfn.XLOOKUP(A373,A372:A971,[1]Sheet3!AE146:AE745)</f>
        <v>6</v>
      </c>
    </row>
    <row r="374" spans="1:23" x14ac:dyDescent="0.35">
      <c r="A374" t="s">
        <v>576</v>
      </c>
      <c r="B374" s="1">
        <f>_xlfn.XLOOKUP(A374,A373:A972,[1]Sheet3!C23:C622)</f>
        <v>45013</v>
      </c>
      <c r="C374" t="str">
        <f>_xlfn.XLOOKUP(A374,A373:A972,[1]Sheet3!D23:D622)</f>
        <v>CUST68233</v>
      </c>
      <c r="D374" t="str">
        <f>_xlfn.XLOOKUP(A374,A373:A972,[1]Sheet3!E23:E622)</f>
        <v>Rahul Joshi</v>
      </c>
      <c r="E374" s="5">
        <f>_xlfn.XLOOKUP(A374,A373:A972,[1]Sheet3!G23:G622)</f>
        <v>22</v>
      </c>
      <c r="F374" t="str">
        <f>_xlfn.XLOOKUP('Retail Sales'!A24,'Retail Sales'!A23:A622,[1]Sheet3!H23:H622)</f>
        <v>Young Adult</v>
      </c>
      <c r="G374" t="str">
        <f>_xlfn.XLOOKUP(A374,A373:A972,[1]Sheet3!J23:J622)</f>
        <v>Female</v>
      </c>
      <c r="H374" t="str">
        <f>_xlfn.XLOOKUP(A374,A373:A972,[1]Sheet3!K23:K622)</f>
        <v>Central</v>
      </c>
      <c r="I374" t="str">
        <f>_xlfn.XLOOKUP(A374,A373:A972,[1]Sheet3!L23:L622)</f>
        <v>Nagpur</v>
      </c>
      <c r="J374" t="str">
        <f>_xlfn.XLOOKUP(A374,A373:A972,[1]Sheet3!M23:M622)</f>
        <v>Books</v>
      </c>
      <c r="K374" t="str">
        <f>_xlfn.XLOOKUP('Retail Sales'!A24,'Retail Sales'!A23:A622,[1]Sheet3!N23:N622)</f>
        <v>Comic Book</v>
      </c>
      <c r="L374" s="5">
        <f>_xlfn.XLOOKUP(A374,A373:A972,[1]Sheet3!P23:P622)</f>
        <v>6</v>
      </c>
      <c r="M374" s="7">
        <f>_xlfn.XLOOKUP(A374,A373:A972,[1]Sheet3!Q23:Q622)</f>
        <v>1467.54</v>
      </c>
      <c r="N374" s="9">
        <f>_xlfn.XLOOKUP(A374,A373:A972,[1]Sheet3!S23:S622)</f>
        <v>0.28999999999999998</v>
      </c>
      <c r="O374" s="7">
        <f>_xlfn.XLOOKUP(A374,A373:A972,[1]Sheet3!T23:T622)</f>
        <v>7477.88</v>
      </c>
      <c r="P374" s="7">
        <f>_xlfn.XLOOKUP(A374,A373:A972,[1]Sheet3!U23:U622)</f>
        <v>3606.99</v>
      </c>
      <c r="Q374" s="11">
        <f>_xlfn.XLOOKUP(A374,A373:A972,[1]Sheet3!V23:V622)</f>
        <v>0.48235462457273981</v>
      </c>
      <c r="R374" s="7">
        <f>_xlfn.XLOOKUP(A374,A373:A972,[1]Sheet3!W23:W622)</f>
        <v>50.88</v>
      </c>
      <c r="S374" t="str">
        <f>_xlfn.XLOOKUP(A374,A373:A972,[1]Sheet3!X23:X622)</f>
        <v>UPI</v>
      </c>
      <c r="T374" s="5">
        <f>_xlfn.XLOOKUP(A374,A373:A972,[1]Sheet3!Z23:Z622)</f>
        <v>3</v>
      </c>
      <c r="U374" t="b">
        <f>_xlfn.XLOOKUP(A374,A373:A972,[1]Sheet3!AA23:AA622)</f>
        <v>0</v>
      </c>
      <c r="V374" t="str">
        <f>_xlfn.XLOOKUP(A374,A373:A972,[1]Sheet3!AC23:AC622)</f>
        <v>Delivered</v>
      </c>
      <c r="W374" s="5">
        <f>_xlfn.XLOOKUP(A374,A373:A972,[1]Sheet3!AE23:AE622)</f>
        <v>4</v>
      </c>
    </row>
    <row r="375" spans="1:23" x14ac:dyDescent="0.35">
      <c r="A375" t="s">
        <v>350</v>
      </c>
      <c r="B375" s="1">
        <f>_xlfn.XLOOKUP(A375,A374:A973,[1]Sheet3!C249:C848)</f>
        <v>45015</v>
      </c>
      <c r="C375" t="str">
        <f>_xlfn.XLOOKUP(A375,A374:A973,[1]Sheet3!D249:D848)</f>
        <v>CUST69340</v>
      </c>
      <c r="D375" t="str">
        <f>_xlfn.XLOOKUP(A375,A374:A973,[1]Sheet3!E249:E848)</f>
        <v>Sanjay Kapoor</v>
      </c>
      <c r="E375" s="5">
        <f>_xlfn.XLOOKUP(A375,A374:A973,[1]Sheet3!G249:G848)</f>
        <v>31</v>
      </c>
      <c r="F375" t="str">
        <f>_xlfn.XLOOKUP('Retail Sales'!A250,'Retail Sales'!A249:A848,[1]Sheet3!H249:H848)</f>
        <v>Young Adult</v>
      </c>
      <c r="G375" t="str">
        <f>_xlfn.XLOOKUP(A375,A374:A973,[1]Sheet3!J249:J848)</f>
        <v>Male</v>
      </c>
      <c r="H375" t="str">
        <f>_xlfn.XLOOKUP(A375,A374:A973,[1]Sheet3!K249:K848)</f>
        <v>South</v>
      </c>
      <c r="I375" t="str">
        <f>_xlfn.XLOOKUP(A375,A374:A973,[1]Sheet3!L249:L848)</f>
        <v>Chennai</v>
      </c>
      <c r="J375" t="str">
        <f>_xlfn.XLOOKUP(A375,A374:A973,[1]Sheet3!M249:M848)</f>
        <v>Books</v>
      </c>
      <c r="K375" t="str">
        <f>_xlfn.XLOOKUP('Retail Sales'!A250,'Retail Sales'!A249:A848,[1]Sheet3!N249:N848)</f>
        <v>Fiction Novel</v>
      </c>
      <c r="L375" s="5">
        <f>_xlfn.XLOOKUP(A375,A374:A973,[1]Sheet3!P249:P848)</f>
        <v>10</v>
      </c>
      <c r="M375" s="7">
        <f>_xlfn.XLOOKUP(A375,A374:A973,[1]Sheet3!Q249:Q848)</f>
        <v>432.2</v>
      </c>
      <c r="N375" s="9">
        <f>_xlfn.XLOOKUP(A375,A374:A973,[1]Sheet3!S249:S848)</f>
        <v>0.22</v>
      </c>
      <c r="O375" s="7">
        <f>_xlfn.XLOOKUP(A375,A374:A973,[1]Sheet3!T249:T848)</f>
        <v>4097.63</v>
      </c>
      <c r="P375" s="7">
        <f>_xlfn.XLOOKUP(A375,A374:A973,[1]Sheet3!U249:U848)</f>
        <v>1857.23</v>
      </c>
      <c r="Q375" s="11">
        <f>_xlfn.XLOOKUP(A375,A374:A973,[1]Sheet3!V249:V848)</f>
        <v>0.45324492450514076</v>
      </c>
      <c r="R375" s="7">
        <f>_xlfn.XLOOKUP(A375,A374:A973,[1]Sheet3!W249:W848)</f>
        <v>69.099999999999994</v>
      </c>
      <c r="S375" t="str">
        <f>_xlfn.XLOOKUP(A375,A374:A973,[1]Sheet3!X249:X848)</f>
        <v>Net Banking</v>
      </c>
      <c r="T375" s="5">
        <f>_xlfn.XLOOKUP(A375,A374:A973,[1]Sheet3!Z249:Z848)</f>
        <v>3</v>
      </c>
      <c r="U375" t="b">
        <f>_xlfn.XLOOKUP(A375,A374:A973,[1]Sheet3!AA249:AA848)</f>
        <v>0</v>
      </c>
      <c r="V375" t="str">
        <f>_xlfn.XLOOKUP(A375,A374:A973,[1]Sheet3!AC249:AC848)</f>
        <v>Delivered</v>
      </c>
      <c r="W375" s="5">
        <f>_xlfn.XLOOKUP(A375,A374:A973,[1]Sheet3!AE249:AE848)</f>
        <v>5</v>
      </c>
    </row>
    <row r="376" spans="1:23" x14ac:dyDescent="0.35">
      <c r="A376" t="s">
        <v>174</v>
      </c>
      <c r="B376" s="1">
        <f>_xlfn.XLOOKUP(A376,A375:A974,[1]Sheet3!C425:C1024)</f>
        <v>45015</v>
      </c>
      <c r="C376" t="str">
        <f>_xlfn.XLOOKUP(A376,A375:A974,[1]Sheet3!D425:D1024)</f>
        <v>CUST60872</v>
      </c>
      <c r="D376" t="str">
        <f>_xlfn.XLOOKUP(A376,A375:A974,[1]Sheet3!E425:E1024)</f>
        <v>Kavya Shah</v>
      </c>
      <c r="E376" s="5">
        <f>_xlfn.XLOOKUP(A376,A375:A974,[1]Sheet3!G425:G1024)</f>
        <v>38</v>
      </c>
      <c r="F376" t="str">
        <f>_xlfn.XLOOKUP('Retail Sales'!A426,'Retail Sales'!A425:A1024,[1]Sheet3!H425:H1024)</f>
        <v>Adult</v>
      </c>
      <c r="G376" t="str">
        <f>_xlfn.XLOOKUP(A376,A375:A974,[1]Sheet3!J425:J1024)</f>
        <v>Male</v>
      </c>
      <c r="H376" t="str">
        <f>_xlfn.XLOOKUP(A376,A375:A974,[1]Sheet3!K425:K1024)</f>
        <v>South</v>
      </c>
      <c r="I376" t="str">
        <f>_xlfn.XLOOKUP(A376,A375:A974,[1]Sheet3!L425:L1024)</f>
        <v>Chennai</v>
      </c>
      <c r="J376" t="str">
        <f>_xlfn.XLOOKUP(A376,A375:A974,[1]Sheet3!M425:M1024)</f>
        <v>Furniture</v>
      </c>
      <c r="K376" t="str">
        <f>_xlfn.XLOOKUP('Retail Sales'!A426,'Retail Sales'!A425:A1024,[1]Sheet3!N425:N1024)</f>
        <v>Chair</v>
      </c>
      <c r="L376" s="5">
        <f>_xlfn.XLOOKUP(A376,A375:A974,[1]Sheet3!P425:P1024)</f>
        <v>1</v>
      </c>
      <c r="M376" s="7">
        <f>_xlfn.XLOOKUP(A376,A375:A974,[1]Sheet3!Q425:Q1024)</f>
        <v>7329.9</v>
      </c>
      <c r="N376" s="9">
        <f>_xlfn.XLOOKUP(A376,A375:A974,[1]Sheet3!S425:S1024)</f>
        <v>0.35</v>
      </c>
      <c r="O376" s="7">
        <f>_xlfn.XLOOKUP(A376,A375:A974,[1]Sheet3!T425:T1024)</f>
        <v>6777.56</v>
      </c>
      <c r="P376" s="7">
        <f>_xlfn.XLOOKUP(A376,A375:A974,[1]Sheet3!U425:U1024)</f>
        <v>2396.7199999999998</v>
      </c>
      <c r="Q376" s="11">
        <f>_xlfn.XLOOKUP(A376,A375:A974,[1]Sheet3!V425:V1024)</f>
        <v>0.35362578863189698</v>
      </c>
      <c r="R376" s="7">
        <f>_xlfn.XLOOKUP(A376,A375:A974,[1]Sheet3!W425:W1024)</f>
        <v>101.29</v>
      </c>
      <c r="S376" t="str">
        <f>_xlfn.XLOOKUP(A376,A375:A974,[1]Sheet3!X425:X1024)</f>
        <v>Credit Card</v>
      </c>
      <c r="T376" s="5">
        <f>_xlfn.XLOOKUP(A376,A375:A974,[1]Sheet3!Z425:Z1024)</f>
        <v>5</v>
      </c>
      <c r="U376" t="b">
        <f>_xlfn.XLOOKUP(A376,A375:A974,[1]Sheet3!AA425:AA1024)</f>
        <v>0</v>
      </c>
      <c r="V376" t="str">
        <f>_xlfn.XLOOKUP(A376,A375:A974,[1]Sheet3!AC425:AC1024)</f>
        <v>Shipped</v>
      </c>
      <c r="W376" s="5">
        <f>_xlfn.XLOOKUP(A376,A375:A974,[1]Sheet3!AE425:AE1024)</f>
        <v>10</v>
      </c>
    </row>
    <row r="377" spans="1:23" x14ac:dyDescent="0.35">
      <c r="A377" t="s">
        <v>17</v>
      </c>
      <c r="B377" s="1">
        <f>_xlfn.XLOOKUP(A377,A376:A975,[1]Sheet3!C582:C1181)</f>
        <v>45015</v>
      </c>
      <c r="C377" t="str">
        <f>_xlfn.XLOOKUP(A377,A376:A975,[1]Sheet3!D582:D1181)</f>
        <v>CUST35540</v>
      </c>
      <c r="D377" t="str">
        <f>_xlfn.XLOOKUP(A377,A376:A975,[1]Sheet3!E582:E1181)</f>
        <v>Kavya Reddy</v>
      </c>
      <c r="E377" s="5">
        <f>_xlfn.XLOOKUP(A377,A376:A975,[1]Sheet3!G582:G1181)</f>
        <v>26</v>
      </c>
      <c r="F377" t="str">
        <f>_xlfn.XLOOKUP('Retail Sales'!A583,'Retail Sales'!A582:A1181,[1]Sheet3!H582:H1181)</f>
        <v>Young Adult</v>
      </c>
      <c r="G377" t="str">
        <f>_xlfn.XLOOKUP(A377,A376:A975,[1]Sheet3!J582:J1181)</f>
        <v>Male</v>
      </c>
      <c r="H377" t="str">
        <f>_xlfn.XLOOKUP(A377,A376:A975,[1]Sheet3!K582:K1181)</f>
        <v>West</v>
      </c>
      <c r="I377" t="str">
        <f>_xlfn.XLOOKUP(A377,A376:A975,[1]Sheet3!L582:L1181)</f>
        <v>Ahmedabad</v>
      </c>
      <c r="J377" t="str">
        <f>_xlfn.XLOOKUP(A377,A376:A975,[1]Sheet3!M582:M1181)</f>
        <v>Clothing</v>
      </c>
      <c r="K377" t="str">
        <f>_xlfn.XLOOKUP('Retail Sales'!A583,'Retail Sales'!A582:A1181,[1]Sheet3!N582:N1181)</f>
        <v>Dress</v>
      </c>
      <c r="L377" s="5">
        <f>_xlfn.XLOOKUP(A377,A376:A975,[1]Sheet3!P582:P1181)</f>
        <v>8</v>
      </c>
      <c r="M377" s="7">
        <f>_xlfn.XLOOKUP(A377,A376:A975,[1]Sheet3!Q582:Q1181)</f>
        <v>1829.04</v>
      </c>
      <c r="N377" s="9">
        <f>_xlfn.XLOOKUP(A377,A376:A975,[1]Sheet3!S582:S1181)</f>
        <v>0.24</v>
      </c>
      <c r="O377" s="7">
        <f>_xlfn.XLOOKUP(A377,A376:A975,[1]Sheet3!T582:T1181)</f>
        <v>14780.74</v>
      </c>
      <c r="P377" s="7">
        <f>_xlfn.XLOOKUP(A377,A376:A975,[1]Sheet3!U582:U1181)</f>
        <v>6166.69</v>
      </c>
      <c r="Q377" s="11">
        <f>_xlfn.XLOOKUP(A377,A376:A975,[1]Sheet3!V582:V1181)</f>
        <v>0.41721118157818887</v>
      </c>
      <c r="R377" s="7">
        <f>_xlfn.XLOOKUP(A377,A376:A975,[1]Sheet3!W582:W1181)</f>
        <v>80.06</v>
      </c>
      <c r="S377" t="str">
        <f>_xlfn.XLOOKUP(A377,A376:A975,[1]Sheet3!X582:X1181)</f>
        <v>Net Banking</v>
      </c>
      <c r="T377" s="5">
        <f>_xlfn.XLOOKUP(A377,A376:A975,[1]Sheet3!Z582:Z1181)</f>
        <v>3</v>
      </c>
      <c r="U377" t="b">
        <f>_xlfn.XLOOKUP(A377,A376:A975,[1]Sheet3!AA582:AA1181)</f>
        <v>0</v>
      </c>
      <c r="V377" t="str">
        <f>_xlfn.XLOOKUP(A377,A376:A975,[1]Sheet3!AC582:AC1181)</f>
        <v>Cancelled</v>
      </c>
      <c r="W377" s="5">
        <f>_xlfn.XLOOKUP(A377,A376:A975,[1]Sheet3!AE582:AE1181)</f>
        <v>4</v>
      </c>
    </row>
    <row r="378" spans="1:23" x14ac:dyDescent="0.35">
      <c r="A378" t="s">
        <v>363</v>
      </c>
      <c r="B378" s="1">
        <f>_xlfn.XLOOKUP(A378,A377:A976,[1]Sheet3!C236:C835)</f>
        <v>45017</v>
      </c>
      <c r="C378" t="str">
        <f>_xlfn.XLOOKUP(A378,A377:A976,[1]Sheet3!D236:D835)</f>
        <v>CUST34359</v>
      </c>
      <c r="D378" t="str">
        <f>_xlfn.XLOOKUP(A378,A377:A976,[1]Sheet3!E236:E835)</f>
        <v>Shreya Kumar</v>
      </c>
      <c r="E378" s="5">
        <f>_xlfn.XLOOKUP(A378,A377:A976,[1]Sheet3!G236:G835)</f>
        <v>27</v>
      </c>
      <c r="F378" t="str">
        <f>_xlfn.XLOOKUP('Retail Sales'!A237,'Retail Sales'!A236:A835,[1]Sheet3!H236:H835)</f>
        <v>Young Adult</v>
      </c>
      <c r="G378" t="str">
        <f>_xlfn.XLOOKUP(A378,A377:A976,[1]Sheet3!J236:J835)</f>
        <v>Male</v>
      </c>
      <c r="H378" t="str">
        <f>_xlfn.XLOOKUP(A378,A377:A976,[1]Sheet3!K236:K835)</f>
        <v>West</v>
      </c>
      <c r="I378" t="str">
        <f>_xlfn.XLOOKUP(A378,A377:A976,[1]Sheet3!L236:L835)</f>
        <v>Pune</v>
      </c>
      <c r="J378" t="str">
        <f>_xlfn.XLOOKUP(A378,A377:A976,[1]Sheet3!M236:M835)</f>
        <v>Furniture</v>
      </c>
      <c r="K378" t="str">
        <f>_xlfn.XLOOKUP('Retail Sales'!A237,'Retail Sales'!A236:A835,[1]Sheet3!N236:N835)</f>
        <v>Bookshelf</v>
      </c>
      <c r="L378" s="5">
        <f>_xlfn.XLOOKUP(A378,A377:A976,[1]Sheet3!P236:P835)</f>
        <v>7</v>
      </c>
      <c r="M378" s="7">
        <f>_xlfn.XLOOKUP(A378,A377:A976,[1]Sheet3!Q236:Q835)</f>
        <v>23696.15</v>
      </c>
      <c r="N378" s="9">
        <f>_xlfn.XLOOKUP(A378,A377:A976,[1]Sheet3!S236:S835)</f>
        <v>0.33</v>
      </c>
      <c r="O378" s="7">
        <f>_xlfn.XLOOKUP(A378,A377:A976,[1]Sheet3!T236:T835)</f>
        <v>157416.69</v>
      </c>
      <c r="P378" s="7">
        <f>_xlfn.XLOOKUP(A378,A377:A976,[1]Sheet3!U236:U835)</f>
        <v>50425.99</v>
      </c>
      <c r="Q378" s="11">
        <f>_xlfn.XLOOKUP(A378,A377:A976,[1]Sheet3!V236:V835)</f>
        <v>0.32033445754703643</v>
      </c>
      <c r="R378" s="7">
        <f>_xlfn.XLOOKUP(A378,A377:A976,[1]Sheet3!W236:W835)</f>
        <v>51.3</v>
      </c>
      <c r="S378" t="str">
        <f>_xlfn.XLOOKUP(A378,A377:A976,[1]Sheet3!X236:X835)</f>
        <v>Cash on Delivery</v>
      </c>
      <c r="T378" s="5">
        <f>_xlfn.XLOOKUP(A378,A377:A976,[1]Sheet3!Z236:Z835)</f>
        <v>3</v>
      </c>
      <c r="U378" t="b">
        <f>_xlfn.XLOOKUP(A378,A377:A976,[1]Sheet3!AA236:AA835)</f>
        <v>0</v>
      </c>
      <c r="V378" t="str">
        <f>_xlfn.XLOOKUP(A378,A377:A976,[1]Sheet3!AC236:AC835)</f>
        <v>Pending</v>
      </c>
      <c r="W378" s="5">
        <f>_xlfn.XLOOKUP(A378,A377:A976,[1]Sheet3!AE236:AE835)</f>
        <v>1</v>
      </c>
    </row>
    <row r="379" spans="1:23" x14ac:dyDescent="0.35">
      <c r="A379" t="s">
        <v>403</v>
      </c>
      <c r="B379" s="1">
        <f>_xlfn.XLOOKUP(A379,A378:A977,[1]Sheet3!C196:C795)</f>
        <v>45019</v>
      </c>
      <c r="C379" t="str">
        <f>_xlfn.XLOOKUP(A379,A378:A977,[1]Sheet3!D196:D795)</f>
        <v>CUST71887</v>
      </c>
      <c r="D379" t="str">
        <f>_xlfn.XLOOKUP(A379,A378:A977,[1]Sheet3!E196:E795)</f>
        <v>Nisha Kapoor</v>
      </c>
      <c r="E379" s="5">
        <f>_xlfn.XLOOKUP(A379,A378:A977,[1]Sheet3!G196:G795)</f>
        <v>30</v>
      </c>
      <c r="F379" t="str">
        <f>_xlfn.XLOOKUP('Retail Sales'!A197,'Retail Sales'!A196:A795,[1]Sheet3!H196:H795)</f>
        <v>Young Adult</v>
      </c>
      <c r="G379" t="str">
        <f>_xlfn.XLOOKUP(A379,A378:A977,[1]Sheet3!J196:J795)</f>
        <v>Other</v>
      </c>
      <c r="H379" t="str">
        <f>_xlfn.XLOOKUP(A379,A378:A977,[1]Sheet3!K196:K795)</f>
        <v>East</v>
      </c>
      <c r="I379" t="str">
        <f>_xlfn.XLOOKUP(A379,A378:A977,[1]Sheet3!L196:L795)</f>
        <v>Bhubaneswar</v>
      </c>
      <c r="J379" t="str">
        <f>_xlfn.XLOOKUP(A379,A378:A977,[1]Sheet3!M196:M795)</f>
        <v>Books</v>
      </c>
      <c r="K379" t="str">
        <f>_xlfn.XLOOKUP('Retail Sales'!A197,'Retail Sales'!A196:A795,[1]Sheet3!N196:N795)</f>
        <v>Textbook</v>
      </c>
      <c r="L379" s="5">
        <f>_xlfn.XLOOKUP(A379,A378:A977,[1]Sheet3!P196:P795)</f>
        <v>10</v>
      </c>
      <c r="M379" s="7">
        <f>_xlfn.XLOOKUP(A379,A378:A977,[1]Sheet3!Q196:Q795)</f>
        <v>1221.02</v>
      </c>
      <c r="N379" s="9">
        <f>_xlfn.XLOOKUP(A379,A378:A977,[1]Sheet3!S196:S795)</f>
        <v>0.17</v>
      </c>
      <c r="O379" s="7">
        <f>_xlfn.XLOOKUP(A379,A378:A977,[1]Sheet3!T196:T795)</f>
        <v>15191.82</v>
      </c>
      <c r="P379" s="7">
        <f>_xlfn.XLOOKUP(A379,A378:A977,[1]Sheet3!U196:U795)</f>
        <v>5083.3</v>
      </c>
      <c r="Q379" s="11">
        <f>_xlfn.XLOOKUP(A379,A378:A977,[1]Sheet3!V196:V795)</f>
        <v>0.33460770335614826</v>
      </c>
      <c r="R379" s="7">
        <f>_xlfn.XLOOKUP(A379,A378:A977,[1]Sheet3!W196:W795)</f>
        <v>86.46</v>
      </c>
      <c r="S379" t="str">
        <f>_xlfn.XLOOKUP(A379,A378:A977,[1]Sheet3!X196:X795)</f>
        <v>EMI</v>
      </c>
      <c r="T379" s="5">
        <f>_xlfn.XLOOKUP(A379,A378:A977,[1]Sheet3!Z196:Z795)</f>
        <v>5</v>
      </c>
      <c r="U379" t="b">
        <f>_xlfn.XLOOKUP(A379,A378:A977,[1]Sheet3!AA196:AA795)</f>
        <v>0</v>
      </c>
      <c r="V379" t="str">
        <f>_xlfn.XLOOKUP(A379,A378:A977,[1]Sheet3!AC196:AC795)</f>
        <v>Pending</v>
      </c>
      <c r="W379" s="5">
        <f>_xlfn.XLOOKUP(A379,A378:A977,[1]Sheet3!AE196:AE795)</f>
        <v>4</v>
      </c>
    </row>
    <row r="380" spans="1:23" x14ac:dyDescent="0.35">
      <c r="A380" t="s">
        <v>230</v>
      </c>
      <c r="B380" s="1">
        <f>_xlfn.XLOOKUP(A380,A379:A978,[1]Sheet3!C369:C968)</f>
        <v>45021</v>
      </c>
      <c r="C380" t="str">
        <f>_xlfn.XLOOKUP(A380,A379:A978,[1]Sheet3!D369:D968)</f>
        <v>CUST72583</v>
      </c>
      <c r="D380" t="str">
        <f>_xlfn.XLOOKUP(A380,A379:A978,[1]Sheet3!E369:E968)</f>
        <v>Sunita Bose</v>
      </c>
      <c r="E380" s="5">
        <f>_xlfn.XLOOKUP(A380,A379:A978,[1]Sheet3!G369:G968)</f>
        <v>41</v>
      </c>
      <c r="F380" t="str">
        <f>_xlfn.XLOOKUP('Retail Sales'!A370,'Retail Sales'!A369:A968,[1]Sheet3!H369:H968)</f>
        <v>Adult</v>
      </c>
      <c r="G380" t="str">
        <f>_xlfn.XLOOKUP(A380,A379:A978,[1]Sheet3!J369:J968)</f>
        <v>Female</v>
      </c>
      <c r="H380" t="str">
        <f>_xlfn.XLOOKUP(A380,A379:A978,[1]Sheet3!K369:K968)</f>
        <v>West</v>
      </c>
      <c r="I380" t="str">
        <f>_xlfn.XLOOKUP(A380,A379:A978,[1]Sheet3!L369:L968)</f>
        <v>Surat</v>
      </c>
      <c r="J380" t="str">
        <f>_xlfn.XLOOKUP(A380,A379:A978,[1]Sheet3!M369:M968)</f>
        <v>Groceries</v>
      </c>
      <c r="K380" t="str">
        <f>_xlfn.XLOOKUP('Retail Sales'!A370,'Retail Sales'!A369:A968,[1]Sheet3!N369:N968)</f>
        <v>Tea</v>
      </c>
      <c r="L380" s="5">
        <f>_xlfn.XLOOKUP(A380,A379:A978,[1]Sheet3!P369:P968)</f>
        <v>9</v>
      </c>
      <c r="M380" s="7">
        <f>_xlfn.XLOOKUP(A380,A379:A978,[1]Sheet3!Q369:Q968)</f>
        <v>467.6</v>
      </c>
      <c r="N380" s="9">
        <f>_xlfn.XLOOKUP(A380,A379:A978,[1]Sheet3!S369:S968)</f>
        <v>0.02</v>
      </c>
      <c r="O380" s="7">
        <f>_xlfn.XLOOKUP(A380,A379:A978,[1]Sheet3!T369:T968)</f>
        <v>5992.24</v>
      </c>
      <c r="P380" s="7">
        <f>_xlfn.XLOOKUP(A380,A379:A978,[1]Sheet3!U369:U968)</f>
        <v>654.29</v>
      </c>
      <c r="Q380" s="11">
        <f>_xlfn.XLOOKUP(A380,A379:A978,[1]Sheet3!V369:V968)</f>
        <v>0.10918955182035432</v>
      </c>
      <c r="R380" s="7">
        <f>_xlfn.XLOOKUP(A380,A379:A978,[1]Sheet3!W369:W968)</f>
        <v>37.130000000000003</v>
      </c>
      <c r="S380" t="str">
        <f>_xlfn.XLOOKUP(A380,A379:A978,[1]Sheet3!X369:X968)</f>
        <v>EMI</v>
      </c>
      <c r="T380" s="5">
        <f>_xlfn.XLOOKUP(A380,A379:A978,[1]Sheet3!Z369:Z968)</f>
        <v>4</v>
      </c>
      <c r="U380" t="b">
        <f>_xlfn.XLOOKUP(A380,A379:A978,[1]Sheet3!AA369:AA968)</f>
        <v>0</v>
      </c>
      <c r="V380" t="str">
        <f>_xlfn.XLOOKUP(A380,A379:A978,[1]Sheet3!AC369:AC968)</f>
        <v>Delivered</v>
      </c>
      <c r="W380" s="5">
        <f>_xlfn.XLOOKUP(A380,A379:A978,[1]Sheet3!AE369:AE968)</f>
        <v>7</v>
      </c>
    </row>
    <row r="381" spans="1:23" x14ac:dyDescent="0.35">
      <c r="A381" t="s">
        <v>361</v>
      </c>
      <c r="B381" s="1">
        <f>_xlfn.XLOOKUP(A381,A380:A979,[1]Sheet3!C238:C837)</f>
        <v>45024</v>
      </c>
      <c r="C381" t="str">
        <f>_xlfn.XLOOKUP(A381,A380:A979,[1]Sheet3!D238:D837)</f>
        <v>CUST97559</v>
      </c>
      <c r="D381" t="str">
        <f>_xlfn.XLOOKUP(A381,A380:A979,[1]Sheet3!E238:E837)</f>
        <v>Sunita Kumar</v>
      </c>
      <c r="E381" s="5">
        <f>_xlfn.XLOOKUP(A381,A380:A979,[1]Sheet3!G238:G837)</f>
        <v>49</v>
      </c>
      <c r="F381" t="str">
        <f>_xlfn.XLOOKUP('Retail Sales'!A239,'Retail Sales'!A238:A837,[1]Sheet3!H238:H837)</f>
        <v>Adult</v>
      </c>
      <c r="G381" t="str">
        <f>_xlfn.XLOOKUP(A381,A380:A979,[1]Sheet3!J238:J837)</f>
        <v>Male</v>
      </c>
      <c r="H381" t="str">
        <f>_xlfn.XLOOKUP(A381,A380:A979,[1]Sheet3!K238:K837)</f>
        <v>West</v>
      </c>
      <c r="I381" t="str">
        <f>_xlfn.XLOOKUP(A381,A380:A979,[1]Sheet3!L238:L837)</f>
        <v>Ahmedabad</v>
      </c>
      <c r="J381" t="str">
        <f>_xlfn.XLOOKUP(A381,A380:A979,[1]Sheet3!M238:M837)</f>
        <v>Sports</v>
      </c>
      <c r="K381" t="str">
        <f>_xlfn.XLOOKUP('Retail Sales'!A239,'Retail Sales'!A238:A837,[1]Sheet3!N238:N837)</f>
        <v>Dumbbells</v>
      </c>
      <c r="L381" s="5">
        <f>_xlfn.XLOOKUP(A381,A380:A979,[1]Sheet3!P238:P837)</f>
        <v>4</v>
      </c>
      <c r="M381" s="7">
        <f>_xlfn.XLOOKUP(A381,A380:A979,[1]Sheet3!Q238:Q837)</f>
        <v>2360.4</v>
      </c>
      <c r="N381" s="9">
        <f>_xlfn.XLOOKUP(A381,A380:A979,[1]Sheet3!S238:S837)</f>
        <v>0.36</v>
      </c>
      <c r="O381" s="7">
        <f>_xlfn.XLOOKUP(A381,A380:A979,[1]Sheet3!T238:T837)</f>
        <v>9045.1299999999992</v>
      </c>
      <c r="P381" s="7">
        <f>_xlfn.XLOOKUP(A381,A380:A979,[1]Sheet3!U238:U837)</f>
        <v>1640.8</v>
      </c>
      <c r="Q381" s="11">
        <f>_xlfn.XLOOKUP(A381,A380:A979,[1]Sheet3!V238:V837)</f>
        <v>0.18140148345021023</v>
      </c>
      <c r="R381" s="7">
        <f>_xlfn.XLOOKUP(A381,A380:A979,[1]Sheet3!W238:W837)</f>
        <v>46.73</v>
      </c>
      <c r="S381" t="str">
        <f>_xlfn.XLOOKUP(A381,A380:A979,[1]Sheet3!X238:X837)</f>
        <v>Credit Card</v>
      </c>
      <c r="T381" s="5">
        <f>_xlfn.XLOOKUP(A381,A380:A979,[1]Sheet3!Z238:Z837)</f>
        <v>2</v>
      </c>
      <c r="U381" t="b">
        <f>_xlfn.XLOOKUP(A381,A380:A979,[1]Sheet3!AA238:AA837)</f>
        <v>0</v>
      </c>
      <c r="V381" t="str">
        <f>_xlfn.XLOOKUP(A381,A380:A979,[1]Sheet3!AC238:AC837)</f>
        <v>Delivered</v>
      </c>
      <c r="W381" s="5">
        <f>_xlfn.XLOOKUP(A381,A380:A979,[1]Sheet3!AE238:AE837)</f>
        <v>2</v>
      </c>
    </row>
    <row r="382" spans="1:23" x14ac:dyDescent="0.35">
      <c r="A382" t="s">
        <v>440</v>
      </c>
      <c r="B382" s="1">
        <f>_xlfn.XLOOKUP(A382,A381:A980,[1]Sheet3!C159:C758)</f>
        <v>45030</v>
      </c>
      <c r="C382" t="str">
        <f>_xlfn.XLOOKUP(A382,A381:A980,[1]Sheet3!D159:D758)</f>
        <v>CUST00213</v>
      </c>
      <c r="D382" t="str">
        <f>_xlfn.XLOOKUP(A382,A381:A980,[1]Sheet3!E159:E758)</f>
        <v>Ritu Reddy</v>
      </c>
      <c r="E382" s="5">
        <f>_xlfn.XLOOKUP(A382,A381:A980,[1]Sheet3!G159:G758)</f>
        <v>47</v>
      </c>
      <c r="F382" t="str">
        <f>_xlfn.XLOOKUP('Retail Sales'!A160,'Retail Sales'!A159:A758,[1]Sheet3!H159:H758)</f>
        <v>Adult</v>
      </c>
      <c r="G382" t="str">
        <f>_xlfn.XLOOKUP(A382,A381:A980,[1]Sheet3!J159:J758)</f>
        <v>Male</v>
      </c>
      <c r="H382" t="str">
        <f>_xlfn.XLOOKUP(A382,A381:A980,[1]Sheet3!K159:K758)</f>
        <v>East</v>
      </c>
      <c r="I382" t="str">
        <f>_xlfn.XLOOKUP(A382,A381:A980,[1]Sheet3!L159:L758)</f>
        <v>Kolkata</v>
      </c>
      <c r="J382" t="str">
        <f>_xlfn.XLOOKUP(A382,A381:A980,[1]Sheet3!M159:M758)</f>
        <v>Beauty</v>
      </c>
      <c r="K382" t="str">
        <f>_xlfn.XLOOKUP('Retail Sales'!A160,'Retail Sales'!A159:A758,[1]Sheet3!N159:N758)</f>
        <v>Sunscreen</v>
      </c>
      <c r="L382" s="5">
        <f>_xlfn.XLOOKUP(A382,A381:A980,[1]Sheet3!P159:P758)</f>
        <v>8</v>
      </c>
      <c r="M382" s="7">
        <f>_xlfn.XLOOKUP(A382,A381:A980,[1]Sheet3!Q159:Q758)</f>
        <v>415.72</v>
      </c>
      <c r="N382" s="9">
        <f>_xlfn.XLOOKUP(A382,A381:A980,[1]Sheet3!S159:S758)</f>
        <v>0.01</v>
      </c>
      <c r="O382" s="7">
        <f>_xlfn.XLOOKUP(A382,A381:A980,[1]Sheet3!T159:T758)</f>
        <v>4769.26</v>
      </c>
      <c r="P382" s="7">
        <f>_xlfn.XLOOKUP(A382,A381:A980,[1]Sheet3!U159:U758)</f>
        <v>1796.21</v>
      </c>
      <c r="Q382" s="11">
        <f>_xlfn.XLOOKUP(A382,A381:A980,[1]Sheet3!V159:V758)</f>
        <v>0.37662236908870556</v>
      </c>
      <c r="R382" s="7">
        <f>_xlfn.XLOOKUP(A382,A381:A980,[1]Sheet3!W159:W758)</f>
        <v>54.55</v>
      </c>
      <c r="S382" t="str">
        <f>_xlfn.XLOOKUP(A382,A381:A980,[1]Sheet3!X159:X758)</f>
        <v>EMI</v>
      </c>
      <c r="T382" s="5">
        <f>_xlfn.XLOOKUP(A382,A381:A980,[1]Sheet3!Z159:Z758)</f>
        <v>3</v>
      </c>
      <c r="U382" t="b">
        <f>_xlfn.XLOOKUP(A382,A381:A980,[1]Sheet3!AA159:AA758)</f>
        <v>0</v>
      </c>
      <c r="V382" t="str">
        <f>_xlfn.XLOOKUP(A382,A381:A980,[1]Sheet3!AC159:AC758)</f>
        <v>Delivered</v>
      </c>
      <c r="W382" s="5">
        <f>_xlfn.XLOOKUP(A382,A381:A980,[1]Sheet3!AE159:AE758)</f>
        <v>5</v>
      </c>
    </row>
    <row r="383" spans="1:23" x14ac:dyDescent="0.35">
      <c r="A383" t="s">
        <v>490</v>
      </c>
      <c r="B383" s="1">
        <f>_xlfn.XLOOKUP(A383,A382:A981,[1]Sheet3!C109:C708)</f>
        <v>45032</v>
      </c>
      <c r="C383" t="str">
        <f>_xlfn.XLOOKUP(A383,A382:A981,[1]Sheet3!D109:D708)</f>
        <v>CUST69945</v>
      </c>
      <c r="D383" t="str">
        <f>_xlfn.XLOOKUP(A383,A382:A981,[1]Sheet3!E109:E708)</f>
        <v>Rahul Das</v>
      </c>
      <c r="E383" s="5">
        <f>_xlfn.XLOOKUP(A383,A382:A981,[1]Sheet3!G109:G708)</f>
        <v>36</v>
      </c>
      <c r="F383" t="str">
        <f>_xlfn.XLOOKUP('Retail Sales'!A110,'Retail Sales'!A109:A708,[1]Sheet3!H109:H708)</f>
        <v>Adult</v>
      </c>
      <c r="G383" t="str">
        <f>_xlfn.XLOOKUP(A383,A382:A981,[1]Sheet3!J109:J708)</f>
        <v>Male</v>
      </c>
      <c r="H383" t="str">
        <f>_xlfn.XLOOKUP(A383,A382:A981,[1]Sheet3!K109:K708)</f>
        <v>West</v>
      </c>
      <c r="I383" t="str">
        <f>_xlfn.XLOOKUP(A383,A382:A981,[1]Sheet3!L109:L708)</f>
        <v>Surat</v>
      </c>
      <c r="J383" t="str">
        <f>_xlfn.XLOOKUP(A383,A382:A981,[1]Sheet3!M109:M708)</f>
        <v>Electronics</v>
      </c>
      <c r="K383" t="str">
        <f>_xlfn.XLOOKUP('Retail Sales'!A110,'Retail Sales'!A109:A708,[1]Sheet3!N109:N708)</f>
        <v>Laptop</v>
      </c>
      <c r="L383" s="5">
        <f>_xlfn.XLOOKUP(A383,A382:A981,[1]Sheet3!P109:P708)</f>
        <v>8</v>
      </c>
      <c r="M383" s="7">
        <f>_xlfn.XLOOKUP(A383,A382:A981,[1]Sheet3!Q109:Q708)</f>
        <v>27632.84</v>
      </c>
      <c r="N383" s="9">
        <f>_xlfn.XLOOKUP(A383,A382:A981,[1]Sheet3!S109:S708)</f>
        <v>0.08</v>
      </c>
      <c r="O383" s="7">
        <f>_xlfn.XLOOKUP(A383,A382:A981,[1]Sheet3!T109:T708)</f>
        <v>295286.40999999997</v>
      </c>
      <c r="P383" s="7">
        <f>_xlfn.XLOOKUP(A383,A382:A981,[1]Sheet3!U109:U708)</f>
        <v>33436.120000000003</v>
      </c>
      <c r="Q383" s="11">
        <f>_xlfn.XLOOKUP(A383,A382:A981,[1]Sheet3!V109:V708)</f>
        <v>0.11323284400389441</v>
      </c>
      <c r="R383" s="7">
        <f>_xlfn.XLOOKUP(A383,A382:A981,[1]Sheet3!W109:W708)</f>
        <v>20.29</v>
      </c>
      <c r="S383" t="str">
        <f>_xlfn.XLOOKUP(A383,A382:A981,[1]Sheet3!X109:X708)</f>
        <v>Net Banking</v>
      </c>
      <c r="T383" s="5">
        <f>_xlfn.XLOOKUP(A383,A382:A981,[1]Sheet3!Z109:Z708)</f>
        <v>3</v>
      </c>
      <c r="U383" t="b">
        <f>_xlfn.XLOOKUP(A383,A382:A981,[1]Sheet3!AA109:AA708)</f>
        <v>0</v>
      </c>
      <c r="V383" t="str">
        <f>_xlfn.XLOOKUP(A383,A382:A981,[1]Sheet3!AC109:AC708)</f>
        <v>Delivered</v>
      </c>
      <c r="W383" s="5">
        <f>_xlfn.XLOOKUP(A383,A382:A981,[1]Sheet3!AE109:AE708)</f>
        <v>7</v>
      </c>
    </row>
    <row r="384" spans="1:23" x14ac:dyDescent="0.35">
      <c r="A384" t="s">
        <v>286</v>
      </c>
      <c r="B384" s="1">
        <f>_xlfn.XLOOKUP(A384,A383:A982,[1]Sheet3!C313:C912)</f>
        <v>45032</v>
      </c>
      <c r="C384" t="str">
        <f>_xlfn.XLOOKUP(A384,A383:A982,[1]Sheet3!D313:D912)</f>
        <v>CUST92472</v>
      </c>
      <c r="D384" t="str">
        <f>_xlfn.XLOOKUP(A384,A383:A982,[1]Sheet3!E313:E912)</f>
        <v>Deepa Gupta</v>
      </c>
      <c r="E384" s="5">
        <f>_xlfn.XLOOKUP(A384,A383:A982,[1]Sheet3!G313:G912)</f>
        <v>33</v>
      </c>
      <c r="F384" t="str">
        <f>_xlfn.XLOOKUP('Retail Sales'!A314,'Retail Sales'!A313:A912,[1]Sheet3!H313:H912)</f>
        <v>Young Adult</v>
      </c>
      <c r="G384" t="str">
        <f>_xlfn.XLOOKUP(A384,A383:A982,[1]Sheet3!J313:J912)</f>
        <v>Male</v>
      </c>
      <c r="H384" t="str">
        <f>_xlfn.XLOOKUP(A384,A383:A982,[1]Sheet3!K313:K912)</f>
        <v>East</v>
      </c>
      <c r="I384" t="str">
        <f>_xlfn.XLOOKUP(A384,A383:A982,[1]Sheet3!L313:L912)</f>
        <v>Patna</v>
      </c>
      <c r="J384" t="str">
        <f>_xlfn.XLOOKUP(A384,A383:A982,[1]Sheet3!M313:M912)</f>
        <v>Sports</v>
      </c>
      <c r="K384" t="str">
        <f>_xlfn.XLOOKUP('Retail Sales'!A314,'Retail Sales'!A313:A912,[1]Sheet3!N313:N912)</f>
        <v>Dumbbells</v>
      </c>
      <c r="L384" s="5">
        <f>_xlfn.XLOOKUP(A384,A383:A982,[1]Sheet3!P313:P912)</f>
        <v>7</v>
      </c>
      <c r="M384" s="7">
        <f>_xlfn.XLOOKUP(A384,A383:A982,[1]Sheet3!Q313:Q912)</f>
        <v>12799.72</v>
      </c>
      <c r="N384" s="9">
        <f>_xlfn.XLOOKUP(A384,A383:A982,[1]Sheet3!S313:S912)</f>
        <v>0.11</v>
      </c>
      <c r="O384" s="7">
        <f>_xlfn.XLOOKUP(A384,A383:A982,[1]Sheet3!T313:T912)</f>
        <v>114501.45</v>
      </c>
      <c r="P384" s="7">
        <f>_xlfn.XLOOKUP(A384,A383:A982,[1]Sheet3!U313:U912)</f>
        <v>25731.03</v>
      </c>
      <c r="Q384" s="11">
        <f>_xlfn.XLOOKUP(A384,A383:A982,[1]Sheet3!V313:V912)</f>
        <v>0.22472230701008589</v>
      </c>
      <c r="R384" s="7">
        <f>_xlfn.XLOOKUP(A384,A383:A982,[1]Sheet3!W313:W912)</f>
        <v>74.55</v>
      </c>
      <c r="S384" t="str">
        <f>_xlfn.XLOOKUP(A384,A383:A982,[1]Sheet3!X313:X912)</f>
        <v>Net Banking</v>
      </c>
      <c r="T384" s="5">
        <f>_xlfn.XLOOKUP(A384,A383:A982,[1]Sheet3!Z313:Z912)</f>
        <v>2</v>
      </c>
      <c r="U384" t="b">
        <f>_xlfn.XLOOKUP(A384,A383:A982,[1]Sheet3!AA313:AA912)</f>
        <v>0</v>
      </c>
      <c r="V384" t="str">
        <f>_xlfn.XLOOKUP(A384,A383:A982,[1]Sheet3!AC313:AC912)</f>
        <v>Delivered</v>
      </c>
      <c r="W384" s="5">
        <f>_xlfn.XLOOKUP(A384,A383:A982,[1]Sheet3!AE313:AE912)</f>
        <v>2</v>
      </c>
    </row>
    <row r="385" spans="1:23" x14ac:dyDescent="0.35">
      <c r="A385" t="s">
        <v>58</v>
      </c>
      <c r="B385" s="1">
        <f>_xlfn.XLOOKUP(A385,A384:A983,[1]Sheet3!C541:C1140)</f>
        <v>45033</v>
      </c>
      <c r="C385" t="str">
        <f>_xlfn.XLOOKUP(A385,A384:A983,[1]Sheet3!D541:D1140)</f>
        <v>CUST15930</v>
      </c>
      <c r="D385" t="str">
        <f>_xlfn.XLOOKUP(A385,A384:A983,[1]Sheet3!E541:E1140)</f>
        <v>Rahul Bhat</v>
      </c>
      <c r="E385" s="5">
        <f>_xlfn.XLOOKUP(A385,A384:A983,[1]Sheet3!G541:G1140)</f>
        <v>33</v>
      </c>
      <c r="F385" t="str">
        <f>_xlfn.XLOOKUP('Retail Sales'!A542,'Retail Sales'!A541:A1140,[1]Sheet3!H541:H1140)</f>
        <v>Young Adult</v>
      </c>
      <c r="G385" t="str">
        <f>_xlfn.XLOOKUP(A385,A384:A983,[1]Sheet3!J541:J1140)</f>
        <v>Female</v>
      </c>
      <c r="H385" t="str">
        <f>_xlfn.XLOOKUP(A385,A384:A983,[1]Sheet3!K541:K1140)</f>
        <v>North</v>
      </c>
      <c r="I385" t="str">
        <f>_xlfn.XLOOKUP(A385,A384:A983,[1]Sheet3!L541:L1140)</f>
        <v>Chandigarh</v>
      </c>
      <c r="J385" t="str">
        <f>_xlfn.XLOOKUP(A385,A384:A983,[1]Sheet3!M541:M1140)</f>
        <v>Beauty</v>
      </c>
      <c r="K385" t="str">
        <f>_xlfn.XLOOKUP('Retail Sales'!A542,'Retail Sales'!A541:A1140,[1]Sheet3!N541:N1140)</f>
        <v>Face Cream</v>
      </c>
      <c r="L385" s="5">
        <f>_xlfn.XLOOKUP(A385,A384:A983,[1]Sheet3!P541:P1140)</f>
        <v>6</v>
      </c>
      <c r="M385" s="7">
        <f>_xlfn.XLOOKUP(A385,A384:A983,[1]Sheet3!Q541:Q1140)</f>
        <v>438.59</v>
      </c>
      <c r="N385" s="9">
        <f>_xlfn.XLOOKUP(A385,A384:A983,[1]Sheet3!S541:S1140)</f>
        <v>0.26</v>
      </c>
      <c r="O385" s="7">
        <f>_xlfn.XLOOKUP(A385,A384:A983,[1]Sheet3!T541:T1140)</f>
        <v>2826.56</v>
      </c>
      <c r="P385" s="7">
        <f>_xlfn.XLOOKUP(A385,A384:A983,[1]Sheet3!U541:U1140)</f>
        <v>1014.02</v>
      </c>
      <c r="Q385" s="11">
        <f>_xlfn.XLOOKUP(A385,A384:A983,[1]Sheet3!V541:V1140)</f>
        <v>0.35874702818974302</v>
      </c>
      <c r="R385" s="7">
        <f>_xlfn.XLOOKUP(A385,A384:A983,[1]Sheet3!W541:W1140)</f>
        <v>64.81</v>
      </c>
      <c r="S385" t="str">
        <f>_xlfn.XLOOKUP(A385,A384:A983,[1]Sheet3!X541:X1140)</f>
        <v>Net Banking</v>
      </c>
      <c r="T385" s="5">
        <f>_xlfn.XLOOKUP(A385,A384:A983,[1]Sheet3!Z541:Z1140)</f>
        <v>3</v>
      </c>
      <c r="U385" t="b">
        <f>_xlfn.XLOOKUP(A385,A384:A983,[1]Sheet3!AA541:AA1140)</f>
        <v>1</v>
      </c>
      <c r="V385" t="str">
        <f>_xlfn.XLOOKUP(A385,A384:A983,[1]Sheet3!AC541:AC1140)</f>
        <v>Returned</v>
      </c>
      <c r="W385" s="5">
        <f>_xlfn.XLOOKUP(A385,A384:A983,[1]Sheet3!AE541:AE1140)</f>
        <v>9</v>
      </c>
    </row>
    <row r="386" spans="1:23" x14ac:dyDescent="0.35">
      <c r="A386" t="s">
        <v>470</v>
      </c>
      <c r="B386" s="1">
        <f>_xlfn.XLOOKUP(A386,A385:A984,[1]Sheet3!C129:C728)</f>
        <v>45033</v>
      </c>
      <c r="C386" t="str">
        <f>_xlfn.XLOOKUP(A386,A385:A984,[1]Sheet3!D129:D728)</f>
        <v>CUST21931</v>
      </c>
      <c r="D386" t="str">
        <f>_xlfn.XLOOKUP(A386,A385:A984,[1]Sheet3!E129:E728)</f>
        <v>Kavya Mehta</v>
      </c>
      <c r="E386" s="5">
        <f>_xlfn.XLOOKUP(A386,A385:A984,[1]Sheet3!G129:G728)</f>
        <v>34.294220665499125</v>
      </c>
      <c r="F386" t="str">
        <f>_xlfn.XLOOKUP('Retail Sales'!A130,'Retail Sales'!A129:A728,[1]Sheet3!H129:H728)</f>
        <v>Young Adult</v>
      </c>
      <c r="G386" t="str">
        <f>_xlfn.XLOOKUP(A386,A385:A984,[1]Sheet3!J129:J728)</f>
        <v>Female</v>
      </c>
      <c r="H386" t="str">
        <f>_xlfn.XLOOKUP(A386,A385:A984,[1]Sheet3!K129:K728)</f>
        <v>West</v>
      </c>
      <c r="I386" t="str">
        <f>_xlfn.XLOOKUP(A386,A385:A984,[1]Sheet3!L129:L728)</f>
        <v>Surat</v>
      </c>
      <c r="J386" t="str">
        <f>_xlfn.XLOOKUP(A386,A385:A984,[1]Sheet3!M129:M728)</f>
        <v>Books</v>
      </c>
      <c r="K386" t="str">
        <f>_xlfn.XLOOKUP('Retail Sales'!A130,'Retail Sales'!A129:A728,[1]Sheet3!N129:N728)</f>
        <v>Textbook</v>
      </c>
      <c r="L386" s="5">
        <f>_xlfn.XLOOKUP(A386,A385:A984,[1]Sheet3!P129:P728)</f>
        <v>8</v>
      </c>
      <c r="M386" s="7">
        <f>_xlfn.XLOOKUP(A386,A385:A984,[1]Sheet3!Q129:Q728)</f>
        <v>337.73</v>
      </c>
      <c r="N386" s="9">
        <f>_xlfn.XLOOKUP(A386,A385:A984,[1]Sheet3!S129:S728)</f>
        <v>0.38</v>
      </c>
      <c r="O386" s="7">
        <f>_xlfn.XLOOKUP(A386,A385:A984,[1]Sheet3!T129:T728)</f>
        <v>2495.0500000000002</v>
      </c>
      <c r="P386" s="7">
        <f>_xlfn.XLOOKUP(A386,A385:A984,[1]Sheet3!U129:U728)</f>
        <v>1142.99</v>
      </c>
      <c r="Q386" s="11">
        <f>_xlfn.XLOOKUP(A386,A385:A984,[1]Sheet3!V129:V728)</f>
        <v>0.45810304402717378</v>
      </c>
      <c r="R386" s="7">
        <f>_xlfn.XLOOKUP(A386,A385:A984,[1]Sheet3!W129:W728)</f>
        <v>48.99</v>
      </c>
      <c r="S386" t="str">
        <f>_xlfn.XLOOKUP(A386,A385:A984,[1]Sheet3!X129:X728)</f>
        <v>Cash on Delivery</v>
      </c>
      <c r="T386" s="5">
        <f>_xlfn.XLOOKUP(A386,A385:A984,[1]Sheet3!Z129:Z728)</f>
        <v>5</v>
      </c>
      <c r="U386" t="b">
        <f>_xlfn.XLOOKUP(A386,A385:A984,[1]Sheet3!AA129:AA728)</f>
        <v>1</v>
      </c>
      <c r="V386" t="str">
        <f>_xlfn.XLOOKUP(A386,A385:A984,[1]Sheet3!AC129:AC728)</f>
        <v>Returned</v>
      </c>
      <c r="W386" s="5">
        <f>_xlfn.XLOOKUP(A386,A385:A984,[1]Sheet3!AE129:AE728)</f>
        <v>6</v>
      </c>
    </row>
    <row r="387" spans="1:23" x14ac:dyDescent="0.35">
      <c r="A387" t="s">
        <v>376</v>
      </c>
      <c r="B387" s="1">
        <f>_xlfn.XLOOKUP(A387,A386:A985,[1]Sheet3!C223:C822)</f>
        <v>45034</v>
      </c>
      <c r="C387" t="str">
        <f>_xlfn.XLOOKUP(A387,A386:A985,[1]Sheet3!D223:D822)</f>
        <v>CUST66673</v>
      </c>
      <c r="D387" t="str">
        <f>_xlfn.XLOOKUP(A387,A386:A985,[1]Sheet3!E223:E822)</f>
        <v>Pooja Mehta</v>
      </c>
      <c r="E387" s="5">
        <f>_xlfn.XLOOKUP(A387,A386:A985,[1]Sheet3!G223:G822)</f>
        <v>32</v>
      </c>
      <c r="F387" t="str">
        <f>_xlfn.XLOOKUP('Retail Sales'!A224,'Retail Sales'!A223:A822,[1]Sheet3!H223:H822)</f>
        <v>Young Adult</v>
      </c>
      <c r="G387" t="str">
        <f>_xlfn.XLOOKUP(A387,A386:A985,[1]Sheet3!J223:J822)</f>
        <v>Female</v>
      </c>
      <c r="H387" t="str">
        <f>_xlfn.XLOOKUP(A387,A386:A985,[1]Sheet3!K223:K822)</f>
        <v>East</v>
      </c>
      <c r="I387" t="str">
        <f>_xlfn.XLOOKUP(A387,A386:A985,[1]Sheet3!L223:L822)</f>
        <v>Bhubaneswar</v>
      </c>
      <c r="J387" t="str">
        <f>_xlfn.XLOOKUP(A387,A386:A985,[1]Sheet3!M223:M822)</f>
        <v>Beauty</v>
      </c>
      <c r="K387" t="str">
        <f>_xlfn.XLOOKUP('Retail Sales'!A224,'Retail Sales'!A223:A822,[1]Sheet3!N223:N822)</f>
        <v>Face Cream</v>
      </c>
      <c r="L387" s="5">
        <f>_xlfn.XLOOKUP(A387,A386:A985,[1]Sheet3!P223:P822)</f>
        <v>1</v>
      </c>
      <c r="M387" s="7">
        <f>_xlfn.XLOOKUP(A387,A386:A985,[1]Sheet3!Q223:Q822)</f>
        <v>588.9</v>
      </c>
      <c r="N387" s="9">
        <f>_xlfn.XLOOKUP(A387,A386:A985,[1]Sheet3!S223:S822)</f>
        <v>0.03</v>
      </c>
      <c r="O387" s="7">
        <f>_xlfn.XLOOKUP(A387,A386:A985,[1]Sheet3!T223:T822)</f>
        <v>804.15</v>
      </c>
      <c r="P387" s="7">
        <f>_xlfn.XLOOKUP(A387,A386:A985,[1]Sheet3!U223:U822)</f>
        <v>359.5</v>
      </c>
      <c r="Q387" s="11">
        <f>_xlfn.XLOOKUP(A387,A386:A985,[1]Sheet3!V223:V822)</f>
        <v>0.44705589753155506</v>
      </c>
      <c r="R387" s="7">
        <f>_xlfn.XLOOKUP(A387,A386:A985,[1]Sheet3!W223:W822)</f>
        <v>76.290000000000006</v>
      </c>
      <c r="S387" t="str">
        <f>_xlfn.XLOOKUP(A387,A386:A985,[1]Sheet3!X223:X822)</f>
        <v>Net Banking</v>
      </c>
      <c r="T387" s="5">
        <f>_xlfn.XLOOKUP(A387,A386:A985,[1]Sheet3!Z223:Z822)</f>
        <v>5</v>
      </c>
      <c r="U387" t="b">
        <f>_xlfn.XLOOKUP(A387,A386:A985,[1]Sheet3!AA223:AA822)</f>
        <v>0</v>
      </c>
      <c r="V387" t="str">
        <f>_xlfn.XLOOKUP(A387,A386:A985,[1]Sheet3!AC223:AC822)</f>
        <v>Delivered</v>
      </c>
      <c r="W387" s="5">
        <f>_xlfn.XLOOKUP(A387,A386:A985,[1]Sheet3!AE223:AE822)</f>
        <v>5</v>
      </c>
    </row>
    <row r="388" spans="1:23" x14ac:dyDescent="0.35">
      <c r="A388" t="s">
        <v>28</v>
      </c>
      <c r="B388" s="1">
        <f>_xlfn.XLOOKUP(A388,A387:A986,[1]Sheet3!C571:C1170)</f>
        <v>45034</v>
      </c>
      <c r="C388" t="str">
        <f>_xlfn.XLOOKUP(A388,A387:A986,[1]Sheet3!D571:D1170)</f>
        <v>CUST00961</v>
      </c>
      <c r="D388" t="str">
        <f>_xlfn.XLOOKUP(A388,A387:A986,[1]Sheet3!E571:E1170)</f>
        <v>Nisha Kumar</v>
      </c>
      <c r="E388" s="5">
        <f>_xlfn.XLOOKUP(A388,A387:A986,[1]Sheet3!G571:G1170)</f>
        <v>37</v>
      </c>
      <c r="F388" t="str">
        <f>_xlfn.XLOOKUP('Retail Sales'!A572,'Retail Sales'!A571:A1170,[1]Sheet3!H571:H1170)</f>
        <v>Adult</v>
      </c>
      <c r="G388" t="str">
        <f>_xlfn.XLOOKUP(A388,A387:A986,[1]Sheet3!J571:J1170)</f>
        <v>Female</v>
      </c>
      <c r="H388" t="str">
        <f>_xlfn.XLOOKUP(A388,A387:A986,[1]Sheet3!K571:K1170)</f>
        <v>Central</v>
      </c>
      <c r="I388" t="str">
        <f>_xlfn.XLOOKUP(A388,A387:A986,[1]Sheet3!L571:L1170)</f>
        <v>Nagpur</v>
      </c>
      <c r="J388" t="str">
        <f>_xlfn.XLOOKUP(A388,A387:A986,[1]Sheet3!M571:M1170)</f>
        <v>Beauty</v>
      </c>
      <c r="K388" t="str">
        <f>_xlfn.XLOOKUP('Retail Sales'!A572,'Retail Sales'!A571:A1170,[1]Sheet3!N571:N1170)</f>
        <v>Perfume</v>
      </c>
      <c r="L388" s="5">
        <f>_xlfn.XLOOKUP(A388,A387:A986,[1]Sheet3!P571:P1170)</f>
        <v>8</v>
      </c>
      <c r="M388" s="7">
        <f>_xlfn.XLOOKUP(A388,A387:A986,[1]Sheet3!Q571:Q1170)</f>
        <v>899.3</v>
      </c>
      <c r="N388" s="9">
        <f>_xlfn.XLOOKUP(A388,A387:A986,[1]Sheet3!S571:S1170)</f>
        <v>0.17</v>
      </c>
      <c r="O388" s="7">
        <f>_xlfn.XLOOKUP(A388,A387:A986,[1]Sheet3!T571:T1170)</f>
        <v>8975.56</v>
      </c>
      <c r="P388" s="7">
        <f>_xlfn.XLOOKUP(A388,A387:A986,[1]Sheet3!U571:U1170)</f>
        <v>3421.59</v>
      </c>
      <c r="Q388" s="11">
        <f>_xlfn.XLOOKUP(A388,A387:A986,[1]Sheet3!V571:V1170)</f>
        <v>0.38121186867448942</v>
      </c>
      <c r="R388" s="7">
        <f>_xlfn.XLOOKUP(A388,A387:A986,[1]Sheet3!W571:W1170)</f>
        <v>71.55</v>
      </c>
      <c r="S388" t="str">
        <f>_xlfn.XLOOKUP(A388,A387:A986,[1]Sheet3!X571:X1170)</f>
        <v>Credit Card</v>
      </c>
      <c r="T388" s="5">
        <f>_xlfn.XLOOKUP(A388,A387:A986,[1]Sheet3!Z571:Z1170)</f>
        <v>2</v>
      </c>
      <c r="U388" t="b">
        <f>_xlfn.XLOOKUP(A388,A387:A986,[1]Sheet3!AA571:AA1170)</f>
        <v>0</v>
      </c>
      <c r="V388" t="str">
        <f>_xlfn.XLOOKUP(A388,A387:A986,[1]Sheet3!AC571:AC1170)</f>
        <v>Delivered</v>
      </c>
      <c r="W388" s="5">
        <f>_xlfn.XLOOKUP(A388,A387:A986,[1]Sheet3!AE571:AE1170)</f>
        <v>3</v>
      </c>
    </row>
    <row r="389" spans="1:23" x14ac:dyDescent="0.35">
      <c r="A389" t="s">
        <v>299</v>
      </c>
      <c r="B389" s="1">
        <f>_xlfn.XLOOKUP(A389,A388:A987,[1]Sheet3!C300:C899)</f>
        <v>45045</v>
      </c>
      <c r="C389" t="str">
        <f>_xlfn.XLOOKUP(A389,A388:A987,[1]Sheet3!D300:D899)</f>
        <v>CUST13741</v>
      </c>
      <c r="D389" t="str">
        <f>_xlfn.XLOOKUP(A389,A388:A987,[1]Sheet3!E300:E899)</f>
        <v>Meera Verma</v>
      </c>
      <c r="E389" s="5">
        <f>_xlfn.XLOOKUP(A389,A388:A987,[1]Sheet3!G300:G899)</f>
        <v>30</v>
      </c>
      <c r="F389" t="str">
        <f>_xlfn.XLOOKUP('Retail Sales'!A301,'Retail Sales'!A300:A899,[1]Sheet3!H300:H899)</f>
        <v>Young Adult</v>
      </c>
      <c r="G389" t="str">
        <f>_xlfn.XLOOKUP(A389,A388:A987,[1]Sheet3!J300:J899)</f>
        <v>Female</v>
      </c>
      <c r="H389" t="str">
        <f>_xlfn.XLOOKUP(A389,A388:A987,[1]Sheet3!K300:K899)</f>
        <v>East</v>
      </c>
      <c r="I389" t="str">
        <f>_xlfn.XLOOKUP(A389,A388:A987,[1]Sheet3!L300:L899)</f>
        <v>Guwahati</v>
      </c>
      <c r="J389" t="str">
        <f>_xlfn.XLOOKUP(A389,A388:A987,[1]Sheet3!M300:M899)</f>
        <v>Beauty</v>
      </c>
      <c r="K389" t="str">
        <f>_xlfn.XLOOKUP('Retail Sales'!A301,'Retail Sales'!A300:A899,[1]Sheet3!N300:N899)</f>
        <v>Hair Oil</v>
      </c>
      <c r="L389" s="5">
        <f>_xlfn.XLOOKUP(A389,A388:A987,[1]Sheet3!P300:P899)</f>
        <v>7</v>
      </c>
      <c r="M389" s="7">
        <f>_xlfn.XLOOKUP(A389,A388:A987,[1]Sheet3!Q300:Q899)</f>
        <v>1050.3800000000001</v>
      </c>
      <c r="N389" s="9">
        <f>_xlfn.XLOOKUP(A389,A388:A987,[1]Sheet3!S300:S899)</f>
        <v>0.06</v>
      </c>
      <c r="O389" s="7">
        <f>_xlfn.XLOOKUP(A389,A388:A987,[1]Sheet3!T300:T899)</f>
        <v>8746.39</v>
      </c>
      <c r="P389" s="7">
        <f>_xlfn.XLOOKUP(A389,A388:A987,[1]Sheet3!U300:U899)</f>
        <v>3436.69</v>
      </c>
      <c r="Q389" s="11">
        <f>_xlfn.XLOOKUP(A389,A388:A987,[1]Sheet3!V300:V899)</f>
        <v>0.39292668175098527</v>
      </c>
      <c r="R389" s="7">
        <f>_xlfn.XLOOKUP(A389,A388:A987,[1]Sheet3!W300:W899)</f>
        <v>85.61</v>
      </c>
      <c r="S389" t="str">
        <f>_xlfn.XLOOKUP(A389,A388:A987,[1]Sheet3!X300:X899)</f>
        <v>Debit Card</v>
      </c>
      <c r="T389" s="5">
        <f>_xlfn.XLOOKUP(A389,A388:A987,[1]Sheet3!Z300:Z899)</f>
        <v>3</v>
      </c>
      <c r="U389" t="b">
        <f>_xlfn.XLOOKUP(A389,A388:A987,[1]Sheet3!AA300:AA899)</f>
        <v>0</v>
      </c>
      <c r="V389" t="str">
        <f>_xlfn.XLOOKUP(A389,A388:A987,[1]Sheet3!AC300:AC899)</f>
        <v>Delivered</v>
      </c>
      <c r="W389" s="5">
        <f>_xlfn.XLOOKUP(A389,A388:A987,[1]Sheet3!AE300:AE899)</f>
        <v>5</v>
      </c>
    </row>
    <row r="390" spans="1:23" x14ac:dyDescent="0.35">
      <c r="A390" t="s">
        <v>165</v>
      </c>
      <c r="B390" s="1">
        <f>_xlfn.XLOOKUP(A390,A389:A988,[1]Sheet3!C434:C1033)</f>
        <v>45046</v>
      </c>
      <c r="C390" t="str">
        <f>_xlfn.XLOOKUP(A390,A389:A988,[1]Sheet3!D434:D1033)</f>
        <v>CUST07347</v>
      </c>
      <c r="D390" t="str">
        <f>_xlfn.XLOOKUP(A390,A389:A988,[1]Sheet3!E434:E1033)</f>
        <v>Priya Mehta</v>
      </c>
      <c r="E390" s="5">
        <f>_xlfn.XLOOKUP(A390,A389:A988,[1]Sheet3!G434:G1033)</f>
        <v>28</v>
      </c>
      <c r="F390" t="str">
        <f>_xlfn.XLOOKUP('Retail Sales'!A435,'Retail Sales'!A434:A1033,[1]Sheet3!H434:H1033)</f>
        <v>Young Adult</v>
      </c>
      <c r="G390" t="str">
        <f>_xlfn.XLOOKUP(A390,A389:A988,[1]Sheet3!J434:J1033)</f>
        <v>Female</v>
      </c>
      <c r="H390" t="str">
        <f>_xlfn.XLOOKUP(A390,A389:A988,[1]Sheet3!K434:K1033)</f>
        <v>West</v>
      </c>
      <c r="I390" t="str">
        <f>_xlfn.XLOOKUP(A390,A389:A988,[1]Sheet3!L434:L1033)</f>
        <v>Mumbai</v>
      </c>
      <c r="J390" t="str">
        <f>_xlfn.XLOOKUP(A390,A389:A988,[1]Sheet3!M434:M1033)</f>
        <v>Electronics</v>
      </c>
      <c r="K390" t="str">
        <f>_xlfn.XLOOKUP('Retail Sales'!A435,'Retail Sales'!A434:A1033,[1]Sheet3!N434:N1033)</f>
        <v>Smartwatch</v>
      </c>
      <c r="L390" s="5">
        <f>_xlfn.XLOOKUP(A390,A389:A988,[1]Sheet3!P434:P1033)</f>
        <v>6</v>
      </c>
      <c r="M390" s="7">
        <f>_xlfn.XLOOKUP(A390,A389:A988,[1]Sheet3!Q434:Q1033)</f>
        <v>64360.23</v>
      </c>
      <c r="N390" s="9">
        <f>_xlfn.XLOOKUP(A390,A389:A988,[1]Sheet3!S434:S1033)</f>
        <v>0.32</v>
      </c>
      <c r="O390" s="7">
        <f>_xlfn.XLOOKUP(A390,A389:A988,[1]Sheet3!T434:T1033)</f>
        <v>385580.53</v>
      </c>
      <c r="P390" s="7">
        <f>_xlfn.XLOOKUP(A390,A389:A988,[1]Sheet3!U434:U1033)</f>
        <v>28776.57</v>
      </c>
      <c r="Q390" s="11">
        <f>_xlfn.XLOOKUP(A390,A389:A988,[1]Sheet3!V434:V1033)</f>
        <v>7.4631802596464084E-2</v>
      </c>
      <c r="R390" s="7">
        <f>_xlfn.XLOOKUP(A390,A389:A988,[1]Sheet3!W434:W1033)</f>
        <v>55.31</v>
      </c>
      <c r="S390" t="str">
        <f>_xlfn.XLOOKUP(A390,A389:A988,[1]Sheet3!X434:X1033)</f>
        <v>Debit Card</v>
      </c>
      <c r="T390" s="5">
        <f>_xlfn.XLOOKUP(A390,A389:A988,[1]Sheet3!Z434:Z1033)</f>
        <v>1</v>
      </c>
      <c r="U390" t="b">
        <f>_xlfn.XLOOKUP(A390,A389:A988,[1]Sheet3!AA434:AA1033)</f>
        <v>0</v>
      </c>
      <c r="V390" t="str">
        <f>_xlfn.XLOOKUP(A390,A389:A988,[1]Sheet3!AC434:AC1033)</f>
        <v>Delivered</v>
      </c>
      <c r="W390" s="5">
        <f>_xlfn.XLOOKUP(A390,A389:A988,[1]Sheet3!AE434:AE1033)</f>
        <v>1</v>
      </c>
    </row>
    <row r="391" spans="1:23" x14ac:dyDescent="0.35">
      <c r="A391" t="s">
        <v>483</v>
      </c>
      <c r="B391" s="1">
        <f>_xlfn.XLOOKUP(A391,A390:A989,[1]Sheet3!C116:C715)</f>
        <v>45047</v>
      </c>
      <c r="C391" t="str">
        <f>_xlfn.XLOOKUP(A391,A390:A989,[1]Sheet3!D116:D715)</f>
        <v>CUST85937</v>
      </c>
      <c r="D391" t="str">
        <f>_xlfn.XLOOKUP(A391,A390:A989,[1]Sheet3!E116:E715)</f>
        <v>Deepa Verma</v>
      </c>
      <c r="E391" s="5">
        <f>_xlfn.XLOOKUP(A391,A390:A989,[1]Sheet3!G116:G715)</f>
        <v>31</v>
      </c>
      <c r="F391" t="str">
        <f>_xlfn.XLOOKUP('Retail Sales'!A117,'Retail Sales'!A116:A715,[1]Sheet3!H116:H715)</f>
        <v>Young Adult</v>
      </c>
      <c r="G391" t="str">
        <f>_xlfn.XLOOKUP(A391,A390:A989,[1]Sheet3!J116:J715)</f>
        <v>Male</v>
      </c>
      <c r="H391" t="str">
        <f>_xlfn.XLOOKUP(A391,A390:A989,[1]Sheet3!K116:K715)</f>
        <v>South</v>
      </c>
      <c r="I391" t="str">
        <f>_xlfn.XLOOKUP(A391,A390:A989,[1]Sheet3!L116:L715)</f>
        <v>Hyderabad</v>
      </c>
      <c r="J391" t="str">
        <f>_xlfn.XLOOKUP(A391,A390:A989,[1]Sheet3!M116:M715)</f>
        <v>Clothing</v>
      </c>
      <c r="K391" t="str">
        <f>_xlfn.XLOOKUP('Retail Sales'!A117,'Retail Sales'!A116:A715,[1]Sheet3!N116:N715)</f>
        <v>Saree</v>
      </c>
      <c r="L391" s="5">
        <f>_xlfn.XLOOKUP(A391,A390:A989,[1]Sheet3!P116:P715)</f>
        <v>7</v>
      </c>
      <c r="M391" s="7">
        <f>_xlfn.XLOOKUP(A391,A390:A989,[1]Sheet3!Q116:Q715)</f>
        <v>3482.32</v>
      </c>
      <c r="N391" s="9">
        <f>_xlfn.XLOOKUP(A391,A390:A989,[1]Sheet3!S116:S715)</f>
        <v>0.35</v>
      </c>
      <c r="O391" s="7">
        <f>_xlfn.XLOOKUP(A391,A390:A989,[1]Sheet3!T116:T715)</f>
        <v>26908.32</v>
      </c>
      <c r="P391" s="7">
        <f>_xlfn.XLOOKUP(A391,A390:A989,[1]Sheet3!U116:U715)</f>
        <v>8716.81</v>
      </c>
      <c r="Q391" s="11">
        <f>_xlfn.XLOOKUP(A391,A390:A989,[1]Sheet3!V116:V715)</f>
        <v>0.32394478733715071</v>
      </c>
      <c r="R391" s="7">
        <f>_xlfn.XLOOKUP(A391,A390:A989,[1]Sheet3!W116:W715)</f>
        <v>68.92</v>
      </c>
      <c r="S391" t="str">
        <f>_xlfn.XLOOKUP(A391,A390:A989,[1]Sheet3!X116:X715)</f>
        <v>UPI</v>
      </c>
      <c r="T391" s="5">
        <f>_xlfn.XLOOKUP(A391,A390:A989,[1]Sheet3!Z116:Z715)</f>
        <v>4</v>
      </c>
      <c r="U391" t="b">
        <f>_xlfn.XLOOKUP(A391,A390:A989,[1]Sheet3!AA116:AA715)</f>
        <v>0</v>
      </c>
      <c r="V391" t="str">
        <f>_xlfn.XLOOKUP(A391,A390:A989,[1]Sheet3!AC116:AC715)</f>
        <v>Delivered</v>
      </c>
      <c r="W391" s="5">
        <f>_xlfn.XLOOKUP(A391,A390:A989,[1]Sheet3!AE116:AE715)</f>
        <v>7</v>
      </c>
    </row>
    <row r="392" spans="1:23" x14ac:dyDescent="0.35">
      <c r="A392" t="s">
        <v>266</v>
      </c>
      <c r="B392" s="1">
        <f>_xlfn.XLOOKUP(A392,A391:A990,[1]Sheet3!C333:C932)</f>
        <v>45049</v>
      </c>
      <c r="C392" t="str">
        <f>_xlfn.XLOOKUP(A392,A391:A990,[1]Sheet3!D333:D932)</f>
        <v>CUST59711</v>
      </c>
      <c r="D392" t="str">
        <f>_xlfn.XLOOKUP(A392,A391:A990,[1]Sheet3!E333:E932)</f>
        <v>Rohan Mishra</v>
      </c>
      <c r="E392" s="5">
        <f>_xlfn.XLOOKUP(A392,A391:A990,[1]Sheet3!G333:G932)</f>
        <v>29</v>
      </c>
      <c r="F392" t="str">
        <f>_xlfn.XLOOKUP('Retail Sales'!A334,'Retail Sales'!A333:A932,[1]Sheet3!H333:H932)</f>
        <v>Young Adult</v>
      </c>
      <c r="G392" t="str">
        <f>_xlfn.XLOOKUP(A392,A391:A990,[1]Sheet3!J333:J932)</f>
        <v>Female</v>
      </c>
      <c r="H392" t="str">
        <f>_xlfn.XLOOKUP(A392,A391:A990,[1]Sheet3!K333:K932)</f>
        <v>East</v>
      </c>
      <c r="I392" t="str">
        <f>_xlfn.XLOOKUP(A392,A391:A990,[1]Sheet3!L333:L932)</f>
        <v>Bhubaneswar</v>
      </c>
      <c r="J392" t="str">
        <f>_xlfn.XLOOKUP(A392,A391:A990,[1]Sheet3!M333:M932)</f>
        <v>Clothing</v>
      </c>
      <c r="K392" t="str">
        <f>_xlfn.XLOOKUP('Retail Sales'!A334,'Retail Sales'!A333:A932,[1]Sheet3!N333:N932)</f>
        <v>Kurta</v>
      </c>
      <c r="L392" s="5">
        <f>_xlfn.XLOOKUP(A392,A391:A990,[1]Sheet3!P333:P932)</f>
        <v>10</v>
      </c>
      <c r="M392" s="7">
        <f>_xlfn.XLOOKUP(A392,A391:A990,[1]Sheet3!Q333:Q932)</f>
        <v>630.78</v>
      </c>
      <c r="N392" s="9">
        <f>_xlfn.XLOOKUP(A392,A391:A990,[1]Sheet3!S333:S932)</f>
        <v>0.19793402777777783</v>
      </c>
      <c r="O392" s="7">
        <f>_xlfn.XLOOKUP(A392,A391:A990,[1]Sheet3!T333:T932)</f>
        <v>10612</v>
      </c>
      <c r="P392" s="7">
        <f>_xlfn.XLOOKUP(A392,A391:A990,[1]Sheet3!U333:U932)</f>
        <v>3459.74</v>
      </c>
      <c r="Q392" s="11">
        <f>_xlfn.XLOOKUP(A392,A391:A990,[1]Sheet3!V333:V932)</f>
        <v>0.32602148511119483</v>
      </c>
      <c r="R392" s="7">
        <f>_xlfn.XLOOKUP(A392,A391:A990,[1]Sheet3!W333:W932)</f>
        <v>83.61</v>
      </c>
      <c r="S392" t="str">
        <f>_xlfn.XLOOKUP(A392,A391:A990,[1]Sheet3!X333:X932)</f>
        <v>Credit Card</v>
      </c>
      <c r="T392" s="5">
        <f>_xlfn.XLOOKUP(A392,A391:A990,[1]Sheet3!Z333:Z932)</f>
        <v>4</v>
      </c>
      <c r="U392" t="b">
        <f>_xlfn.XLOOKUP(A392,A391:A990,[1]Sheet3!AA333:AA932)</f>
        <v>0</v>
      </c>
      <c r="V392" t="str">
        <f>_xlfn.XLOOKUP(A392,A391:A990,[1]Sheet3!AC333:AC932)</f>
        <v>Delivered</v>
      </c>
      <c r="W392" s="5">
        <f>_xlfn.XLOOKUP(A392,A391:A990,[1]Sheet3!AE333:AE932)</f>
        <v>8</v>
      </c>
    </row>
    <row r="393" spans="1:23" x14ac:dyDescent="0.35">
      <c r="A393" t="s">
        <v>188</v>
      </c>
      <c r="B393" s="1">
        <f>_xlfn.XLOOKUP(A393,A392:A991,[1]Sheet3!C411:C1010)</f>
        <v>45050</v>
      </c>
      <c r="C393" t="str">
        <f>_xlfn.XLOOKUP(A393,A392:A991,[1]Sheet3!D411:D1010)</f>
        <v>CUST82471</v>
      </c>
      <c r="D393" t="str">
        <f>_xlfn.XLOOKUP(A393,A392:A991,[1]Sheet3!E411:E1010)</f>
        <v>Pooja Shah</v>
      </c>
      <c r="E393" s="5">
        <f>_xlfn.XLOOKUP(A393,A392:A991,[1]Sheet3!G411:G1010)</f>
        <v>36</v>
      </c>
      <c r="F393" t="str">
        <f>_xlfn.XLOOKUP('Retail Sales'!A412,'Retail Sales'!A411:A1010,[1]Sheet3!H411:H1010)</f>
        <v>Adult</v>
      </c>
      <c r="G393" t="str">
        <f>_xlfn.XLOOKUP(A393,A392:A991,[1]Sheet3!J411:J1010)</f>
        <v>Female</v>
      </c>
      <c r="H393" t="str">
        <f>_xlfn.XLOOKUP(A393,A392:A991,[1]Sheet3!K411:K1010)</f>
        <v>South</v>
      </c>
      <c r="I393" t="str">
        <f>_xlfn.XLOOKUP(A393,A392:A991,[1]Sheet3!L411:L1010)</f>
        <v>Kochi</v>
      </c>
      <c r="J393" t="str">
        <f>_xlfn.XLOOKUP(A393,A392:A991,[1]Sheet3!M411:M1010)</f>
        <v>Clothing</v>
      </c>
      <c r="K393" t="str">
        <f>_xlfn.XLOOKUP('Retail Sales'!A412,'Retail Sales'!A411:A1010,[1]Sheet3!N411:N1010)</f>
        <v>Saree</v>
      </c>
      <c r="L393" s="5">
        <f>_xlfn.XLOOKUP(A393,A392:A991,[1]Sheet3!P411:P1010)</f>
        <v>2</v>
      </c>
      <c r="M393" s="7">
        <f>_xlfn.XLOOKUP(A393,A392:A991,[1]Sheet3!Q411:Q1010)</f>
        <v>3236.58</v>
      </c>
      <c r="N393" s="9">
        <f>_xlfn.XLOOKUP(A393,A392:A991,[1]Sheet3!S411:S1010)</f>
        <v>0.04</v>
      </c>
      <c r="O393" s="7">
        <f>_xlfn.XLOOKUP(A393,A392:A991,[1]Sheet3!T411:T1010)</f>
        <v>9893.9699999999993</v>
      </c>
      <c r="P393" s="7">
        <f>_xlfn.XLOOKUP(A393,A392:A991,[1]Sheet3!U411:U1010)</f>
        <v>3171.49</v>
      </c>
      <c r="Q393" s="11">
        <f>_xlfn.XLOOKUP(A393,A392:A991,[1]Sheet3!V411:V1010)</f>
        <v>0.32054776798393364</v>
      </c>
      <c r="R393" s="7">
        <f>_xlfn.XLOOKUP(A393,A392:A991,[1]Sheet3!W411:W1010)</f>
        <v>71.87</v>
      </c>
      <c r="S393" t="str">
        <f>_xlfn.XLOOKUP(A393,A392:A991,[1]Sheet3!X411:X1010)</f>
        <v>Cash on Delivery</v>
      </c>
      <c r="T393" s="5">
        <f>_xlfn.XLOOKUP(A393,A392:A991,[1]Sheet3!Z411:Z1010)</f>
        <v>1</v>
      </c>
      <c r="U393" t="b">
        <f>_xlfn.XLOOKUP(A393,A392:A991,[1]Sheet3!AA411:AA1010)</f>
        <v>0</v>
      </c>
      <c r="V393" t="str">
        <f>_xlfn.XLOOKUP(A393,A392:A991,[1]Sheet3!AC411:AC1010)</f>
        <v>Delivered</v>
      </c>
      <c r="W393" s="5">
        <f>_xlfn.XLOOKUP(A393,A392:A991,[1]Sheet3!AE411:AE1010)</f>
        <v>9</v>
      </c>
    </row>
    <row r="394" spans="1:23" x14ac:dyDescent="0.35">
      <c r="A394" t="s">
        <v>101</v>
      </c>
      <c r="B394" s="1">
        <f>_xlfn.XLOOKUP(A394,A393:A992,[1]Sheet3!C498:C1097)</f>
        <v>45050</v>
      </c>
      <c r="C394" t="str">
        <f>_xlfn.XLOOKUP(A394,A393:A992,[1]Sheet3!D498:D1097)</f>
        <v>CUST45426</v>
      </c>
      <c r="D394" t="str">
        <f>_xlfn.XLOOKUP(A394,A393:A992,[1]Sheet3!E498:E1097)</f>
        <v>Arjun Patel</v>
      </c>
      <c r="E394" s="5">
        <f>_xlfn.XLOOKUP(A394,A393:A992,[1]Sheet3!G498:G1097)</f>
        <v>20</v>
      </c>
      <c r="F394" t="str">
        <f>_xlfn.XLOOKUP('Retail Sales'!A499,'Retail Sales'!A498:A1097,[1]Sheet3!H498:H1097)</f>
        <v>Young Adult</v>
      </c>
      <c r="G394" t="str">
        <f>_xlfn.XLOOKUP(A394,A393:A992,[1]Sheet3!J498:J1097)</f>
        <v>Other</v>
      </c>
      <c r="H394" t="str">
        <f>_xlfn.XLOOKUP(A394,A393:A992,[1]Sheet3!K498:K1097)</f>
        <v>South</v>
      </c>
      <c r="I394" t="str">
        <f>_xlfn.XLOOKUP(A394,A393:A992,[1]Sheet3!L498:L1097)</f>
        <v>Kochi</v>
      </c>
      <c r="J394" t="str">
        <f>_xlfn.XLOOKUP(A394,A393:A992,[1]Sheet3!M498:M1097)</f>
        <v>Beauty</v>
      </c>
      <c r="K394" t="str">
        <f>_xlfn.XLOOKUP('Retail Sales'!A499,'Retail Sales'!A498:A1097,[1]Sheet3!N498:N1097)</f>
        <v>Lipstick</v>
      </c>
      <c r="L394" s="5">
        <f>_xlfn.XLOOKUP(A394,A393:A992,[1]Sheet3!P498:P1097)</f>
        <v>6</v>
      </c>
      <c r="M394" s="7">
        <f>_xlfn.XLOOKUP(A394,A393:A992,[1]Sheet3!Q498:Q1097)</f>
        <v>2373.35</v>
      </c>
      <c r="N394" s="9">
        <f>_xlfn.XLOOKUP(A394,A393:A992,[1]Sheet3!S498:S1097)</f>
        <v>0.3</v>
      </c>
      <c r="O394" s="7">
        <f>_xlfn.XLOOKUP(A394,A393:A992,[1]Sheet3!T498:T1097)</f>
        <v>15281.74</v>
      </c>
      <c r="P394" s="7">
        <f>_xlfn.XLOOKUP(A394,A393:A992,[1]Sheet3!U498:U1097)</f>
        <v>8565.14</v>
      </c>
      <c r="Q394" s="11">
        <f>_xlfn.XLOOKUP(A394,A393:A992,[1]Sheet3!V498:V1097)</f>
        <v>0.56048198699886265</v>
      </c>
      <c r="R394" s="7">
        <f>_xlfn.XLOOKUP(A394,A393:A992,[1]Sheet3!W498:W1097)</f>
        <v>54.97</v>
      </c>
      <c r="S394" t="str">
        <f>_xlfn.XLOOKUP(A394,A393:A992,[1]Sheet3!X498:X1097)</f>
        <v>Cash on Delivery</v>
      </c>
      <c r="T394" s="5">
        <f>_xlfn.XLOOKUP(A394,A393:A992,[1]Sheet3!Z498:Z1097)</f>
        <v>3</v>
      </c>
      <c r="U394" t="b">
        <f>_xlfn.XLOOKUP(A394,A393:A992,[1]Sheet3!AA498:AA1097)</f>
        <v>0</v>
      </c>
      <c r="V394" t="str">
        <f>_xlfn.XLOOKUP(A394,A393:A992,[1]Sheet3!AC498:AC1097)</f>
        <v>Delivered</v>
      </c>
      <c r="W394" s="5">
        <f>_xlfn.XLOOKUP(A394,A393:A992,[1]Sheet3!AE498:AE1097)</f>
        <v>3</v>
      </c>
    </row>
    <row r="395" spans="1:23" x14ac:dyDescent="0.35">
      <c r="A395" t="s">
        <v>14</v>
      </c>
      <c r="B395" s="1">
        <f>_xlfn.XLOOKUP(A395,A394:A993,[1]Sheet3!C585:C1184)</f>
        <v>45057</v>
      </c>
      <c r="C395" t="str">
        <f>_xlfn.XLOOKUP(A395,A394:A993,[1]Sheet3!D585:D1184)</f>
        <v>CUST96063</v>
      </c>
      <c r="D395" t="str">
        <f>_xlfn.XLOOKUP(A395,A394:A993,[1]Sheet3!E585:E1184)</f>
        <v>Shreya Iyer</v>
      </c>
      <c r="E395" s="5">
        <f>_xlfn.XLOOKUP(A395,A394:A993,[1]Sheet3!G585:G1184)</f>
        <v>25</v>
      </c>
      <c r="F395" t="str">
        <f>_xlfn.XLOOKUP('Retail Sales'!A586,'Retail Sales'!A585:A1184,[1]Sheet3!H585:H1184)</f>
        <v>Young Adult</v>
      </c>
      <c r="G395" t="str">
        <f>_xlfn.XLOOKUP(A395,A394:A993,[1]Sheet3!J585:J1184)</f>
        <v>Other</v>
      </c>
      <c r="H395" t="str">
        <f>_xlfn.XLOOKUP(A395,A394:A993,[1]Sheet3!K585:K1184)</f>
        <v>North</v>
      </c>
      <c r="I395" t="str">
        <f>_xlfn.XLOOKUP(A395,A394:A993,[1]Sheet3!L585:L1184)</f>
        <v>Chandigarh</v>
      </c>
      <c r="J395" t="str">
        <f>_xlfn.XLOOKUP(A395,A394:A993,[1]Sheet3!M585:M1184)</f>
        <v>Electronics</v>
      </c>
      <c r="K395" t="str">
        <f>_xlfn.XLOOKUP('Retail Sales'!A586,'Retail Sales'!A585:A1184,[1]Sheet3!N585:N1184)</f>
        <v>Smartphone</v>
      </c>
      <c r="L395" s="5">
        <f>_xlfn.XLOOKUP(A395,A394:A993,[1]Sheet3!P585:P1184)</f>
        <v>9</v>
      </c>
      <c r="M395" s="7">
        <f>_xlfn.XLOOKUP(A395,A394:A993,[1]Sheet3!Q585:Q1184)</f>
        <v>6647.49</v>
      </c>
      <c r="N395" s="9">
        <f>_xlfn.XLOOKUP(A395,A394:A993,[1]Sheet3!S585:S1184)</f>
        <v>0.34</v>
      </c>
      <c r="O395" s="7">
        <f>_xlfn.XLOOKUP(A395,A394:A993,[1]Sheet3!T585:T1184)</f>
        <v>68948.2</v>
      </c>
      <c r="P395" s="7">
        <f>_xlfn.XLOOKUP(A395,A394:A993,[1]Sheet3!U585:U1184)</f>
        <v>8595.8799999999992</v>
      </c>
      <c r="Q395" s="11">
        <f>_xlfn.XLOOKUP(A395,A394:A993,[1]Sheet3!V585:V1184)</f>
        <v>0.12467156502997902</v>
      </c>
      <c r="R395" s="7">
        <f>_xlfn.XLOOKUP(A395,A394:A993,[1]Sheet3!W585:W1184)</f>
        <v>51.47</v>
      </c>
      <c r="S395" t="str">
        <f>_xlfn.XLOOKUP(A395,A394:A993,[1]Sheet3!X585:X1184)</f>
        <v>Cash on Delivery</v>
      </c>
      <c r="T395" s="5">
        <f>_xlfn.XLOOKUP(A395,A394:A993,[1]Sheet3!Z585:Z1184)</f>
        <v>4</v>
      </c>
      <c r="U395" t="b">
        <f>_xlfn.XLOOKUP(A395,A394:A993,[1]Sheet3!AA585:AA1184)</f>
        <v>0</v>
      </c>
      <c r="V395" t="str">
        <f>_xlfn.XLOOKUP(A395,A394:A993,[1]Sheet3!AC585:AC1184)</f>
        <v>Delivered</v>
      </c>
      <c r="W395" s="5">
        <f>_xlfn.XLOOKUP(A395,A394:A993,[1]Sheet3!AE585:AE1184)</f>
        <v>8</v>
      </c>
    </row>
    <row r="396" spans="1:23" x14ac:dyDescent="0.35">
      <c r="A396" t="s">
        <v>382</v>
      </c>
      <c r="B396" s="1">
        <f>_xlfn.XLOOKUP(A396,A395:A994,[1]Sheet3!C217:C816)</f>
        <v>45058</v>
      </c>
      <c r="C396" t="str">
        <f>_xlfn.XLOOKUP(A396,A395:A994,[1]Sheet3!D217:D816)</f>
        <v>CUST40911</v>
      </c>
      <c r="D396" t="str">
        <f>_xlfn.XLOOKUP(A396,A395:A994,[1]Sheet3!E217:E816)</f>
        <v>Ritu Gupta</v>
      </c>
      <c r="E396" s="5">
        <f>_xlfn.XLOOKUP(A396,A395:A994,[1]Sheet3!G217:G816)</f>
        <v>51</v>
      </c>
      <c r="F396" t="str">
        <f>_xlfn.XLOOKUP('Retail Sales'!A218,'Retail Sales'!A217:A816,[1]Sheet3!H217:H816)</f>
        <v>Senior</v>
      </c>
      <c r="G396" t="str">
        <f>_xlfn.XLOOKUP(A396,A395:A994,[1]Sheet3!J217:J816)</f>
        <v>Other</v>
      </c>
      <c r="H396" t="str">
        <f>_xlfn.XLOOKUP(A396,A395:A994,[1]Sheet3!K217:K816)</f>
        <v>Central</v>
      </c>
      <c r="I396" t="str">
        <f>_xlfn.XLOOKUP(A396,A395:A994,[1]Sheet3!L217:L816)</f>
        <v>Raipur</v>
      </c>
      <c r="J396" t="str">
        <f>_xlfn.XLOOKUP(A396,A395:A994,[1]Sheet3!M217:M816)</f>
        <v>Groceries</v>
      </c>
      <c r="K396" t="str">
        <f>_xlfn.XLOOKUP('Retail Sales'!A218,'Retail Sales'!A217:A816,[1]Sheet3!N217:N816)</f>
        <v>Rice (5kg)</v>
      </c>
      <c r="L396" s="5">
        <f>_xlfn.XLOOKUP(A396,A395:A994,[1]Sheet3!P217:P816)</f>
        <v>1</v>
      </c>
      <c r="M396" s="7">
        <f>_xlfn.XLOOKUP(A396,A395:A994,[1]Sheet3!Q217:Q816)</f>
        <v>380.33</v>
      </c>
      <c r="N396" s="9">
        <f>_xlfn.XLOOKUP(A396,A395:A994,[1]Sheet3!S217:S816)</f>
        <v>0.2</v>
      </c>
      <c r="O396" s="7">
        <f>_xlfn.XLOOKUP(A396,A395:A994,[1]Sheet3!T217:T816)</f>
        <v>506.19</v>
      </c>
      <c r="P396" s="7">
        <f>_xlfn.XLOOKUP(A396,A395:A994,[1]Sheet3!U217:U816)</f>
        <v>44.82</v>
      </c>
      <c r="Q396" s="11">
        <f>_xlfn.XLOOKUP(A396,A395:A994,[1]Sheet3!V217:V816)</f>
        <v>8.8543827416582704E-2</v>
      </c>
      <c r="R396" s="7">
        <f>_xlfn.XLOOKUP(A396,A395:A994,[1]Sheet3!W217:W816)</f>
        <v>61.88</v>
      </c>
      <c r="S396" t="str">
        <f>_xlfn.XLOOKUP(A396,A395:A994,[1]Sheet3!X217:X816)</f>
        <v>UPI</v>
      </c>
      <c r="T396" s="5">
        <f>_xlfn.XLOOKUP(A396,A395:A994,[1]Sheet3!Z217:Z816)</f>
        <v>3</v>
      </c>
      <c r="U396" t="b">
        <f>_xlfn.XLOOKUP(A396,A395:A994,[1]Sheet3!AA217:AA816)</f>
        <v>0</v>
      </c>
      <c r="V396" t="str">
        <f>_xlfn.XLOOKUP(A396,A395:A994,[1]Sheet3!AC217:AC816)</f>
        <v>Delivered</v>
      </c>
      <c r="W396" s="5">
        <f>_xlfn.XLOOKUP(A396,A395:A994,[1]Sheet3!AE217:AE816)</f>
        <v>5</v>
      </c>
    </row>
    <row r="397" spans="1:23" x14ac:dyDescent="0.35">
      <c r="A397" t="s">
        <v>545</v>
      </c>
      <c r="B397" s="1">
        <f>_xlfn.XLOOKUP(A397,A396:A995,[1]Sheet3!C54:C653)</f>
        <v>45063</v>
      </c>
      <c r="C397" t="str">
        <f>_xlfn.XLOOKUP(A397,A396:A995,[1]Sheet3!D54:D653)</f>
        <v>CUST55922</v>
      </c>
      <c r="D397" t="str">
        <f>_xlfn.XLOOKUP(A397,A396:A995,[1]Sheet3!E54:E653)</f>
        <v>Aditya Pillai</v>
      </c>
      <c r="E397" s="5">
        <f>_xlfn.XLOOKUP(A397,A396:A995,[1]Sheet3!G54:G653)</f>
        <v>51</v>
      </c>
      <c r="F397" t="str">
        <f>_xlfn.XLOOKUP('Retail Sales'!A55,'Retail Sales'!A54:A653,[1]Sheet3!H54:H653)</f>
        <v>Senior</v>
      </c>
      <c r="G397" t="str">
        <f>_xlfn.XLOOKUP(A397,A396:A995,[1]Sheet3!J54:J653)</f>
        <v>Female</v>
      </c>
      <c r="H397" t="str">
        <f>_xlfn.XLOOKUP(A397,A396:A995,[1]Sheet3!K54:K653)</f>
        <v>West</v>
      </c>
      <c r="I397" t="str">
        <f>_xlfn.XLOOKUP(A397,A396:A995,[1]Sheet3!L54:L653)</f>
        <v>Ahmedabad</v>
      </c>
      <c r="J397" t="str">
        <f>_xlfn.XLOOKUP(A397,A396:A995,[1]Sheet3!M54:M653)</f>
        <v>Beauty</v>
      </c>
      <c r="K397" t="str">
        <f>_xlfn.XLOOKUP('Retail Sales'!A55,'Retail Sales'!A54:A653,[1]Sheet3!N54:N653)</f>
        <v>Lipstick</v>
      </c>
      <c r="L397" s="5">
        <f>_xlfn.XLOOKUP(A397,A396:A995,[1]Sheet3!P54:P653)</f>
        <v>1</v>
      </c>
      <c r="M397" s="7">
        <f>_xlfn.XLOOKUP(A397,A396:A995,[1]Sheet3!Q54:Q653)</f>
        <v>697.15</v>
      </c>
      <c r="N397" s="9">
        <f>_xlfn.XLOOKUP(A397,A396:A995,[1]Sheet3!S54:S653)</f>
        <v>0.18</v>
      </c>
      <c r="O397" s="7">
        <f>_xlfn.XLOOKUP(A397,A396:A995,[1]Sheet3!T54:T653)</f>
        <v>867.37</v>
      </c>
      <c r="P397" s="7">
        <f>_xlfn.XLOOKUP(A397,A396:A995,[1]Sheet3!U54:U653)</f>
        <v>335.66</v>
      </c>
      <c r="Q397" s="11">
        <f>_xlfn.XLOOKUP(A397,A396:A995,[1]Sheet3!V54:V653)</f>
        <v>0.38698594602072933</v>
      </c>
      <c r="R397" s="7">
        <f>_xlfn.XLOOKUP(A397,A396:A995,[1]Sheet3!W54:W653)</f>
        <v>48.84</v>
      </c>
      <c r="S397" t="str">
        <f>_xlfn.XLOOKUP(A397,A396:A995,[1]Sheet3!X54:X653)</f>
        <v>Debit Card</v>
      </c>
      <c r="T397" s="5">
        <f>_xlfn.XLOOKUP(A397,A396:A995,[1]Sheet3!Z54:Z653)</f>
        <v>3</v>
      </c>
      <c r="U397" t="b">
        <f>_xlfn.XLOOKUP(A397,A396:A995,[1]Sheet3!AA54:AA653)</f>
        <v>0</v>
      </c>
      <c r="V397" t="str">
        <f>_xlfn.XLOOKUP(A397,A396:A995,[1]Sheet3!AC54:AC653)</f>
        <v>Pending</v>
      </c>
      <c r="W397" s="5">
        <f>_xlfn.XLOOKUP(A397,A396:A995,[1]Sheet3!AE54:AE653)</f>
        <v>10</v>
      </c>
    </row>
    <row r="398" spans="1:23" x14ac:dyDescent="0.35">
      <c r="A398" t="s">
        <v>319</v>
      </c>
      <c r="B398" s="1">
        <f>_xlfn.XLOOKUP(A398,A397:A996,[1]Sheet3!C280:C879)</f>
        <v>45064</v>
      </c>
      <c r="C398" t="str">
        <f>_xlfn.XLOOKUP(A398,A397:A996,[1]Sheet3!D280:D879)</f>
        <v>CUST80957</v>
      </c>
      <c r="D398" t="str">
        <f>_xlfn.XLOOKUP(A398,A397:A996,[1]Sheet3!E280:E879)</f>
        <v>Pooja Gupta</v>
      </c>
      <c r="E398" s="5">
        <f>_xlfn.XLOOKUP(A398,A397:A996,[1]Sheet3!G280:G879)</f>
        <v>31</v>
      </c>
      <c r="F398" t="str">
        <f>_xlfn.XLOOKUP('Retail Sales'!A281,'Retail Sales'!A280:A879,[1]Sheet3!H280:H879)</f>
        <v>Young Adult</v>
      </c>
      <c r="G398" t="str">
        <f>_xlfn.XLOOKUP(A398,A397:A996,[1]Sheet3!J280:J879)</f>
        <v>Other</v>
      </c>
      <c r="H398" t="str">
        <f>_xlfn.XLOOKUP(A398,A397:A996,[1]Sheet3!K280:K879)</f>
        <v>North</v>
      </c>
      <c r="I398" t="str">
        <f>_xlfn.XLOOKUP(A398,A397:A996,[1]Sheet3!L280:L879)</f>
        <v>Delhi</v>
      </c>
      <c r="J398" t="str">
        <f>_xlfn.XLOOKUP(A398,A397:A996,[1]Sheet3!M280:M879)</f>
        <v>Electronics</v>
      </c>
      <c r="K398" t="str">
        <f>_xlfn.XLOOKUP('Retail Sales'!A281,'Retail Sales'!A280:A879,[1]Sheet3!N280:N879)</f>
        <v>Smartphone</v>
      </c>
      <c r="L398" s="5">
        <f>_xlfn.XLOOKUP(A398,A397:A996,[1]Sheet3!P280:P879)</f>
        <v>2</v>
      </c>
      <c r="M398" s="7">
        <f>_xlfn.XLOOKUP(A398,A397:A996,[1]Sheet3!Q280:Q879)</f>
        <v>73267.64</v>
      </c>
      <c r="N398" s="9">
        <f>_xlfn.XLOOKUP(A398,A397:A996,[1]Sheet3!S280:S879)</f>
        <v>0.32</v>
      </c>
      <c r="O398" s="7">
        <f>_xlfn.XLOOKUP(A398,A397:A996,[1]Sheet3!T280:T879)</f>
        <v>142488.63</v>
      </c>
      <c r="P398" s="7">
        <f>_xlfn.XLOOKUP(A398,A397:A996,[1]Sheet3!U280:U879)</f>
        <v>20643.55</v>
      </c>
      <c r="Q398" s="11">
        <f>_xlfn.XLOOKUP(A398,A397:A996,[1]Sheet3!V280:V879)</f>
        <v>0.14487857732929285</v>
      </c>
      <c r="R398" s="7">
        <f>_xlfn.XLOOKUP(A398,A397:A996,[1]Sheet3!W280:W879)</f>
        <v>69.989999999999995</v>
      </c>
      <c r="S398" t="str">
        <f>_xlfn.XLOOKUP(A398,A397:A996,[1]Sheet3!X280:X879)</f>
        <v>Credit Card</v>
      </c>
      <c r="T398" s="5">
        <f>_xlfn.XLOOKUP(A398,A397:A996,[1]Sheet3!Z280:Z879)</f>
        <v>2</v>
      </c>
      <c r="U398" t="b">
        <f>_xlfn.XLOOKUP(A398,A397:A996,[1]Sheet3!AA280:AA879)</f>
        <v>0</v>
      </c>
      <c r="V398" t="str">
        <f>_xlfn.XLOOKUP(A398,A397:A996,[1]Sheet3!AC280:AC879)</f>
        <v>Delivered</v>
      </c>
      <c r="W398" s="5">
        <f>_xlfn.XLOOKUP(A398,A397:A996,[1]Sheet3!AE280:AE879)</f>
        <v>6</v>
      </c>
    </row>
    <row r="399" spans="1:23" x14ac:dyDescent="0.35">
      <c r="A399" t="s">
        <v>474</v>
      </c>
      <c r="B399" s="1">
        <f>_xlfn.XLOOKUP(A399,A398:A997,[1]Sheet3!C125:C724)</f>
        <v>45065</v>
      </c>
      <c r="C399" t="str">
        <f>_xlfn.XLOOKUP(A399,A398:A997,[1]Sheet3!D125:D724)</f>
        <v>CUST76017</v>
      </c>
      <c r="D399" t="str">
        <f>_xlfn.XLOOKUP(A399,A398:A997,[1]Sheet3!E125:E724)</f>
        <v>Arjun Chatterjee</v>
      </c>
      <c r="E399" s="5">
        <f>_xlfn.XLOOKUP(A399,A398:A997,[1]Sheet3!G125:G724)</f>
        <v>37</v>
      </c>
      <c r="F399" t="str">
        <f>_xlfn.XLOOKUP('Retail Sales'!A126,'Retail Sales'!A125:A724,[1]Sheet3!H125:H724)</f>
        <v>Adult</v>
      </c>
      <c r="G399" t="str">
        <f>_xlfn.XLOOKUP(A399,A398:A997,[1]Sheet3!J125:J724)</f>
        <v>Female</v>
      </c>
      <c r="H399" t="str">
        <f>_xlfn.XLOOKUP(A399,A398:A997,[1]Sheet3!K125:K724)</f>
        <v>Central</v>
      </c>
      <c r="I399" t="str">
        <f>_xlfn.XLOOKUP(A399,A398:A997,[1]Sheet3!L125:L724)</f>
        <v>Bhopal</v>
      </c>
      <c r="J399" t="str">
        <f>_xlfn.XLOOKUP(A399,A398:A997,[1]Sheet3!M125:M724)</f>
        <v>Furniture</v>
      </c>
      <c r="K399" t="str">
        <f>_xlfn.XLOOKUP('Retail Sales'!A126,'Retail Sales'!A125:A724,[1]Sheet3!N125:N724)</f>
        <v>Bookshelf</v>
      </c>
      <c r="L399" s="5">
        <f>_xlfn.XLOOKUP(A399,A398:A997,[1]Sheet3!P125:P724)</f>
        <v>10</v>
      </c>
      <c r="M399" s="7">
        <f>_xlfn.XLOOKUP(A399,A398:A997,[1]Sheet3!Q125:Q724)</f>
        <v>7630.7</v>
      </c>
      <c r="N399" s="9">
        <f>_xlfn.XLOOKUP(A399,A398:A997,[1]Sheet3!S125:S724)</f>
        <v>0.21</v>
      </c>
      <c r="O399" s="7">
        <f>_xlfn.XLOOKUP(A399,A398:A997,[1]Sheet3!T125:T724)</f>
        <v>99978.26</v>
      </c>
      <c r="P399" s="7">
        <f>_xlfn.XLOOKUP(A399,A398:A997,[1]Sheet3!U125:U724)</f>
        <v>21558.18</v>
      </c>
      <c r="Q399" s="11">
        <f>_xlfn.XLOOKUP(A399,A398:A997,[1]Sheet3!V125:V724)</f>
        <v>0.21562867767452645</v>
      </c>
      <c r="R399" s="7">
        <f>_xlfn.XLOOKUP(A399,A398:A997,[1]Sheet3!W125:W724)</f>
        <v>46.42</v>
      </c>
      <c r="S399" t="str">
        <f>_xlfn.XLOOKUP(A399,A398:A997,[1]Sheet3!X125:X724)</f>
        <v>Cash on Delivery</v>
      </c>
      <c r="T399" s="5">
        <f>_xlfn.XLOOKUP(A399,A398:A997,[1]Sheet3!Z125:Z724)</f>
        <v>5</v>
      </c>
      <c r="U399" t="b">
        <f>_xlfn.XLOOKUP(A399,A398:A997,[1]Sheet3!AA125:AA724)</f>
        <v>0</v>
      </c>
      <c r="V399" t="str">
        <f>_xlfn.XLOOKUP(A399,A398:A997,[1]Sheet3!AC125:AC724)</f>
        <v>Cancelled</v>
      </c>
      <c r="W399" s="5">
        <f>_xlfn.XLOOKUP(A399,A398:A997,[1]Sheet3!AE125:AE724)</f>
        <v>8</v>
      </c>
    </row>
    <row r="400" spans="1:23" x14ac:dyDescent="0.35">
      <c r="A400" t="s">
        <v>122</v>
      </c>
      <c r="B400" s="1">
        <f>_xlfn.XLOOKUP(A400,A399:A998,[1]Sheet3!C477:C1076)</f>
        <v>45066</v>
      </c>
      <c r="C400" t="str">
        <f>_xlfn.XLOOKUP(A400,A399:A998,[1]Sheet3!D477:D1076)</f>
        <v>CUST32623</v>
      </c>
      <c r="D400" t="str">
        <f>_xlfn.XLOOKUP(A400,A399:A998,[1]Sheet3!E477:E1076)</f>
        <v>Ananya Verma</v>
      </c>
      <c r="E400" s="5">
        <f>_xlfn.XLOOKUP(A400,A399:A998,[1]Sheet3!G477:G1076)</f>
        <v>17</v>
      </c>
      <c r="F400" t="str">
        <f>_xlfn.XLOOKUP('Retail Sales'!A478,'Retail Sales'!A477:A1076,[1]Sheet3!H477:H1076)</f>
        <v>Teen</v>
      </c>
      <c r="G400" t="str">
        <f>_xlfn.XLOOKUP(A400,A399:A998,[1]Sheet3!J477:J1076)</f>
        <v>Female</v>
      </c>
      <c r="H400" t="str">
        <f>_xlfn.XLOOKUP(A400,A399:A998,[1]Sheet3!K477:K1076)</f>
        <v>East</v>
      </c>
      <c r="I400" t="str">
        <f>_xlfn.XLOOKUP(A400,A399:A998,[1]Sheet3!L477:L1076)</f>
        <v>Patna</v>
      </c>
      <c r="J400" t="str">
        <f>_xlfn.XLOOKUP(A400,A399:A998,[1]Sheet3!M477:M1076)</f>
        <v>Beauty</v>
      </c>
      <c r="K400" t="str">
        <f>_xlfn.XLOOKUP('Retail Sales'!A478,'Retail Sales'!A477:A1076,[1]Sheet3!N477:N1076)</f>
        <v>Shampoo</v>
      </c>
      <c r="L400" s="5">
        <f>_xlfn.XLOOKUP(A400,A399:A998,[1]Sheet3!P477:P1076)</f>
        <v>8</v>
      </c>
      <c r="M400" s="7">
        <f>_xlfn.XLOOKUP(A400,A399:A998,[1]Sheet3!Q477:Q1076)</f>
        <v>211.05</v>
      </c>
      <c r="N400" s="9">
        <f>_xlfn.XLOOKUP(A400,A399:A998,[1]Sheet3!S477:S1076)</f>
        <v>0.17</v>
      </c>
      <c r="O400" s="7">
        <f>_xlfn.XLOOKUP(A400,A399:A998,[1]Sheet3!T477:T1076)</f>
        <v>2271.48</v>
      </c>
      <c r="P400" s="7">
        <f>_xlfn.XLOOKUP(A400,A399:A998,[1]Sheet3!U477:U1076)</f>
        <v>1315.77</v>
      </c>
      <c r="Q400" s="11">
        <f>_xlfn.XLOOKUP(A400,A399:A998,[1]Sheet3!V477:V1076)</f>
        <v>0.57925669607480579</v>
      </c>
      <c r="R400" s="7">
        <f>_xlfn.XLOOKUP(A400,A399:A998,[1]Sheet3!W477:W1076)</f>
        <v>75.69</v>
      </c>
      <c r="S400" t="str">
        <f>_xlfn.XLOOKUP(A400,A399:A998,[1]Sheet3!X477:X1076)</f>
        <v>Net Banking</v>
      </c>
      <c r="T400" s="5">
        <f>_xlfn.XLOOKUP(A400,A399:A998,[1]Sheet3!Z477:Z1076)</f>
        <v>3</v>
      </c>
      <c r="U400" t="b">
        <f>_xlfn.XLOOKUP(A400,A399:A998,[1]Sheet3!AA477:AA1076)</f>
        <v>1</v>
      </c>
      <c r="V400" t="str">
        <f>_xlfn.XLOOKUP(A400,A399:A998,[1]Sheet3!AC477:AC1076)</f>
        <v>Returned</v>
      </c>
      <c r="W400" s="5">
        <f>_xlfn.XLOOKUP(A400,A399:A998,[1]Sheet3!AE477:AE1076)</f>
        <v>3</v>
      </c>
    </row>
    <row r="401" spans="1:23" x14ac:dyDescent="0.35">
      <c r="A401" t="s">
        <v>497</v>
      </c>
      <c r="B401" s="1">
        <f>_xlfn.XLOOKUP(A401,A400:A999,[1]Sheet3!C102:C701)</f>
        <v>45070</v>
      </c>
      <c r="C401" t="str">
        <f>_xlfn.XLOOKUP(A401,A400:A999,[1]Sheet3!D102:D701)</f>
        <v>CUST04791</v>
      </c>
      <c r="D401" t="str">
        <f>_xlfn.XLOOKUP(A401,A400:A999,[1]Sheet3!E102:E701)</f>
        <v>Rahul Verma</v>
      </c>
      <c r="E401" s="5">
        <f>_xlfn.XLOOKUP(A401,A400:A999,[1]Sheet3!G102:G701)</f>
        <v>24</v>
      </c>
      <c r="F401" t="str">
        <f>_xlfn.XLOOKUP('Retail Sales'!A103,'Retail Sales'!A102:A701,[1]Sheet3!H102:H701)</f>
        <v>Young Adult</v>
      </c>
      <c r="G401" t="str">
        <f>_xlfn.XLOOKUP(A401,A400:A999,[1]Sheet3!J102:J701)</f>
        <v>Other</v>
      </c>
      <c r="H401" t="str">
        <f>_xlfn.XLOOKUP(A401,A400:A999,[1]Sheet3!K102:K701)</f>
        <v>West</v>
      </c>
      <c r="I401" t="str">
        <f>_xlfn.XLOOKUP(A401,A400:A999,[1]Sheet3!L102:L701)</f>
        <v>Mumbai</v>
      </c>
      <c r="J401" t="str">
        <f>_xlfn.XLOOKUP(A401,A400:A999,[1]Sheet3!M102:M701)</f>
        <v>Books</v>
      </c>
      <c r="K401" t="str">
        <f>_xlfn.XLOOKUP('Retail Sales'!A103,'Retail Sales'!A102:A701,[1]Sheet3!N102:N701)</f>
        <v>Self-Help Book</v>
      </c>
      <c r="L401" s="5">
        <f>_xlfn.XLOOKUP(A401,A400:A999,[1]Sheet3!P102:P701)</f>
        <v>8</v>
      </c>
      <c r="M401" s="7">
        <f>_xlfn.XLOOKUP(A401,A400:A999,[1]Sheet3!Q102:Q701)</f>
        <v>579.77</v>
      </c>
      <c r="N401" s="9">
        <f>_xlfn.XLOOKUP(A401,A400:A999,[1]Sheet3!S102:S701)</f>
        <v>0.36</v>
      </c>
      <c r="O401" s="7">
        <f>_xlfn.XLOOKUP(A401,A400:A999,[1]Sheet3!T102:T701)</f>
        <v>3954.73</v>
      </c>
      <c r="P401" s="7">
        <f>_xlfn.XLOOKUP(A401,A400:A999,[1]Sheet3!U102:U701)</f>
        <v>2230.94</v>
      </c>
      <c r="Q401" s="11">
        <f>_xlfn.XLOOKUP(A401,A400:A999,[1]Sheet3!V102:V701)</f>
        <v>0.56411942155343098</v>
      </c>
      <c r="R401" s="7">
        <f>_xlfn.XLOOKUP(A401,A400:A999,[1]Sheet3!W102:W701)</f>
        <v>42.6</v>
      </c>
      <c r="S401" t="str">
        <f>_xlfn.XLOOKUP(A401,A400:A999,[1]Sheet3!X102:X701)</f>
        <v>Debit Card</v>
      </c>
      <c r="T401" s="5">
        <f>_xlfn.XLOOKUP(A401,A400:A999,[1]Sheet3!Z102:Z701)</f>
        <v>3</v>
      </c>
      <c r="U401" t="b">
        <f>_xlfn.XLOOKUP(A401,A400:A999,[1]Sheet3!AA102:AA701)</f>
        <v>0</v>
      </c>
      <c r="V401" t="str">
        <f>_xlfn.XLOOKUP(A401,A400:A999,[1]Sheet3!AC102:AC701)</f>
        <v>Delivered</v>
      </c>
      <c r="W401" s="5">
        <f>_xlfn.XLOOKUP(A401,A400:A999,[1]Sheet3!AE102:AE701)</f>
        <v>7</v>
      </c>
    </row>
    <row r="402" spans="1:23" x14ac:dyDescent="0.35">
      <c r="A402" t="s">
        <v>54</v>
      </c>
      <c r="B402" s="1">
        <f>_xlfn.XLOOKUP(A402,A401:A1000,[1]Sheet3!C545:C1144)</f>
        <v>45071</v>
      </c>
      <c r="C402" t="str">
        <f>_xlfn.XLOOKUP(A402,A401:A1000,[1]Sheet3!D545:D1144)</f>
        <v>CUST56492</v>
      </c>
      <c r="D402" t="str">
        <f>_xlfn.XLOOKUP(A402,A401:A1000,[1]Sheet3!E545:E1144)</f>
        <v>Ananya Gupta</v>
      </c>
      <c r="E402" s="5">
        <f>_xlfn.XLOOKUP(A402,A401:A1000,[1]Sheet3!G545:G1144)</f>
        <v>35</v>
      </c>
      <c r="F402" t="str">
        <f>_xlfn.XLOOKUP('Retail Sales'!A546,'Retail Sales'!A545:A1144,[1]Sheet3!H545:H1144)</f>
        <v>Young Adult</v>
      </c>
      <c r="G402" t="str">
        <f>_xlfn.XLOOKUP(A402,A401:A1000,[1]Sheet3!J545:J1144)</f>
        <v>Male</v>
      </c>
      <c r="H402" t="str">
        <f>_xlfn.XLOOKUP(A402,A401:A1000,[1]Sheet3!K545:K1144)</f>
        <v>South</v>
      </c>
      <c r="I402" t="str">
        <f>_xlfn.XLOOKUP(A402,A401:A1000,[1]Sheet3!L545:L1144)</f>
        <v>Kochi</v>
      </c>
      <c r="J402" t="str">
        <f>_xlfn.XLOOKUP(A402,A401:A1000,[1]Sheet3!M545:M1144)</f>
        <v>Furniture</v>
      </c>
      <c r="K402" t="str">
        <f>_xlfn.XLOOKUP('Retail Sales'!A546,'Retail Sales'!A545:A1144,[1]Sheet3!N545:N1144)</f>
        <v>Wardrobe</v>
      </c>
      <c r="L402" s="5">
        <f>_xlfn.XLOOKUP(A402,A401:A1000,[1]Sheet3!P545:P1144)</f>
        <v>10</v>
      </c>
      <c r="M402" s="7">
        <f>_xlfn.XLOOKUP(A402,A401:A1000,[1]Sheet3!Q545:Q1144)</f>
        <v>31142.23</v>
      </c>
      <c r="N402" s="9">
        <f>_xlfn.XLOOKUP(A402,A401:A1000,[1]Sheet3!S545:S1144)</f>
        <v>0.12</v>
      </c>
      <c r="O402" s="7">
        <f>_xlfn.XLOOKUP(A402,A401:A1000,[1]Sheet3!T545:T1144)</f>
        <v>475250.99</v>
      </c>
      <c r="P402" s="7">
        <f>_xlfn.XLOOKUP(A402,A401:A1000,[1]Sheet3!U545:U1144)</f>
        <v>133297.06</v>
      </c>
      <c r="Q402" s="11">
        <f>_xlfn.XLOOKUP(A402,A401:A1000,[1]Sheet3!V545:V1144)</f>
        <v>0.28047718532895638</v>
      </c>
      <c r="R402" s="7">
        <f>_xlfn.XLOOKUP(A402,A401:A1000,[1]Sheet3!W545:W1144)</f>
        <v>90.65</v>
      </c>
      <c r="S402" t="str">
        <f>_xlfn.XLOOKUP(A402,A401:A1000,[1]Sheet3!X545:X1144)</f>
        <v>UPI</v>
      </c>
      <c r="T402" s="5">
        <f>_xlfn.XLOOKUP(A402,A401:A1000,[1]Sheet3!Z545:Z1144)</f>
        <v>4</v>
      </c>
      <c r="U402" t="b">
        <f>_xlfn.XLOOKUP(A402,A401:A1000,[1]Sheet3!AA545:AA1144)</f>
        <v>0</v>
      </c>
      <c r="V402" t="str">
        <f>_xlfn.XLOOKUP(A402,A401:A1000,[1]Sheet3!AC545:AC1144)</f>
        <v>Cancelled</v>
      </c>
      <c r="W402" s="5">
        <f>_xlfn.XLOOKUP(A402,A401:A1000,[1]Sheet3!AE545:AE1144)</f>
        <v>1</v>
      </c>
    </row>
    <row r="403" spans="1:23" x14ac:dyDescent="0.35">
      <c r="A403" t="s">
        <v>69</v>
      </c>
      <c r="B403" s="1">
        <f>_xlfn.XLOOKUP(A403,A402:A1001,[1]Sheet3!C530:C1129)</f>
        <v>45071</v>
      </c>
      <c r="C403" t="str">
        <f>_xlfn.XLOOKUP(A403,A402:A1001,[1]Sheet3!D530:D1129)</f>
        <v>CUST62909</v>
      </c>
      <c r="D403" t="str">
        <f>_xlfn.XLOOKUP(A403,A402:A1001,[1]Sheet3!E530:E1129)</f>
        <v>Aditya Bose</v>
      </c>
      <c r="E403" s="5">
        <f>_xlfn.XLOOKUP(A403,A402:A1001,[1]Sheet3!G530:G1129)</f>
        <v>31</v>
      </c>
      <c r="F403" t="str">
        <f>_xlfn.XLOOKUP('Retail Sales'!A531,'Retail Sales'!A530:A1129,[1]Sheet3!H530:H1129)</f>
        <v>Young Adult</v>
      </c>
      <c r="G403" t="str">
        <f>_xlfn.XLOOKUP(A403,A402:A1001,[1]Sheet3!J530:J1129)</f>
        <v>Female</v>
      </c>
      <c r="H403" t="str">
        <f>_xlfn.XLOOKUP(A403,A402:A1001,[1]Sheet3!K530:K1129)</f>
        <v>West</v>
      </c>
      <c r="I403" t="str">
        <f>_xlfn.XLOOKUP(A403,A402:A1001,[1]Sheet3!L530:L1129)</f>
        <v>Ahmedabad</v>
      </c>
      <c r="J403" t="str">
        <f>_xlfn.XLOOKUP(A403,A402:A1001,[1]Sheet3!M530:M1129)</f>
        <v>Groceries</v>
      </c>
      <c r="K403" t="str">
        <f>_xlfn.XLOOKUP('Retail Sales'!A531,'Retail Sales'!A530:A1129,[1]Sheet3!N530:N1129)</f>
        <v>Flour</v>
      </c>
      <c r="L403" s="5">
        <f>_xlfn.XLOOKUP(A403,A402:A1001,[1]Sheet3!P530:P1129)</f>
        <v>8</v>
      </c>
      <c r="M403" s="7">
        <f>_xlfn.XLOOKUP(A403,A402:A1001,[1]Sheet3!Q530:Q1129)</f>
        <v>399.28</v>
      </c>
      <c r="N403" s="9">
        <f>_xlfn.XLOOKUP(A403,A402:A1001,[1]Sheet3!S530:S1129)</f>
        <v>0.11</v>
      </c>
      <c r="O403" s="7">
        <f>_xlfn.XLOOKUP(A403,A402:A1001,[1]Sheet3!T530:T1129)</f>
        <v>5100.96</v>
      </c>
      <c r="P403" s="7">
        <f>_xlfn.XLOOKUP(A403,A402:A1001,[1]Sheet3!U530:U1129)</f>
        <v>406.96</v>
      </c>
      <c r="Q403" s="11">
        <f>_xlfn.XLOOKUP(A403,A402:A1001,[1]Sheet3!V530:V1129)</f>
        <v>7.9781060819924088E-2</v>
      </c>
      <c r="R403" s="7">
        <f>_xlfn.XLOOKUP(A403,A402:A1001,[1]Sheet3!W530:W1129)</f>
        <v>62.93</v>
      </c>
      <c r="S403" t="str">
        <f>_xlfn.XLOOKUP(A403,A402:A1001,[1]Sheet3!X530:X1129)</f>
        <v>Cash on Delivery</v>
      </c>
      <c r="T403" s="5">
        <f>_xlfn.XLOOKUP(A403,A402:A1001,[1]Sheet3!Z530:Z1129)</f>
        <v>4</v>
      </c>
      <c r="U403" t="b">
        <f>_xlfn.XLOOKUP(A403,A402:A1001,[1]Sheet3!AA530:AA1129)</f>
        <v>0</v>
      </c>
      <c r="V403" t="str">
        <f>_xlfn.XLOOKUP(A403,A402:A1001,[1]Sheet3!AC530:AC1129)</f>
        <v>Shipped</v>
      </c>
      <c r="W403" s="5">
        <f>_xlfn.XLOOKUP(A403,A402:A1001,[1]Sheet3!AE530:AE1129)</f>
        <v>2</v>
      </c>
    </row>
    <row r="404" spans="1:23" x14ac:dyDescent="0.35">
      <c r="A404" t="s">
        <v>528</v>
      </c>
      <c r="B404" s="1">
        <f>_xlfn.XLOOKUP(A404,A403:A1002,[1]Sheet3!C71:C670)</f>
        <v>45072</v>
      </c>
      <c r="C404" t="str">
        <f>_xlfn.XLOOKUP(A404,A403:A1002,[1]Sheet3!D71:D670)</f>
        <v>CUST30753</v>
      </c>
      <c r="D404" t="str">
        <f>_xlfn.XLOOKUP(A404,A403:A1002,[1]Sheet3!E71:E670)</f>
        <v>Deepa Chatterjee</v>
      </c>
      <c r="E404" s="5">
        <f>_xlfn.XLOOKUP(A404,A403:A1002,[1]Sheet3!G71:G670)</f>
        <v>28</v>
      </c>
      <c r="F404" t="str">
        <f>_xlfn.XLOOKUP('Retail Sales'!A72,'Retail Sales'!A71:A670,[1]Sheet3!H71:H670)</f>
        <v>Young Adult</v>
      </c>
      <c r="G404" t="str">
        <f>_xlfn.XLOOKUP(A404,A403:A1002,[1]Sheet3!J71:J670)</f>
        <v>Male</v>
      </c>
      <c r="H404" t="str">
        <f>_xlfn.XLOOKUP(A404,A403:A1002,[1]Sheet3!K71:K670)</f>
        <v>North</v>
      </c>
      <c r="I404" t="str">
        <f>_xlfn.XLOOKUP(A404,A403:A1002,[1]Sheet3!L71:L670)</f>
        <v>Chandigarh</v>
      </c>
      <c r="J404" t="str">
        <f>_xlfn.XLOOKUP(A404,A403:A1002,[1]Sheet3!M71:M670)</f>
        <v>Furniture</v>
      </c>
      <c r="K404" t="str">
        <f>_xlfn.XLOOKUP('Retail Sales'!A72,'Retail Sales'!A71:A670,[1]Sheet3!N71:N670)</f>
        <v>Bookshelf</v>
      </c>
      <c r="L404" s="5">
        <f>_xlfn.XLOOKUP(A404,A403:A1002,[1]Sheet3!P71:P670)</f>
        <v>7.0954861111111107</v>
      </c>
      <c r="M404" s="7">
        <f>_xlfn.XLOOKUP(A404,A403:A1002,[1]Sheet3!Q71:Q670)</f>
        <v>5493.74</v>
      </c>
      <c r="N404" s="9">
        <f>_xlfn.XLOOKUP(A404,A403:A1002,[1]Sheet3!S71:S670)</f>
        <v>0.2</v>
      </c>
      <c r="O404" s="7">
        <f>_xlfn.XLOOKUP(A404,A403:A1002,[1]Sheet3!T71:T670)</f>
        <v>6967.21</v>
      </c>
      <c r="P404" s="7">
        <f>_xlfn.XLOOKUP(A404,A403:A1002,[1]Sheet3!U71:U670)</f>
        <v>1809.32</v>
      </c>
      <c r="Q404" s="11">
        <f>_xlfn.XLOOKUP(A404,A403:A1002,[1]Sheet3!V71:V670)</f>
        <v>0.25969075139115944</v>
      </c>
      <c r="R404" s="7">
        <f>_xlfn.XLOOKUP(A404,A403:A1002,[1]Sheet3!W71:W670)</f>
        <v>49</v>
      </c>
      <c r="S404" t="str">
        <f>_xlfn.XLOOKUP(A404,A403:A1002,[1]Sheet3!X71:X670)</f>
        <v>Credit Card</v>
      </c>
      <c r="T404" s="5">
        <f>_xlfn.XLOOKUP(A404,A403:A1002,[1]Sheet3!Z71:Z670)</f>
        <v>1</v>
      </c>
      <c r="U404" t="b">
        <f>_xlfn.XLOOKUP(A404,A403:A1002,[1]Sheet3!AA71:AA670)</f>
        <v>0</v>
      </c>
      <c r="V404" t="str">
        <f>_xlfn.XLOOKUP(A404,A403:A1002,[1]Sheet3!AC71:AC670)</f>
        <v>Delivered</v>
      </c>
      <c r="W404" s="5">
        <f>_xlfn.XLOOKUP(A404,A403:A1002,[1]Sheet3!AE71:AE670)</f>
        <v>5</v>
      </c>
    </row>
    <row r="405" spans="1:23" x14ac:dyDescent="0.35">
      <c r="A405" t="s">
        <v>16</v>
      </c>
      <c r="B405" s="1">
        <f>_xlfn.XLOOKUP(A405,A404:A1003,[1]Sheet3!C583:C1182)</f>
        <v>45074</v>
      </c>
      <c r="C405" t="str">
        <f>_xlfn.XLOOKUP(A405,A404:A1003,[1]Sheet3!D583:D1182)</f>
        <v>CUST18697</v>
      </c>
      <c r="D405" t="str">
        <f>_xlfn.XLOOKUP(A405,A404:A1003,[1]Sheet3!E583:E1182)</f>
        <v>Karan Verma</v>
      </c>
      <c r="E405" s="5">
        <f>_xlfn.XLOOKUP(A405,A404:A1003,[1]Sheet3!G583:G1182)</f>
        <v>54</v>
      </c>
      <c r="F405" t="str">
        <f>_xlfn.XLOOKUP('Retail Sales'!A584,'Retail Sales'!A583:A1182,[1]Sheet3!H583:H1182)</f>
        <v>Senior</v>
      </c>
      <c r="G405" t="str">
        <f>_xlfn.XLOOKUP(A405,A404:A1003,[1]Sheet3!J583:J1182)</f>
        <v>Female</v>
      </c>
      <c r="H405" t="str">
        <f>_xlfn.XLOOKUP(A405,A404:A1003,[1]Sheet3!K583:K1182)</f>
        <v>North</v>
      </c>
      <c r="I405" t="str">
        <f>_xlfn.XLOOKUP(A405,A404:A1003,[1]Sheet3!L583:L1182)</f>
        <v>Chandigarh</v>
      </c>
      <c r="J405" t="str">
        <f>_xlfn.XLOOKUP(A405,A404:A1003,[1]Sheet3!M583:M1182)</f>
        <v>Furniture</v>
      </c>
      <c r="K405" t="str">
        <f>_xlfn.XLOOKUP('Retail Sales'!A584,'Retail Sales'!A583:A1182,[1]Sheet3!N583:N1182)</f>
        <v>Bed Frame</v>
      </c>
      <c r="L405" s="5">
        <f>_xlfn.XLOOKUP(A405,A404:A1003,[1]Sheet3!P583:P1182)</f>
        <v>8</v>
      </c>
      <c r="M405" s="7">
        <f>_xlfn.XLOOKUP(A405,A404:A1003,[1]Sheet3!Q583:Q1182)</f>
        <v>30782.92</v>
      </c>
      <c r="N405" s="9">
        <f>_xlfn.XLOOKUP(A405,A404:A1003,[1]Sheet3!S583:S1182)</f>
        <v>0.11</v>
      </c>
      <c r="O405" s="7">
        <f>_xlfn.XLOOKUP(A405,A404:A1003,[1]Sheet3!T583:T1182)</f>
        <v>356477.73</v>
      </c>
      <c r="P405" s="7">
        <f>_xlfn.XLOOKUP(A405,A404:A1003,[1]Sheet3!U583:U1182)</f>
        <v>116445.94</v>
      </c>
      <c r="Q405" s="11">
        <f>_xlfn.XLOOKUP(A405,A404:A1003,[1]Sheet3!V583:V1182)</f>
        <v>0.326656983593337</v>
      </c>
      <c r="R405" s="7">
        <f>_xlfn.XLOOKUP(A405,A404:A1003,[1]Sheet3!W583:W1182)</f>
        <v>61.27</v>
      </c>
      <c r="S405" t="str">
        <f>_xlfn.XLOOKUP(A405,A404:A1003,[1]Sheet3!X583:X1182)</f>
        <v>EMI</v>
      </c>
      <c r="T405" s="5">
        <f>_xlfn.XLOOKUP(A405,A404:A1003,[1]Sheet3!Z583:Z1182)</f>
        <v>3</v>
      </c>
      <c r="U405" t="b">
        <f>_xlfn.XLOOKUP(A405,A404:A1003,[1]Sheet3!AA583:AA1182)</f>
        <v>0</v>
      </c>
      <c r="V405" t="str">
        <f>_xlfn.XLOOKUP(A405,A404:A1003,[1]Sheet3!AC583:AC1182)</f>
        <v>Delivered</v>
      </c>
      <c r="W405" s="5">
        <f>_xlfn.XLOOKUP(A405,A404:A1003,[1]Sheet3!AE583:AE1182)</f>
        <v>2</v>
      </c>
    </row>
    <row r="406" spans="1:23" x14ac:dyDescent="0.35">
      <c r="A406" t="s">
        <v>274</v>
      </c>
      <c r="B406" s="1">
        <f>_xlfn.XLOOKUP(A406,A405:A1004,[1]Sheet3!C325:C924)</f>
        <v>45074</v>
      </c>
      <c r="C406" t="str">
        <f>_xlfn.XLOOKUP(A406,A405:A1004,[1]Sheet3!D325:D924)</f>
        <v>CUST34534</v>
      </c>
      <c r="D406" t="str">
        <f>_xlfn.XLOOKUP(A406,A405:A1004,[1]Sheet3!E325:E924)</f>
        <v>Sanjay Rao</v>
      </c>
      <c r="E406" s="5">
        <f>_xlfn.XLOOKUP(A406,A405:A1004,[1]Sheet3!G325:G924)</f>
        <v>55</v>
      </c>
      <c r="F406" t="str">
        <f>_xlfn.XLOOKUP('Retail Sales'!A326,'Retail Sales'!A325:A924,[1]Sheet3!H325:H924)</f>
        <v>Senior</v>
      </c>
      <c r="G406" t="str">
        <f>_xlfn.XLOOKUP(A406,A405:A1004,[1]Sheet3!J325:J924)</f>
        <v>Male</v>
      </c>
      <c r="H406" t="str">
        <f>_xlfn.XLOOKUP(A406,A405:A1004,[1]Sheet3!K325:K924)</f>
        <v>Central</v>
      </c>
      <c r="I406" t="str">
        <f>_xlfn.XLOOKUP(A406,A405:A1004,[1]Sheet3!L325:L924)</f>
        <v>Bhopal</v>
      </c>
      <c r="J406" t="str">
        <f>_xlfn.XLOOKUP(A406,A405:A1004,[1]Sheet3!M325:M924)</f>
        <v>Sports</v>
      </c>
      <c r="K406" t="str">
        <f>_xlfn.XLOOKUP('Retail Sales'!A326,'Retail Sales'!A325:A924,[1]Sheet3!N325:N924)</f>
        <v>Cricket Bat</v>
      </c>
      <c r="L406" s="5">
        <f>_xlfn.XLOOKUP(A406,A405:A1004,[1]Sheet3!P325:P924)</f>
        <v>7</v>
      </c>
      <c r="M406" s="7">
        <f>_xlfn.XLOOKUP(A406,A405:A1004,[1]Sheet3!Q325:Q924)</f>
        <v>12138.63</v>
      </c>
      <c r="N406" s="9">
        <f>_xlfn.XLOOKUP(A406,A405:A1004,[1]Sheet3!S325:S924)</f>
        <v>0.13</v>
      </c>
      <c r="O406" s="7">
        <f>_xlfn.XLOOKUP(A406,A405:A1004,[1]Sheet3!T325:T924)</f>
        <v>95488.18</v>
      </c>
      <c r="P406" s="7">
        <f>_xlfn.XLOOKUP(A406,A405:A1004,[1]Sheet3!U325:U924)</f>
        <v>21101.52</v>
      </c>
      <c r="Q406" s="11">
        <f>_xlfn.XLOOKUP(A406,A405:A1004,[1]Sheet3!V325:V924)</f>
        <v>0.22098567592344939</v>
      </c>
      <c r="R406" s="7">
        <f>_xlfn.XLOOKUP(A406,A405:A1004,[1]Sheet3!W325:W924)</f>
        <v>32.89</v>
      </c>
      <c r="S406" t="str">
        <f>_xlfn.XLOOKUP(A406,A405:A1004,[1]Sheet3!X325:X924)</f>
        <v>UPI</v>
      </c>
      <c r="T406" s="5">
        <f>_xlfn.XLOOKUP(A406,A405:A1004,[1]Sheet3!Z325:Z924)</f>
        <v>5</v>
      </c>
      <c r="U406" t="b">
        <f>_xlfn.XLOOKUP(A406,A405:A1004,[1]Sheet3!AA325:AA924)</f>
        <v>0</v>
      </c>
      <c r="V406" t="str">
        <f>_xlfn.XLOOKUP(A406,A405:A1004,[1]Sheet3!AC325:AC924)</f>
        <v>Shipped</v>
      </c>
      <c r="W406" s="5">
        <f>_xlfn.XLOOKUP(A406,A405:A1004,[1]Sheet3!AE325:AE924)</f>
        <v>4</v>
      </c>
    </row>
    <row r="407" spans="1:23" x14ac:dyDescent="0.35">
      <c r="A407" t="s">
        <v>393</v>
      </c>
      <c r="B407" s="1">
        <f>_xlfn.XLOOKUP(A407,A406:A1005,[1]Sheet3!C206:C805)</f>
        <v>45075</v>
      </c>
      <c r="C407" t="str">
        <f>_xlfn.XLOOKUP(A407,A406:A1005,[1]Sheet3!D206:D805)</f>
        <v>CUST53780</v>
      </c>
      <c r="D407" t="str">
        <f>_xlfn.XLOOKUP(A407,A406:A1005,[1]Sheet3!E206:E805)</f>
        <v>Meera Joshi</v>
      </c>
      <c r="E407" s="5">
        <f>_xlfn.XLOOKUP(A407,A406:A1005,[1]Sheet3!G206:G805)</f>
        <v>28</v>
      </c>
      <c r="F407" t="str">
        <f>_xlfn.XLOOKUP('Retail Sales'!A207,'Retail Sales'!A206:A805,[1]Sheet3!H206:H805)</f>
        <v>Young Adult</v>
      </c>
      <c r="G407" t="str">
        <f>_xlfn.XLOOKUP(A407,A406:A1005,[1]Sheet3!J206:J805)</f>
        <v>Female</v>
      </c>
      <c r="H407" t="str">
        <f>_xlfn.XLOOKUP(A407,A406:A1005,[1]Sheet3!K206:K805)</f>
        <v>North</v>
      </c>
      <c r="I407" t="str">
        <f>_xlfn.XLOOKUP(A407,A406:A1005,[1]Sheet3!L206:L805)</f>
        <v>Chandigarh</v>
      </c>
      <c r="J407" t="str">
        <f>_xlfn.XLOOKUP(A407,A406:A1005,[1]Sheet3!M206:M805)</f>
        <v>Furniture</v>
      </c>
      <c r="K407" t="str">
        <f>_xlfn.XLOOKUP('Retail Sales'!A207,'Retail Sales'!A206:A805,[1]Sheet3!N206:N805)</f>
        <v>Bed Frame</v>
      </c>
      <c r="L407" s="5">
        <f>_xlfn.XLOOKUP(A407,A406:A1005,[1]Sheet3!P206:P805)</f>
        <v>4</v>
      </c>
      <c r="M407" s="7">
        <f>_xlfn.XLOOKUP(A407,A406:A1005,[1]Sheet3!Q206:Q805)</f>
        <v>25915.33</v>
      </c>
      <c r="N407" s="9">
        <f>_xlfn.XLOOKUP(A407,A406:A1005,[1]Sheet3!S206:S805)</f>
        <v>0.11</v>
      </c>
      <c r="O407" s="7">
        <f>_xlfn.XLOOKUP(A407,A406:A1005,[1]Sheet3!T206:T805)</f>
        <v>132743.41</v>
      </c>
      <c r="P407" s="7">
        <f>_xlfn.XLOOKUP(A407,A406:A1005,[1]Sheet3!U206:U805)</f>
        <v>29427.55</v>
      </c>
      <c r="Q407" s="11">
        <f>_xlfn.XLOOKUP(A407,A406:A1005,[1]Sheet3!V206:V805)</f>
        <v>0.22168746456038757</v>
      </c>
      <c r="R407" s="7">
        <f>_xlfn.XLOOKUP(A407,A406:A1005,[1]Sheet3!W206:W805)</f>
        <v>58.32</v>
      </c>
      <c r="S407" t="str">
        <f>_xlfn.XLOOKUP(A407,A406:A1005,[1]Sheet3!X206:X805)</f>
        <v>Debit Card</v>
      </c>
      <c r="T407" s="5">
        <f>_xlfn.XLOOKUP(A407,A406:A1005,[1]Sheet3!Z206:Z805)</f>
        <v>5</v>
      </c>
      <c r="U407" t="b">
        <f>_xlfn.XLOOKUP(A407,A406:A1005,[1]Sheet3!AA206:AA805)</f>
        <v>0</v>
      </c>
      <c r="V407" t="str">
        <f>_xlfn.XLOOKUP(A407,A406:A1005,[1]Sheet3!AC206:AC805)</f>
        <v>Delivered</v>
      </c>
      <c r="W407" s="5">
        <f>_xlfn.XLOOKUP(A407,A406:A1005,[1]Sheet3!AE206:AE805)</f>
        <v>10</v>
      </c>
    </row>
    <row r="408" spans="1:23" x14ac:dyDescent="0.35">
      <c r="A408" t="s">
        <v>555</v>
      </c>
      <c r="B408" s="1">
        <f>_xlfn.XLOOKUP(A408,A407:A1006,[1]Sheet3!C44:C643)</f>
        <v>45077</v>
      </c>
      <c r="C408" t="str">
        <f>_xlfn.XLOOKUP(A408,A407:A1006,[1]Sheet3!D44:D643)</f>
        <v>CUST70575</v>
      </c>
      <c r="D408" t="str">
        <f>_xlfn.XLOOKUP(A408,A407:A1006,[1]Sheet3!E44:E643)</f>
        <v>Aditya Reddy</v>
      </c>
      <c r="E408" s="5">
        <f>_xlfn.XLOOKUP(A408,A407:A1006,[1]Sheet3!G44:G643)</f>
        <v>49</v>
      </c>
      <c r="F408" t="str">
        <f>_xlfn.XLOOKUP('Retail Sales'!A45,'Retail Sales'!A44:A643,[1]Sheet3!H44:H643)</f>
        <v>Adult</v>
      </c>
      <c r="G408" t="str">
        <f>_xlfn.XLOOKUP(A408,A407:A1006,[1]Sheet3!J44:J643)</f>
        <v>Female</v>
      </c>
      <c r="H408" t="str">
        <f>_xlfn.XLOOKUP(A408,A407:A1006,[1]Sheet3!K44:K643)</f>
        <v>North</v>
      </c>
      <c r="I408" t="str">
        <f>_xlfn.XLOOKUP(A408,A407:A1006,[1]Sheet3!L44:L643)</f>
        <v>Amritsar</v>
      </c>
      <c r="J408" t="str">
        <f>_xlfn.XLOOKUP(A408,A407:A1006,[1]Sheet3!M44:M643)</f>
        <v>Sports</v>
      </c>
      <c r="K408" t="str">
        <f>_xlfn.XLOOKUP('Retail Sales'!A45,'Retail Sales'!A44:A643,[1]Sheet3!N44:N643)</f>
        <v>Cricket Bat</v>
      </c>
      <c r="L408" s="5">
        <f>_xlfn.XLOOKUP(A408,A407:A1006,[1]Sheet3!P44:P643)</f>
        <v>8</v>
      </c>
      <c r="M408" s="7">
        <f>_xlfn.XLOOKUP(A408,A407:A1006,[1]Sheet3!Q44:Q643)</f>
        <v>3917.74</v>
      </c>
      <c r="N408" s="9">
        <f>_xlfn.XLOOKUP(A408,A407:A1006,[1]Sheet3!S44:S643)</f>
        <v>0.27</v>
      </c>
      <c r="O408" s="7">
        <f>_xlfn.XLOOKUP(A408,A407:A1006,[1]Sheet3!T44:T643)</f>
        <v>36596.17</v>
      </c>
      <c r="P408" s="7">
        <f>_xlfn.XLOOKUP(A408,A407:A1006,[1]Sheet3!U44:U643)</f>
        <v>11271.87</v>
      </c>
      <c r="Q408" s="11">
        <f>_xlfn.XLOOKUP(A408,A407:A1006,[1]Sheet3!V44:V643)</f>
        <v>0.30800682147885972</v>
      </c>
      <c r="R408" s="7">
        <f>_xlfn.XLOOKUP(A408,A407:A1006,[1]Sheet3!W44:W643)</f>
        <v>60.71</v>
      </c>
      <c r="S408" t="str">
        <f>_xlfn.XLOOKUP(A408,A407:A1006,[1]Sheet3!X44:X643)</f>
        <v>Cash on Delivery</v>
      </c>
      <c r="T408" s="5">
        <f>_xlfn.XLOOKUP(A408,A407:A1006,[1]Sheet3!Z44:Z643)</f>
        <v>3</v>
      </c>
      <c r="U408" t="b">
        <f>_xlfn.XLOOKUP(A408,A407:A1006,[1]Sheet3!AA44:AA643)</f>
        <v>0</v>
      </c>
      <c r="V408" t="str">
        <f>_xlfn.XLOOKUP(A408,A407:A1006,[1]Sheet3!AC44:AC643)</f>
        <v>Delivered</v>
      </c>
      <c r="W408" s="5">
        <f>_xlfn.XLOOKUP(A408,A407:A1006,[1]Sheet3!AE44:AE643)</f>
        <v>8</v>
      </c>
    </row>
    <row r="409" spans="1:23" x14ac:dyDescent="0.35">
      <c r="A409" t="s">
        <v>558</v>
      </c>
      <c r="B409" s="1">
        <f>_xlfn.XLOOKUP(A409,A408:A1007,[1]Sheet3!C41:C640)</f>
        <v>45077</v>
      </c>
      <c r="C409" t="str">
        <f>_xlfn.XLOOKUP(A409,A408:A1007,[1]Sheet3!D41:D640)</f>
        <v>CUST17518</v>
      </c>
      <c r="D409" t="str">
        <f>_xlfn.XLOOKUP(A409,A408:A1007,[1]Sheet3!E41:E640)</f>
        <v>Sanjay Shah</v>
      </c>
      <c r="E409" s="5">
        <f>_xlfn.XLOOKUP(A409,A408:A1007,[1]Sheet3!G41:G640)</f>
        <v>42</v>
      </c>
      <c r="F409" t="str">
        <f>_xlfn.XLOOKUP('Retail Sales'!A42,'Retail Sales'!A41:A640,[1]Sheet3!H41:H640)</f>
        <v>Adult</v>
      </c>
      <c r="G409" t="str">
        <f>_xlfn.XLOOKUP(A409,A408:A1007,[1]Sheet3!J41:J640)</f>
        <v>Female</v>
      </c>
      <c r="H409" t="str">
        <f>_xlfn.XLOOKUP(A409,A408:A1007,[1]Sheet3!K41:K640)</f>
        <v>Central</v>
      </c>
      <c r="I409" t="str">
        <f>_xlfn.XLOOKUP(A409,A408:A1007,[1]Sheet3!L41:L640)</f>
        <v>Indore</v>
      </c>
      <c r="J409" t="str">
        <f>_xlfn.XLOOKUP(A409,A408:A1007,[1]Sheet3!M41:M640)</f>
        <v>Furniture</v>
      </c>
      <c r="K409" t="str">
        <f>_xlfn.XLOOKUP('Retail Sales'!A42,'Retail Sales'!A41:A640,[1]Sheet3!N41:N640)</f>
        <v>Wardrobe</v>
      </c>
      <c r="L409" s="5">
        <f>_xlfn.XLOOKUP(A409,A408:A1007,[1]Sheet3!P41:P640)</f>
        <v>6</v>
      </c>
      <c r="M409" s="7">
        <f>_xlfn.XLOOKUP(A409,A408:A1007,[1]Sheet3!Q41:Q640)</f>
        <v>20242.36</v>
      </c>
      <c r="N409" s="9">
        <f>_xlfn.XLOOKUP(A409,A408:A1007,[1]Sheet3!S41:S640)</f>
        <v>0.04</v>
      </c>
      <c r="O409" s="7">
        <f>_xlfn.XLOOKUP(A409,A408:A1007,[1]Sheet3!T41:T640)</f>
        <v>191398.26</v>
      </c>
      <c r="P409" s="7">
        <f>_xlfn.XLOOKUP(A409,A408:A1007,[1]Sheet3!U41:U640)</f>
        <v>59116.34</v>
      </c>
      <c r="Q409" s="11">
        <f>_xlfn.XLOOKUP(A409,A408:A1007,[1]Sheet3!V41:V640)</f>
        <v>0.30886560828713905</v>
      </c>
      <c r="R409" s="7">
        <f>_xlfn.XLOOKUP(A409,A408:A1007,[1]Sheet3!W41:W640)</f>
        <v>83.75</v>
      </c>
      <c r="S409" t="str">
        <f>_xlfn.XLOOKUP(A409,A408:A1007,[1]Sheet3!X41:X640)</f>
        <v>Credit Card</v>
      </c>
      <c r="T409" s="5">
        <f>_xlfn.XLOOKUP(A409,A408:A1007,[1]Sheet3!Z41:Z640)</f>
        <v>2</v>
      </c>
      <c r="U409" t="b">
        <f>_xlfn.XLOOKUP(A409,A408:A1007,[1]Sheet3!AA41:AA640)</f>
        <v>0</v>
      </c>
      <c r="V409" t="str">
        <f>_xlfn.XLOOKUP(A409,A408:A1007,[1]Sheet3!AC41:AC640)</f>
        <v>Delivered</v>
      </c>
      <c r="W409" s="5">
        <f>_xlfn.XLOOKUP(A409,A408:A1007,[1]Sheet3!AE41:AE640)</f>
        <v>9</v>
      </c>
    </row>
    <row r="410" spans="1:23" x14ac:dyDescent="0.35">
      <c r="A410" t="s">
        <v>269</v>
      </c>
      <c r="B410" s="1">
        <f>_xlfn.XLOOKUP(A410,A409:A1008,[1]Sheet3!C330:C929)</f>
        <v>45077</v>
      </c>
      <c r="C410" t="str">
        <f>_xlfn.XLOOKUP(A410,A409:A1008,[1]Sheet3!D330:D929)</f>
        <v>CUST15861</v>
      </c>
      <c r="D410" t="str">
        <f>_xlfn.XLOOKUP(A410,A409:A1008,[1]Sheet3!E330:E929)</f>
        <v>Priya Mishra</v>
      </c>
      <c r="E410" s="5">
        <f>_xlfn.XLOOKUP(A410,A409:A1008,[1]Sheet3!G330:G929)</f>
        <v>27</v>
      </c>
      <c r="F410" t="str">
        <f>_xlfn.XLOOKUP('Retail Sales'!A331,'Retail Sales'!A330:A929,[1]Sheet3!H330:H929)</f>
        <v>Young Adult</v>
      </c>
      <c r="G410" t="str">
        <f>_xlfn.XLOOKUP(A410,A409:A1008,[1]Sheet3!J330:J929)</f>
        <v>Other</v>
      </c>
      <c r="H410" t="str">
        <f>_xlfn.XLOOKUP(A410,A409:A1008,[1]Sheet3!K330:K929)</f>
        <v>West</v>
      </c>
      <c r="I410" t="str">
        <f>_xlfn.XLOOKUP(A410,A409:A1008,[1]Sheet3!L330:L929)</f>
        <v>Surat</v>
      </c>
      <c r="J410" t="str">
        <f>_xlfn.XLOOKUP(A410,A409:A1008,[1]Sheet3!M330:M929)</f>
        <v>Books</v>
      </c>
      <c r="K410" t="str">
        <f>_xlfn.XLOOKUP('Retail Sales'!A331,'Retail Sales'!A330:A929,[1]Sheet3!N330:N929)</f>
        <v>Fiction Novel</v>
      </c>
      <c r="L410" s="5">
        <f>_xlfn.XLOOKUP(A410,A409:A1008,[1]Sheet3!P330:P929)</f>
        <v>2</v>
      </c>
      <c r="M410" s="7">
        <f>_xlfn.XLOOKUP(A410,A409:A1008,[1]Sheet3!Q330:Q929)</f>
        <v>790.19</v>
      </c>
      <c r="N410" s="9">
        <f>_xlfn.XLOOKUP(A410,A409:A1008,[1]Sheet3!S330:S929)</f>
        <v>0.12</v>
      </c>
      <c r="O410" s="7">
        <f>_xlfn.XLOOKUP(A410,A409:A1008,[1]Sheet3!T330:T929)</f>
        <v>2524.52</v>
      </c>
      <c r="P410" s="7">
        <f>_xlfn.XLOOKUP(A410,A409:A1008,[1]Sheet3!U330:U929)</f>
        <v>1241.47</v>
      </c>
      <c r="Q410" s="11">
        <f>_xlfn.XLOOKUP(A410,A409:A1008,[1]Sheet3!V330:V929)</f>
        <v>0.49176477112480788</v>
      </c>
      <c r="R410" s="7">
        <f>_xlfn.XLOOKUP(A410,A409:A1008,[1]Sheet3!W330:W929)</f>
        <v>75.5</v>
      </c>
      <c r="S410" t="str">
        <f>_xlfn.XLOOKUP(A410,A409:A1008,[1]Sheet3!X330:X929)</f>
        <v>UPI</v>
      </c>
      <c r="T410" s="5">
        <f>_xlfn.XLOOKUP(A410,A409:A1008,[1]Sheet3!Z330:Z929)</f>
        <v>2</v>
      </c>
      <c r="U410" t="b">
        <f>_xlfn.XLOOKUP(A410,A409:A1008,[1]Sheet3!AA330:AA929)</f>
        <v>0</v>
      </c>
      <c r="V410" t="str">
        <f>_xlfn.XLOOKUP(A410,A409:A1008,[1]Sheet3!AC330:AC929)</f>
        <v>Delivered</v>
      </c>
      <c r="W410" s="5">
        <f>_xlfn.XLOOKUP(A410,A409:A1008,[1]Sheet3!AE330:AE929)</f>
        <v>1</v>
      </c>
    </row>
    <row r="411" spans="1:23" x14ac:dyDescent="0.35">
      <c r="A411" t="s">
        <v>402</v>
      </c>
      <c r="B411" s="1">
        <f>_xlfn.XLOOKUP(A411,A410:A1009,[1]Sheet3!C197:C796)</f>
        <v>45077</v>
      </c>
      <c r="C411" t="str">
        <f>_xlfn.XLOOKUP(A411,A410:A1009,[1]Sheet3!D197:D796)</f>
        <v>CUST88518</v>
      </c>
      <c r="D411" t="str">
        <f>_xlfn.XLOOKUP(A411,A410:A1009,[1]Sheet3!E197:E796)</f>
        <v>Aditya Bose</v>
      </c>
      <c r="E411" s="5">
        <f>_xlfn.XLOOKUP(A411,A410:A1009,[1]Sheet3!G197:G796)</f>
        <v>58</v>
      </c>
      <c r="F411" t="str">
        <f>_xlfn.XLOOKUP('Retail Sales'!A198,'Retail Sales'!A197:A796,[1]Sheet3!H197:H796)</f>
        <v>Senior</v>
      </c>
      <c r="G411" t="str">
        <f>_xlfn.XLOOKUP(A411,A410:A1009,[1]Sheet3!J197:J796)</f>
        <v>Female</v>
      </c>
      <c r="H411" t="str">
        <f>_xlfn.XLOOKUP(A411,A410:A1009,[1]Sheet3!K197:K796)</f>
        <v>South</v>
      </c>
      <c r="I411" t="str">
        <f>_xlfn.XLOOKUP(A411,A410:A1009,[1]Sheet3!L197:L796)</f>
        <v>Hyderabad</v>
      </c>
      <c r="J411" t="str">
        <f>_xlfn.XLOOKUP(A411,A410:A1009,[1]Sheet3!M197:M796)</f>
        <v>Electronics</v>
      </c>
      <c r="K411" t="str">
        <f>_xlfn.XLOOKUP('Retail Sales'!A198,'Retail Sales'!A197:A796,[1]Sheet3!N197:N796)</f>
        <v>Headphones</v>
      </c>
      <c r="L411" s="5">
        <f>_xlfn.XLOOKUP(A411,A410:A1009,[1]Sheet3!P197:P796)</f>
        <v>5</v>
      </c>
      <c r="M411" s="7">
        <f>_xlfn.XLOOKUP(A411,A410:A1009,[1]Sheet3!Q197:Q796)</f>
        <v>26851.1</v>
      </c>
      <c r="N411" s="9">
        <f>_xlfn.XLOOKUP(A411,A410:A1009,[1]Sheet3!S197:S796)</f>
        <v>0.03</v>
      </c>
      <c r="O411" s="7">
        <f>_xlfn.XLOOKUP(A411,A410:A1009,[1]Sheet3!T197:T796)</f>
        <v>218111.79</v>
      </c>
      <c r="P411" s="7">
        <f>_xlfn.XLOOKUP(A411,A410:A1009,[1]Sheet3!U197:U796)</f>
        <v>24902.1</v>
      </c>
      <c r="Q411" s="11">
        <f>_xlfn.XLOOKUP(A411,A410:A1009,[1]Sheet3!V197:V796)</f>
        <v>0.11417126969614984</v>
      </c>
      <c r="R411" s="7">
        <f>_xlfn.XLOOKUP(A411,A410:A1009,[1]Sheet3!W197:W796)</f>
        <v>72.55</v>
      </c>
      <c r="S411" t="str">
        <f>_xlfn.XLOOKUP(A411,A410:A1009,[1]Sheet3!X197:X796)</f>
        <v>UPI</v>
      </c>
      <c r="T411" s="5">
        <f>_xlfn.XLOOKUP(A411,A410:A1009,[1]Sheet3!Z197:Z796)</f>
        <v>2</v>
      </c>
      <c r="U411" t="b">
        <f>_xlfn.XLOOKUP(A411,A410:A1009,[1]Sheet3!AA197:AA796)</f>
        <v>0</v>
      </c>
      <c r="V411" t="str">
        <f>_xlfn.XLOOKUP(A411,A410:A1009,[1]Sheet3!AC197:AC796)</f>
        <v>Delivered</v>
      </c>
      <c r="W411" s="5">
        <f>_xlfn.XLOOKUP(A411,A410:A1009,[1]Sheet3!AE197:AE796)</f>
        <v>2</v>
      </c>
    </row>
    <row r="412" spans="1:23" x14ac:dyDescent="0.35">
      <c r="A412" t="s">
        <v>486</v>
      </c>
      <c r="B412" s="1">
        <f>_xlfn.XLOOKUP(A412,A411:A1010,[1]Sheet3!C113:C712)</f>
        <v>45078</v>
      </c>
      <c r="C412" t="str">
        <f>_xlfn.XLOOKUP(A412,A411:A1010,[1]Sheet3!D113:D712)</f>
        <v>CUST07917</v>
      </c>
      <c r="D412" t="str">
        <f>_xlfn.XLOOKUP(A412,A411:A1010,[1]Sheet3!E113:E712)</f>
        <v>Nikhil Nair</v>
      </c>
      <c r="E412" s="5">
        <f>_xlfn.XLOOKUP(A412,A411:A1010,[1]Sheet3!G113:G712)</f>
        <v>34</v>
      </c>
      <c r="F412" t="str">
        <f>_xlfn.XLOOKUP('Retail Sales'!A114,'Retail Sales'!A113:A712,[1]Sheet3!H113:H712)</f>
        <v>Young Adult</v>
      </c>
      <c r="G412" t="str">
        <f>_xlfn.XLOOKUP(A412,A411:A1010,[1]Sheet3!J113:J712)</f>
        <v>Male</v>
      </c>
      <c r="H412" t="str">
        <f>_xlfn.XLOOKUP(A412,A411:A1010,[1]Sheet3!K113:K712)</f>
        <v>East</v>
      </c>
      <c r="I412" t="str">
        <f>_xlfn.XLOOKUP(A412,A411:A1010,[1]Sheet3!L113:L712)</f>
        <v>Guwahati</v>
      </c>
      <c r="J412" t="str">
        <f>_xlfn.XLOOKUP(A412,A411:A1010,[1]Sheet3!M113:M712)</f>
        <v>Sports</v>
      </c>
      <c r="K412" t="str">
        <f>_xlfn.XLOOKUP('Retail Sales'!A114,'Retail Sales'!A113:A712,[1]Sheet3!N113:N712)</f>
        <v>Football</v>
      </c>
      <c r="L412" s="5">
        <f>_xlfn.XLOOKUP(A412,A411:A1010,[1]Sheet3!P113:P712)</f>
        <v>6</v>
      </c>
      <c r="M412" s="7">
        <f>_xlfn.XLOOKUP(A412,A411:A1010,[1]Sheet3!Q113:Q712)</f>
        <v>5611.57</v>
      </c>
      <c r="N412" s="9">
        <f>_xlfn.XLOOKUP(A412,A411:A1010,[1]Sheet3!S113:S712)</f>
        <v>0.2</v>
      </c>
      <c r="O412" s="7">
        <f>_xlfn.XLOOKUP(A412,A411:A1010,[1]Sheet3!T113:T712)</f>
        <v>37888.42</v>
      </c>
      <c r="P412" s="7">
        <f>_xlfn.XLOOKUP(A412,A411:A1010,[1]Sheet3!U113:U712)</f>
        <v>6107.6</v>
      </c>
      <c r="Q412" s="11">
        <f>_xlfn.XLOOKUP(A412,A411:A1010,[1]Sheet3!V113:V712)</f>
        <v>0.16119964886368976</v>
      </c>
      <c r="R412" s="7">
        <f>_xlfn.XLOOKUP(A412,A411:A1010,[1]Sheet3!W113:W712)</f>
        <v>97.42</v>
      </c>
      <c r="S412" t="str">
        <f>_xlfn.XLOOKUP(A412,A411:A1010,[1]Sheet3!X113:X712)</f>
        <v>Credit Card</v>
      </c>
      <c r="T412" s="5">
        <f>_xlfn.XLOOKUP(A412,A411:A1010,[1]Sheet3!Z113:Z712)</f>
        <v>5</v>
      </c>
      <c r="U412" t="b">
        <f>_xlfn.XLOOKUP(A412,A411:A1010,[1]Sheet3!AA113:AA712)</f>
        <v>0</v>
      </c>
      <c r="V412" t="str">
        <f>_xlfn.XLOOKUP(A412,A411:A1010,[1]Sheet3!AC113:AC712)</f>
        <v>Delivered</v>
      </c>
      <c r="W412" s="5">
        <f>_xlfn.XLOOKUP(A412,A411:A1010,[1]Sheet3!AE113:AE712)</f>
        <v>2</v>
      </c>
    </row>
    <row r="413" spans="1:23" x14ac:dyDescent="0.35">
      <c r="A413" t="s">
        <v>519</v>
      </c>
      <c r="B413" s="1">
        <f>_xlfn.XLOOKUP(A413,A412:A1011,[1]Sheet3!C80:C679)</f>
        <v>45079</v>
      </c>
      <c r="C413" t="str">
        <f>_xlfn.XLOOKUP(A413,A412:A1011,[1]Sheet3!D80:D679)</f>
        <v>CUST23195</v>
      </c>
      <c r="D413" t="str">
        <f>_xlfn.XLOOKUP(A413,A412:A1011,[1]Sheet3!E80:E679)</f>
        <v>Aditya Sharma</v>
      </c>
      <c r="E413" s="5">
        <f>_xlfn.XLOOKUP(A413,A412:A1011,[1]Sheet3!G80:G679)</f>
        <v>34</v>
      </c>
      <c r="F413" t="str">
        <f>_xlfn.XLOOKUP('Retail Sales'!A81,'Retail Sales'!A80:A679,[1]Sheet3!H80:H679)</f>
        <v>Young Adult</v>
      </c>
      <c r="G413" t="str">
        <f>_xlfn.XLOOKUP(A413,A412:A1011,[1]Sheet3!J80:J679)</f>
        <v>Female</v>
      </c>
      <c r="H413" t="str">
        <f>_xlfn.XLOOKUP(A413,A412:A1011,[1]Sheet3!K80:K679)</f>
        <v>West</v>
      </c>
      <c r="I413" t="str">
        <f>_xlfn.XLOOKUP(A413,A412:A1011,[1]Sheet3!L80:L679)</f>
        <v>Surat</v>
      </c>
      <c r="J413" t="str">
        <f>_xlfn.XLOOKUP(A413,A412:A1011,[1]Sheet3!M80:M679)</f>
        <v>Furniture</v>
      </c>
      <c r="K413" t="str">
        <f>_xlfn.XLOOKUP('Retail Sales'!A81,'Retail Sales'!A80:A679,[1]Sheet3!N80:N679)</f>
        <v>Wardrobe</v>
      </c>
      <c r="L413" s="5">
        <f>_xlfn.XLOOKUP(A413,A412:A1011,[1]Sheet3!P80:P679)</f>
        <v>3</v>
      </c>
      <c r="M413" s="7">
        <f>_xlfn.XLOOKUP(A413,A412:A1011,[1]Sheet3!Q80:Q679)</f>
        <v>31229.73</v>
      </c>
      <c r="N413" s="9">
        <f>_xlfn.XLOOKUP(A413,A412:A1011,[1]Sheet3!S80:S679)</f>
        <v>0.32</v>
      </c>
      <c r="O413" s="7">
        <f>_xlfn.XLOOKUP(A413,A412:A1011,[1]Sheet3!T80:T679)</f>
        <v>100210.97</v>
      </c>
      <c r="P413" s="7">
        <f>_xlfn.XLOOKUP(A413,A412:A1011,[1]Sheet3!U80:U679)</f>
        <v>34252.99</v>
      </c>
      <c r="Q413" s="11">
        <f>_xlfn.XLOOKUP(A413,A412:A1011,[1]Sheet3!V80:V679)</f>
        <v>0.34180878600416698</v>
      </c>
      <c r="R413" s="7">
        <f>_xlfn.XLOOKUP(A413,A412:A1011,[1]Sheet3!W80:W679)</f>
        <v>53.79</v>
      </c>
      <c r="S413" t="str">
        <f>_xlfn.XLOOKUP(A413,A412:A1011,[1]Sheet3!X80:X679)</f>
        <v>EMI</v>
      </c>
      <c r="T413" s="5">
        <f>_xlfn.XLOOKUP(A413,A412:A1011,[1]Sheet3!Z80:Z679)</f>
        <v>5</v>
      </c>
      <c r="U413" t="b">
        <f>_xlfn.XLOOKUP(A413,A412:A1011,[1]Sheet3!AA80:AA679)</f>
        <v>0</v>
      </c>
      <c r="V413" t="str">
        <f>_xlfn.XLOOKUP(A413,A412:A1011,[1]Sheet3!AC80:AC679)</f>
        <v>Pending</v>
      </c>
      <c r="W413" s="5">
        <f>_xlfn.XLOOKUP(A413,A412:A1011,[1]Sheet3!AE80:AE679)</f>
        <v>3</v>
      </c>
    </row>
    <row r="414" spans="1:23" x14ac:dyDescent="0.35">
      <c r="A414" t="s">
        <v>516</v>
      </c>
      <c r="B414" s="1">
        <f>_xlfn.XLOOKUP(A414,A413:A1012,[1]Sheet3!C83:C682)</f>
        <v>45084</v>
      </c>
      <c r="C414" t="str">
        <f>_xlfn.XLOOKUP(A414,A413:A1012,[1]Sheet3!D83:D682)</f>
        <v>CUST23268</v>
      </c>
      <c r="D414" t="str">
        <f>_xlfn.XLOOKUP(A414,A413:A1012,[1]Sheet3!E83:E682)</f>
        <v>Deepa Das</v>
      </c>
      <c r="E414" s="5">
        <f>_xlfn.XLOOKUP(A414,A413:A1012,[1]Sheet3!G83:G682)</f>
        <v>31</v>
      </c>
      <c r="F414" t="str">
        <f>_xlfn.XLOOKUP('Retail Sales'!A84,'Retail Sales'!A83:A682,[1]Sheet3!H83:H682)</f>
        <v>Young Adult</v>
      </c>
      <c r="G414" t="str">
        <f>_xlfn.XLOOKUP(A414,A413:A1012,[1]Sheet3!J83:J682)</f>
        <v>Female</v>
      </c>
      <c r="H414" t="str">
        <f>_xlfn.XLOOKUP(A414,A413:A1012,[1]Sheet3!K83:K682)</f>
        <v>South</v>
      </c>
      <c r="I414" t="str">
        <f>_xlfn.XLOOKUP(A414,A413:A1012,[1]Sheet3!L83:L682)</f>
        <v>Chennai</v>
      </c>
      <c r="J414" t="str">
        <f>_xlfn.XLOOKUP(A414,A413:A1012,[1]Sheet3!M83:M682)</f>
        <v>Books</v>
      </c>
      <c r="K414" t="str">
        <f>_xlfn.XLOOKUP('Retail Sales'!A84,'Retail Sales'!A83:A682,[1]Sheet3!N83:N682)</f>
        <v>Self-Help Book</v>
      </c>
      <c r="L414" s="5">
        <f>_xlfn.XLOOKUP(A414,A413:A1012,[1]Sheet3!P83:P682)</f>
        <v>1</v>
      </c>
      <c r="M414" s="7">
        <f>_xlfn.XLOOKUP(A414,A413:A1012,[1]Sheet3!Q83:Q682)</f>
        <v>715.84</v>
      </c>
      <c r="N414" s="9">
        <f>_xlfn.XLOOKUP(A414,A413:A1012,[1]Sheet3!S83:S682)</f>
        <v>0.24</v>
      </c>
      <c r="O414" s="7">
        <f>_xlfn.XLOOKUP(A414,A413:A1012,[1]Sheet3!T83:T682)</f>
        <v>937.54</v>
      </c>
      <c r="P414" s="7">
        <f>_xlfn.XLOOKUP(A414,A413:A1012,[1]Sheet3!U83:U682)</f>
        <v>470.99</v>
      </c>
      <c r="Q414" s="11">
        <f>_xlfn.XLOOKUP(A414,A413:A1012,[1]Sheet3!V83:V682)</f>
        <v>0.50236789896964396</v>
      </c>
      <c r="R414" s="7">
        <f>_xlfn.XLOOKUP(A414,A413:A1012,[1]Sheet3!W83:W682)</f>
        <v>59.5</v>
      </c>
      <c r="S414" t="str">
        <f>_xlfn.XLOOKUP(A414,A413:A1012,[1]Sheet3!X83:X682)</f>
        <v>Credit Card</v>
      </c>
      <c r="T414" s="5">
        <f>_xlfn.XLOOKUP(A414,A413:A1012,[1]Sheet3!Z83:Z682)</f>
        <v>2</v>
      </c>
      <c r="U414" t="b">
        <f>_xlfn.XLOOKUP(A414,A413:A1012,[1]Sheet3!AA83:AA682)</f>
        <v>0</v>
      </c>
      <c r="V414" t="str">
        <f>_xlfn.XLOOKUP(A414,A413:A1012,[1]Sheet3!AC83:AC682)</f>
        <v>Delivered</v>
      </c>
      <c r="W414" s="5">
        <f>_xlfn.XLOOKUP(A414,A413:A1012,[1]Sheet3!AE83:AE682)</f>
        <v>4</v>
      </c>
    </row>
    <row r="415" spans="1:23" x14ac:dyDescent="0.35">
      <c r="A415" t="s">
        <v>591</v>
      </c>
      <c r="B415" s="1">
        <f>_xlfn.XLOOKUP(A415,A414:A1013,[1]Sheet3!C8:C607)</f>
        <v>45087</v>
      </c>
      <c r="C415" t="str">
        <f>_xlfn.XLOOKUP(A415,A414:A1013,[1]Sheet3!D8:D607)</f>
        <v>CUST23285</v>
      </c>
      <c r="D415" t="str">
        <f>_xlfn.XLOOKUP(A415,A414:A1013,[1]Sheet3!E8:E607)</f>
        <v>Aditya Sharma</v>
      </c>
      <c r="E415" s="5">
        <f>_xlfn.XLOOKUP(A415,A414:A1013,[1]Sheet3!G8:G607)</f>
        <v>43</v>
      </c>
      <c r="F415" t="str">
        <f>_xlfn.XLOOKUP('Retail Sales'!A9,'Retail Sales'!A8:A607,[1]Sheet3!H8:H607)</f>
        <v>Adult</v>
      </c>
      <c r="G415" t="str">
        <f>_xlfn.XLOOKUP(A415,A414:A1013,[1]Sheet3!J8:J607)</f>
        <v>Female</v>
      </c>
      <c r="H415" t="str">
        <f>_xlfn.XLOOKUP(A415,A414:A1013,[1]Sheet3!K8:K607)</f>
        <v>North</v>
      </c>
      <c r="I415" t="str">
        <f>_xlfn.XLOOKUP(A415,A414:A1013,[1]Sheet3!L8:L607)</f>
        <v>Amritsar</v>
      </c>
      <c r="J415" t="str">
        <f>_xlfn.XLOOKUP(A415,A414:A1013,[1]Sheet3!M8:M607)</f>
        <v>Clothing</v>
      </c>
      <c r="K415" t="str">
        <f>_xlfn.XLOOKUP('Retail Sales'!A9,'Retail Sales'!A8:A607,[1]Sheet3!N8:N607)</f>
        <v>Saree</v>
      </c>
      <c r="L415" s="5">
        <f>_xlfn.XLOOKUP(A415,A414:A1013,[1]Sheet3!P8:P607)</f>
        <v>1</v>
      </c>
      <c r="M415" s="7">
        <f>_xlfn.XLOOKUP(A415,A414:A1013,[1]Sheet3!Q8:Q607)</f>
        <v>1356.6</v>
      </c>
      <c r="N415" s="9">
        <f>_xlfn.XLOOKUP(A415,A414:A1013,[1]Sheet3!S8:S607)</f>
        <v>0.01</v>
      </c>
      <c r="O415" s="7">
        <f>_xlfn.XLOOKUP(A415,A414:A1013,[1]Sheet3!T8:T607)</f>
        <v>2140.41</v>
      </c>
      <c r="P415" s="7">
        <f>_xlfn.XLOOKUP(A415,A414:A1013,[1]Sheet3!U8:U607)</f>
        <v>717.27</v>
      </c>
      <c r="Q415" s="11">
        <f>_xlfn.XLOOKUP(A415,A414:A1013,[1]Sheet3!V8:V607)</f>
        <v>0.33510869412869498</v>
      </c>
      <c r="R415" s="7">
        <f>_xlfn.XLOOKUP(A415,A414:A1013,[1]Sheet3!W8:W607)</f>
        <v>82.68</v>
      </c>
      <c r="S415" t="str">
        <f>_xlfn.XLOOKUP(A415,A414:A1013,[1]Sheet3!X8:X607)</f>
        <v>UPI</v>
      </c>
      <c r="T415" s="5">
        <f>_xlfn.XLOOKUP(A415,A414:A1013,[1]Sheet3!Z8:Z607)</f>
        <v>1</v>
      </c>
      <c r="U415" t="b">
        <f>_xlfn.XLOOKUP(A415,A414:A1013,[1]Sheet3!AA8:AA607)</f>
        <v>0</v>
      </c>
      <c r="V415" t="str">
        <f>_xlfn.XLOOKUP(A415,A414:A1013,[1]Sheet3!AC8:AC607)</f>
        <v>Delivered</v>
      </c>
      <c r="W415" s="5">
        <f>_xlfn.XLOOKUP(A415,A414:A1013,[1]Sheet3!AE8:AE607)</f>
        <v>4</v>
      </c>
    </row>
    <row r="416" spans="1:23" x14ac:dyDescent="0.35">
      <c r="A416" t="s">
        <v>9</v>
      </c>
      <c r="B416" s="1">
        <f>_xlfn.XLOOKUP(A416,A415:A1014,[1]Sheet3!C590:C1189)</f>
        <v>45090</v>
      </c>
      <c r="C416" t="str">
        <f>_xlfn.XLOOKUP(A416,A415:A1014,[1]Sheet3!D590:D1189)</f>
        <v>CUST62247</v>
      </c>
      <c r="D416" t="str">
        <f>_xlfn.XLOOKUP(A416,A415:A1014,[1]Sheet3!E590:E1189)</f>
        <v>Aditya Rao</v>
      </c>
      <c r="E416" s="5">
        <f>_xlfn.XLOOKUP(A416,A415:A1014,[1]Sheet3!G590:G1189)</f>
        <v>47</v>
      </c>
      <c r="F416" t="str">
        <f>_xlfn.XLOOKUP('Retail Sales'!A591,'Retail Sales'!A590:A1189,[1]Sheet3!H590:H1189)</f>
        <v>Adult</v>
      </c>
      <c r="G416" t="str">
        <f>_xlfn.XLOOKUP(A416,A415:A1014,[1]Sheet3!J590:J1189)</f>
        <v>Male</v>
      </c>
      <c r="H416" t="str">
        <f>_xlfn.XLOOKUP(A416,A415:A1014,[1]Sheet3!K590:K1189)</f>
        <v>South</v>
      </c>
      <c r="I416" t="str">
        <f>_xlfn.XLOOKUP(A416,A415:A1014,[1]Sheet3!L590:L1189)</f>
        <v>Hyderabad</v>
      </c>
      <c r="J416" t="str">
        <f>_xlfn.XLOOKUP(A416,A415:A1014,[1]Sheet3!M590:M1189)</f>
        <v>Clothing</v>
      </c>
      <c r="K416" t="str">
        <f>_xlfn.XLOOKUP('Retail Sales'!A591,'Retail Sales'!A590:A1189,[1]Sheet3!N590:N1189)</f>
        <v>Saree</v>
      </c>
      <c r="L416" s="5">
        <f>_xlfn.XLOOKUP(A416,A415:A1014,[1]Sheet3!P590:P1189)</f>
        <v>2</v>
      </c>
      <c r="M416" s="7">
        <f>_xlfn.XLOOKUP(A416,A415:A1014,[1]Sheet3!Q590:Q1189)</f>
        <v>1474.66</v>
      </c>
      <c r="N416" s="9">
        <f>_xlfn.XLOOKUP(A416,A415:A1014,[1]Sheet3!S590:S1189)</f>
        <v>0.16</v>
      </c>
      <c r="O416" s="7">
        <f>_xlfn.XLOOKUP(A416,A415:A1014,[1]Sheet3!T590:T1189)</f>
        <v>3493.62</v>
      </c>
      <c r="P416" s="7">
        <f>_xlfn.XLOOKUP(A416,A415:A1014,[1]Sheet3!U590:U1189)</f>
        <v>1237.1500000000001</v>
      </c>
      <c r="Q416" s="11">
        <f>_xlfn.XLOOKUP(A416,A415:A1014,[1]Sheet3!V590:V1189)</f>
        <v>0.3541169331524322</v>
      </c>
      <c r="R416" s="7">
        <f>_xlfn.XLOOKUP(A416,A415:A1014,[1]Sheet3!W590:W1189)</f>
        <v>83</v>
      </c>
      <c r="S416" t="str">
        <f>_xlfn.XLOOKUP(A416,A415:A1014,[1]Sheet3!X590:X1189)</f>
        <v>Cash on Delivery</v>
      </c>
      <c r="T416" s="5">
        <f>_xlfn.XLOOKUP(A416,A415:A1014,[1]Sheet3!Z590:Z1189)</f>
        <v>2</v>
      </c>
      <c r="U416" t="b">
        <f>_xlfn.XLOOKUP(A416,A415:A1014,[1]Sheet3!AA590:AA1189)</f>
        <v>0</v>
      </c>
      <c r="V416" t="str">
        <f>_xlfn.XLOOKUP(A416,A415:A1014,[1]Sheet3!AC590:AC1189)</f>
        <v>Delivered</v>
      </c>
      <c r="W416" s="5">
        <f>_xlfn.XLOOKUP(A416,A415:A1014,[1]Sheet3!AE590:AE1189)</f>
        <v>9</v>
      </c>
    </row>
    <row r="417" spans="1:23" x14ac:dyDescent="0.35">
      <c r="A417" t="s">
        <v>245</v>
      </c>
      <c r="B417" s="1">
        <f>_xlfn.XLOOKUP(A417,A416:A1015,[1]Sheet3!C354:C953)</f>
        <v>45094</v>
      </c>
      <c r="C417" t="str">
        <f>_xlfn.XLOOKUP(A417,A416:A1015,[1]Sheet3!D354:D953)</f>
        <v>CUST51781</v>
      </c>
      <c r="D417" t="str">
        <f>_xlfn.XLOOKUP(A417,A416:A1015,[1]Sheet3!E354:E953)</f>
        <v>Karan Singh</v>
      </c>
      <c r="E417" s="5">
        <f>_xlfn.XLOOKUP(A417,A416:A1015,[1]Sheet3!G354:G953)</f>
        <v>26</v>
      </c>
      <c r="F417" t="str">
        <f>_xlfn.XLOOKUP('Retail Sales'!A355,'Retail Sales'!A354:A953,[1]Sheet3!H354:H953)</f>
        <v>Young Adult</v>
      </c>
      <c r="G417" t="str">
        <f>_xlfn.XLOOKUP(A417,A416:A1015,[1]Sheet3!J354:J953)</f>
        <v>Male</v>
      </c>
      <c r="H417" t="str">
        <f>_xlfn.XLOOKUP(A417,A416:A1015,[1]Sheet3!K354:K953)</f>
        <v>North</v>
      </c>
      <c r="I417" t="str">
        <f>_xlfn.XLOOKUP(A417,A416:A1015,[1]Sheet3!L354:L953)</f>
        <v>Delhi</v>
      </c>
      <c r="J417" t="str">
        <f>_xlfn.XLOOKUP(A417,A416:A1015,[1]Sheet3!M354:M953)</f>
        <v>Groceries</v>
      </c>
      <c r="K417" t="str">
        <f>_xlfn.XLOOKUP('Retail Sales'!A355,'Retail Sales'!A354:A953,[1]Sheet3!N354:N953)</f>
        <v>Rice (5kg)</v>
      </c>
      <c r="L417" s="5">
        <f>_xlfn.XLOOKUP(A417,A416:A1015,[1]Sheet3!P354:P953)</f>
        <v>5</v>
      </c>
      <c r="M417" s="7">
        <f>_xlfn.XLOOKUP(A417,A416:A1015,[1]Sheet3!Q354:Q953)</f>
        <v>200.85</v>
      </c>
      <c r="N417" s="9">
        <f>_xlfn.XLOOKUP(A417,A416:A1015,[1]Sheet3!S354:S953)</f>
        <v>0.36</v>
      </c>
      <c r="O417" s="7">
        <f>_xlfn.XLOOKUP(A417,A416:A1015,[1]Sheet3!T354:T953)</f>
        <v>1116.3800000000001</v>
      </c>
      <c r="P417" s="7">
        <f>_xlfn.XLOOKUP(A417,A416:A1015,[1]Sheet3!U354:U953)</f>
        <v>71.67</v>
      </c>
      <c r="Q417" s="11">
        <f>_xlfn.XLOOKUP(A417,A416:A1015,[1]Sheet3!V354:V953)</f>
        <v>6.4198570379261535E-2</v>
      </c>
      <c r="R417" s="7">
        <f>_xlfn.XLOOKUP(A417,A416:A1015,[1]Sheet3!W354:W953)</f>
        <v>58.1</v>
      </c>
      <c r="S417" t="str">
        <f>_xlfn.XLOOKUP(A417,A416:A1015,[1]Sheet3!X354:X953)</f>
        <v>EMI</v>
      </c>
      <c r="T417" s="5">
        <f>_xlfn.XLOOKUP(A417,A416:A1015,[1]Sheet3!Z354:Z953)</f>
        <v>2</v>
      </c>
      <c r="U417" t="b">
        <f>_xlfn.XLOOKUP(A417,A416:A1015,[1]Sheet3!AA354:AA953)</f>
        <v>0</v>
      </c>
      <c r="V417" t="str">
        <f>_xlfn.XLOOKUP(A417,A416:A1015,[1]Sheet3!AC354:AC953)</f>
        <v>Delivered</v>
      </c>
      <c r="W417" s="5">
        <f>_xlfn.XLOOKUP(A417,A416:A1015,[1]Sheet3!AE354:AE953)</f>
        <v>1</v>
      </c>
    </row>
    <row r="418" spans="1:23" x14ac:dyDescent="0.35">
      <c r="A418" t="s">
        <v>214</v>
      </c>
      <c r="B418" s="1">
        <f>_xlfn.XLOOKUP(A418,A417:A1016,[1]Sheet3!C385:C984)</f>
        <v>45095</v>
      </c>
      <c r="C418" t="str">
        <f>_xlfn.XLOOKUP(A418,A417:A1016,[1]Sheet3!D385:D984)</f>
        <v>CUST62956</v>
      </c>
      <c r="D418" t="str">
        <f>_xlfn.XLOOKUP(A418,A417:A1016,[1]Sheet3!E385:E984)</f>
        <v>Pooja Mishra</v>
      </c>
      <c r="E418" s="5">
        <f>_xlfn.XLOOKUP(A418,A417:A1016,[1]Sheet3!G385:G984)</f>
        <v>15</v>
      </c>
      <c r="F418" t="str">
        <f>_xlfn.XLOOKUP('Retail Sales'!A386,'Retail Sales'!A385:A984,[1]Sheet3!H385:H984)</f>
        <v>Teen</v>
      </c>
      <c r="G418" t="str">
        <f>_xlfn.XLOOKUP(A418,A417:A1016,[1]Sheet3!J385:J984)</f>
        <v>Male</v>
      </c>
      <c r="H418" t="str">
        <f>_xlfn.XLOOKUP(A418,A417:A1016,[1]Sheet3!K385:K984)</f>
        <v>North</v>
      </c>
      <c r="I418" t="str">
        <f>_xlfn.XLOOKUP(A418,A417:A1016,[1]Sheet3!L385:L984)</f>
        <v>Ludhiana</v>
      </c>
      <c r="J418" t="str">
        <f>_xlfn.XLOOKUP(A418,A417:A1016,[1]Sheet3!M385:M984)</f>
        <v>Books</v>
      </c>
      <c r="K418" t="str">
        <f>_xlfn.XLOOKUP('Retail Sales'!A386,'Retail Sales'!A385:A984,[1]Sheet3!N385:N984)</f>
        <v>Cook Book</v>
      </c>
      <c r="L418" s="5">
        <f>_xlfn.XLOOKUP(A418,A417:A1016,[1]Sheet3!P385:P984)</f>
        <v>9</v>
      </c>
      <c r="M418" s="7">
        <f>_xlfn.XLOOKUP(A418,A417:A1016,[1]Sheet3!Q385:Q984)</f>
        <v>916.14</v>
      </c>
      <c r="N418" s="9">
        <f>_xlfn.XLOOKUP(A418,A417:A1016,[1]Sheet3!S385:S984)</f>
        <v>0.36</v>
      </c>
      <c r="O418" s="7">
        <f>_xlfn.XLOOKUP(A418,A417:A1016,[1]Sheet3!T385:T984)</f>
        <v>8220.0400000000009</v>
      </c>
      <c r="P418" s="7">
        <f>_xlfn.XLOOKUP(A418,A417:A1016,[1]Sheet3!U385:U984)</f>
        <v>2666.27</v>
      </c>
      <c r="Q418" s="11">
        <f>_xlfn.XLOOKUP(A418,A417:A1016,[1]Sheet3!V385:V984)</f>
        <v>0.3243621685539243</v>
      </c>
      <c r="R418" s="7">
        <f>_xlfn.XLOOKUP(A418,A417:A1016,[1]Sheet3!W385:W984)</f>
        <v>63.91</v>
      </c>
      <c r="S418" t="str">
        <f>_xlfn.XLOOKUP(A418,A417:A1016,[1]Sheet3!X385:X984)</f>
        <v>Cash on Delivery</v>
      </c>
      <c r="T418" s="5">
        <f>_xlfn.XLOOKUP(A418,A417:A1016,[1]Sheet3!Z385:Z984)</f>
        <v>4</v>
      </c>
      <c r="U418" t="b">
        <f>_xlfn.XLOOKUP(A418,A417:A1016,[1]Sheet3!AA385:AA984)</f>
        <v>0</v>
      </c>
      <c r="V418" t="str">
        <f>_xlfn.XLOOKUP(A418,A417:A1016,[1]Sheet3!AC385:AC984)</f>
        <v>Cancelled</v>
      </c>
      <c r="W418" s="5">
        <f>_xlfn.XLOOKUP(A418,A417:A1016,[1]Sheet3!AE385:AE984)</f>
        <v>7</v>
      </c>
    </row>
    <row r="419" spans="1:23" x14ac:dyDescent="0.35">
      <c r="A419" t="s">
        <v>91</v>
      </c>
      <c r="B419" s="1">
        <f>_xlfn.XLOOKUP(A419,A418:A1017,[1]Sheet3!C508:C1107)</f>
        <v>45096</v>
      </c>
      <c r="C419" t="str">
        <f>_xlfn.XLOOKUP(A419,A418:A1017,[1]Sheet3!D508:D1107)</f>
        <v>CUST97817</v>
      </c>
      <c r="D419" t="str">
        <f>_xlfn.XLOOKUP(A419,A418:A1017,[1]Sheet3!E508:E1107)</f>
        <v>Ritu Mishra</v>
      </c>
      <c r="E419" s="5">
        <f>_xlfn.XLOOKUP(A419,A418:A1017,[1]Sheet3!G508:G1107)</f>
        <v>20</v>
      </c>
      <c r="F419" t="str">
        <f>_xlfn.XLOOKUP('Retail Sales'!A509,'Retail Sales'!A508:A1107,[1]Sheet3!H508:H1107)</f>
        <v>Young Adult</v>
      </c>
      <c r="G419" t="str">
        <f>_xlfn.XLOOKUP(A419,A418:A1017,[1]Sheet3!J508:J1107)</f>
        <v>Other</v>
      </c>
      <c r="H419" t="str">
        <f>_xlfn.XLOOKUP(A419,A418:A1017,[1]Sheet3!K508:K1107)</f>
        <v>East</v>
      </c>
      <c r="I419" t="str">
        <f>_xlfn.XLOOKUP(A419,A418:A1017,[1]Sheet3!L508:L1107)</f>
        <v>Patna</v>
      </c>
      <c r="J419" t="str">
        <f>_xlfn.XLOOKUP(A419,A418:A1017,[1]Sheet3!M508:M1107)</f>
        <v>Electronics</v>
      </c>
      <c r="K419" t="str">
        <f>_xlfn.XLOOKUP('Retail Sales'!A509,'Retail Sales'!A508:A1107,[1]Sheet3!N508:N1107)</f>
        <v>Smartphone</v>
      </c>
      <c r="L419" s="5">
        <f>_xlfn.XLOOKUP(A419,A418:A1017,[1]Sheet3!P508:P1107)</f>
        <v>10</v>
      </c>
      <c r="M419" s="7">
        <f>_xlfn.XLOOKUP(A419,A418:A1017,[1]Sheet3!Q508:Q1107)</f>
        <v>54102.6</v>
      </c>
      <c r="N419" s="9">
        <f>_xlfn.XLOOKUP(A419,A418:A1017,[1]Sheet3!S508:S1107)</f>
        <v>0.36</v>
      </c>
      <c r="O419" s="7">
        <f>_xlfn.XLOOKUP(A419,A418:A1017,[1]Sheet3!T508:T1107)</f>
        <v>523395.38</v>
      </c>
      <c r="P419" s="7">
        <f>_xlfn.XLOOKUP(A419,A418:A1017,[1]Sheet3!U508:U1107)</f>
        <v>62065.82</v>
      </c>
      <c r="Q419" s="11">
        <f>_xlfn.XLOOKUP(A419,A418:A1017,[1]Sheet3!V508:V1107)</f>
        <v>0.11858304901353925</v>
      </c>
      <c r="R419" s="7">
        <f>_xlfn.XLOOKUP(A419,A418:A1017,[1]Sheet3!W508:W1107)</f>
        <v>73.13</v>
      </c>
      <c r="S419" t="str">
        <f>_xlfn.XLOOKUP(A419,A418:A1017,[1]Sheet3!X508:X1107)</f>
        <v>Debit Card</v>
      </c>
      <c r="T419" s="5">
        <f>_xlfn.XLOOKUP(A419,A418:A1017,[1]Sheet3!Z508:Z1107)</f>
        <v>3</v>
      </c>
      <c r="U419" t="b">
        <f>_xlfn.XLOOKUP(A419,A418:A1017,[1]Sheet3!AA508:AA1107)</f>
        <v>0</v>
      </c>
      <c r="V419" t="str">
        <f>_xlfn.XLOOKUP(A419,A418:A1017,[1]Sheet3!AC508:AC1107)</f>
        <v>Delivered</v>
      </c>
      <c r="W419" s="5">
        <f>_xlfn.XLOOKUP(A419,A418:A1017,[1]Sheet3!AE508:AE1107)</f>
        <v>7</v>
      </c>
    </row>
    <row r="420" spans="1:23" x14ac:dyDescent="0.35">
      <c r="A420" t="s">
        <v>397</v>
      </c>
      <c r="B420" s="1">
        <f>_xlfn.XLOOKUP(A420,A419:A1018,[1]Sheet3!C202:C801)</f>
        <v>45100</v>
      </c>
      <c r="C420" t="str">
        <f>_xlfn.XLOOKUP(A420,A419:A1018,[1]Sheet3!D202:D801)</f>
        <v>CUST81737</v>
      </c>
      <c r="D420" t="str">
        <f>_xlfn.XLOOKUP(A420,A419:A1018,[1]Sheet3!E202:E801)</f>
        <v>Ananya Joshi</v>
      </c>
      <c r="E420" s="5">
        <f>_xlfn.XLOOKUP(A420,A419:A1018,[1]Sheet3!G202:G801)</f>
        <v>36</v>
      </c>
      <c r="F420" t="str">
        <f>_xlfn.XLOOKUP('Retail Sales'!A203,'Retail Sales'!A202:A801,[1]Sheet3!H202:H801)</f>
        <v>Adult</v>
      </c>
      <c r="G420" t="str">
        <f>_xlfn.XLOOKUP(A420,A419:A1018,[1]Sheet3!J202:J801)</f>
        <v>Other</v>
      </c>
      <c r="H420" t="str">
        <f>_xlfn.XLOOKUP(A420,A419:A1018,[1]Sheet3!K202:K801)</f>
        <v>West</v>
      </c>
      <c r="I420" t="str">
        <f>_xlfn.XLOOKUP(A420,A419:A1018,[1]Sheet3!L202:L801)</f>
        <v>Surat</v>
      </c>
      <c r="J420" t="str">
        <f>_xlfn.XLOOKUP(A420,A419:A1018,[1]Sheet3!M202:M801)</f>
        <v>Beauty</v>
      </c>
      <c r="K420" t="str">
        <f>_xlfn.XLOOKUP('Retail Sales'!A203,'Retail Sales'!A202:A801,[1]Sheet3!N202:N801)</f>
        <v>Shampoo</v>
      </c>
      <c r="L420" s="5">
        <f>_xlfn.XLOOKUP(A420,A419:A1018,[1]Sheet3!P202:P801)</f>
        <v>8</v>
      </c>
      <c r="M420" s="7">
        <f>_xlfn.XLOOKUP(A420,A419:A1018,[1]Sheet3!Q202:Q801)</f>
        <v>1976.85</v>
      </c>
      <c r="N420" s="9">
        <f>_xlfn.XLOOKUP(A420,A419:A1018,[1]Sheet3!S202:S801)</f>
        <v>0.3</v>
      </c>
      <c r="O420" s="7">
        <f>_xlfn.XLOOKUP(A420,A419:A1018,[1]Sheet3!T202:T801)</f>
        <v>17609.099999999999</v>
      </c>
      <c r="P420" s="7">
        <f>_xlfn.XLOOKUP(A420,A419:A1018,[1]Sheet3!U202:U801)</f>
        <v>8544.51</v>
      </c>
      <c r="Q420" s="11">
        <f>_xlfn.XLOOKUP(A420,A419:A1018,[1]Sheet3!V202:V801)</f>
        <v>0.48523263539874273</v>
      </c>
      <c r="R420" s="7">
        <f>_xlfn.XLOOKUP(A420,A419:A1018,[1]Sheet3!W202:W801)</f>
        <v>81.44</v>
      </c>
      <c r="S420" t="str">
        <f>_xlfn.XLOOKUP(A420,A419:A1018,[1]Sheet3!X202:X801)</f>
        <v>Debit Card</v>
      </c>
      <c r="T420" s="5">
        <f>_xlfn.XLOOKUP(A420,A419:A1018,[1]Sheet3!Z202:Z801)</f>
        <v>4</v>
      </c>
      <c r="U420" t="b">
        <f>_xlfn.XLOOKUP(A420,A419:A1018,[1]Sheet3!AA202:AA801)</f>
        <v>0</v>
      </c>
      <c r="V420" t="str">
        <f>_xlfn.XLOOKUP(A420,A419:A1018,[1]Sheet3!AC202:AC801)</f>
        <v>Delivered</v>
      </c>
      <c r="W420" s="5">
        <f>_xlfn.XLOOKUP(A420,A419:A1018,[1]Sheet3!AE202:AE801)</f>
        <v>6</v>
      </c>
    </row>
    <row r="421" spans="1:23" x14ac:dyDescent="0.35">
      <c r="A421" t="s">
        <v>399</v>
      </c>
      <c r="B421" s="1">
        <f>_xlfn.XLOOKUP(A421,A420:A1019,[1]Sheet3!C200:C799)</f>
        <v>45107</v>
      </c>
      <c r="C421" t="str">
        <f>_xlfn.XLOOKUP(A421,A420:A1019,[1]Sheet3!D200:D799)</f>
        <v>CUST19434</v>
      </c>
      <c r="D421" t="str">
        <f>_xlfn.XLOOKUP(A421,A420:A1019,[1]Sheet3!E200:E799)</f>
        <v>Aarav Das</v>
      </c>
      <c r="E421" s="5">
        <f>_xlfn.XLOOKUP(A421,A420:A1019,[1]Sheet3!G200:G799)</f>
        <v>28</v>
      </c>
      <c r="F421" t="str">
        <f>_xlfn.XLOOKUP('Retail Sales'!A201,'Retail Sales'!A200:A799,[1]Sheet3!H200:H799)</f>
        <v>Young Adult</v>
      </c>
      <c r="G421" t="str">
        <f>_xlfn.XLOOKUP(A421,A420:A1019,[1]Sheet3!J200:J799)</f>
        <v>Other</v>
      </c>
      <c r="H421" t="str">
        <f>_xlfn.XLOOKUP(A421,A420:A1019,[1]Sheet3!K200:K799)</f>
        <v>East</v>
      </c>
      <c r="I421" t="str">
        <f>_xlfn.XLOOKUP(A421,A420:A1019,[1]Sheet3!L200:L799)</f>
        <v>Guwahati</v>
      </c>
      <c r="J421" t="str">
        <f>_xlfn.XLOOKUP(A421,A420:A1019,[1]Sheet3!M200:M799)</f>
        <v>Furniture</v>
      </c>
      <c r="K421" t="str">
        <f>_xlfn.XLOOKUP('Retail Sales'!A201,'Retail Sales'!A200:A799,[1]Sheet3!N200:N799)</f>
        <v>Bed Frame</v>
      </c>
      <c r="L421" s="5">
        <f>_xlfn.XLOOKUP(A421,A420:A1019,[1]Sheet3!P200:P799)</f>
        <v>9</v>
      </c>
      <c r="M421" s="7">
        <f>_xlfn.XLOOKUP(A421,A420:A1019,[1]Sheet3!Q200:Q799)</f>
        <v>12800.64</v>
      </c>
      <c r="N421" s="9">
        <f>_xlfn.XLOOKUP(A421,A420:A1019,[1]Sheet3!S200:S799)</f>
        <v>0.3</v>
      </c>
      <c r="O421" s="7">
        <f>_xlfn.XLOOKUP(A421,A420:A1019,[1]Sheet3!T200:T799)</f>
        <v>120310.49</v>
      </c>
      <c r="P421" s="7">
        <f>_xlfn.XLOOKUP(A421,A420:A1019,[1]Sheet3!U200:U799)</f>
        <v>28867.05</v>
      </c>
      <c r="Q421" s="11">
        <f>_xlfn.XLOOKUP(A421,A420:A1019,[1]Sheet3!V200:V799)</f>
        <v>0.23993793059940158</v>
      </c>
      <c r="R421" s="7">
        <f>_xlfn.XLOOKUP(A421,A420:A1019,[1]Sheet3!W200:W799)</f>
        <v>77.17</v>
      </c>
      <c r="S421" t="str">
        <f>_xlfn.XLOOKUP(A421,A420:A1019,[1]Sheet3!X200:X799)</f>
        <v>Cash on Delivery</v>
      </c>
      <c r="T421" s="5">
        <f>_xlfn.XLOOKUP(A421,A420:A1019,[1]Sheet3!Z200:Z799)</f>
        <v>5</v>
      </c>
      <c r="U421" t="b">
        <f>_xlfn.XLOOKUP(A421,A420:A1019,[1]Sheet3!AA200:AA799)</f>
        <v>0</v>
      </c>
      <c r="V421" t="str">
        <f>_xlfn.XLOOKUP(A421,A420:A1019,[1]Sheet3!AC200:AC799)</f>
        <v>Delivered</v>
      </c>
      <c r="W421" s="5">
        <f>_xlfn.XLOOKUP(A421,A420:A1019,[1]Sheet3!AE200:AE799)</f>
        <v>7</v>
      </c>
    </row>
    <row r="422" spans="1:23" x14ac:dyDescent="0.35">
      <c r="A422" t="s">
        <v>294</v>
      </c>
      <c r="B422" s="1">
        <f>_xlfn.XLOOKUP(A422,A421:A1020,[1]Sheet3!C305:C904)</f>
        <v>45108</v>
      </c>
      <c r="C422" t="str">
        <f>_xlfn.XLOOKUP(A422,A421:A1020,[1]Sheet3!D305:D904)</f>
        <v>CUST85761</v>
      </c>
      <c r="D422" t="str">
        <f>_xlfn.XLOOKUP(A422,A421:A1020,[1]Sheet3!E305:E904)</f>
        <v>Aditya Chatterjee</v>
      </c>
      <c r="E422" s="5">
        <f>_xlfn.XLOOKUP(A422,A421:A1020,[1]Sheet3!G305:G904)</f>
        <v>44</v>
      </c>
      <c r="F422" t="str">
        <f>_xlfn.XLOOKUP('Retail Sales'!A306,'Retail Sales'!A305:A904,[1]Sheet3!H305:H904)</f>
        <v>Adult</v>
      </c>
      <c r="G422" t="str">
        <f>_xlfn.XLOOKUP(A422,A421:A1020,[1]Sheet3!J305:J904)</f>
        <v>Other</v>
      </c>
      <c r="H422" t="str">
        <f>_xlfn.XLOOKUP(A422,A421:A1020,[1]Sheet3!K305:K904)</f>
        <v>South</v>
      </c>
      <c r="I422" t="str">
        <f>_xlfn.XLOOKUP(A422,A421:A1020,[1]Sheet3!L305:L904)</f>
        <v>Kochi</v>
      </c>
      <c r="J422" t="str">
        <f>_xlfn.XLOOKUP(A422,A421:A1020,[1]Sheet3!M305:M904)</f>
        <v>Furniture</v>
      </c>
      <c r="K422" t="str">
        <f>_xlfn.XLOOKUP('Retail Sales'!A306,'Retail Sales'!A305:A904,[1]Sheet3!N305:N904)</f>
        <v>Bookshelf</v>
      </c>
      <c r="L422" s="5">
        <f>_xlfn.XLOOKUP(A422,A421:A1020,[1]Sheet3!P305:P904)</f>
        <v>2</v>
      </c>
      <c r="M422" s="7">
        <f>_xlfn.XLOOKUP(A422,A421:A1020,[1]Sheet3!Q305:Q904)</f>
        <v>26714.83</v>
      </c>
      <c r="N422" s="9">
        <f>_xlfn.XLOOKUP(A422,A421:A1020,[1]Sheet3!S305:S904)</f>
        <v>0.23</v>
      </c>
      <c r="O422" s="7">
        <f>_xlfn.XLOOKUP(A422,A421:A1020,[1]Sheet3!T305:T904)</f>
        <v>63871.89</v>
      </c>
      <c r="P422" s="7">
        <f>_xlfn.XLOOKUP(A422,A421:A1020,[1]Sheet3!U305:U904)</f>
        <v>16676.939999999999</v>
      </c>
      <c r="Q422" s="11">
        <f>_xlfn.XLOOKUP(A422,A421:A1020,[1]Sheet3!V305:V904)</f>
        <v>0.26109983593721742</v>
      </c>
      <c r="R422" s="7">
        <f>_xlfn.XLOOKUP(A422,A421:A1020,[1]Sheet3!W305:W904)</f>
        <v>67.209999999999994</v>
      </c>
      <c r="S422" t="str">
        <f>_xlfn.XLOOKUP(A422,A421:A1020,[1]Sheet3!X305:X904)</f>
        <v>UPI</v>
      </c>
      <c r="T422" s="5">
        <f>_xlfn.XLOOKUP(A422,A421:A1020,[1]Sheet3!Z305:Z904)</f>
        <v>5</v>
      </c>
      <c r="U422" t="b">
        <f>_xlfn.XLOOKUP(A422,A421:A1020,[1]Sheet3!AA305:AA904)</f>
        <v>0</v>
      </c>
      <c r="V422" t="str">
        <f>_xlfn.XLOOKUP(A422,A421:A1020,[1]Sheet3!AC305:AC904)</f>
        <v>Delivered</v>
      </c>
      <c r="W422" s="5">
        <f>_xlfn.XLOOKUP(A422,A421:A1020,[1]Sheet3!AE305:AE904)</f>
        <v>7</v>
      </c>
    </row>
    <row r="423" spans="1:23" x14ac:dyDescent="0.35">
      <c r="A423" t="s">
        <v>510</v>
      </c>
      <c r="B423" s="1">
        <f>_xlfn.XLOOKUP(A423,A422:A1021,[1]Sheet3!C89:C688)</f>
        <v>45111</v>
      </c>
      <c r="C423" t="str">
        <f>_xlfn.XLOOKUP(A423,A422:A1021,[1]Sheet3!D89:D688)</f>
        <v>CUST64061</v>
      </c>
      <c r="D423" t="str">
        <f>_xlfn.XLOOKUP(A423,A422:A1021,[1]Sheet3!E89:E688)</f>
        <v>Rohan Pillai</v>
      </c>
      <c r="E423" s="5">
        <f>_xlfn.XLOOKUP(A423,A422:A1021,[1]Sheet3!G89:G688)</f>
        <v>10</v>
      </c>
      <c r="F423" t="str">
        <f>_xlfn.XLOOKUP('Retail Sales'!A90,'Retail Sales'!A89:A688,[1]Sheet3!H89:H688)</f>
        <v>Child</v>
      </c>
      <c r="G423" t="str">
        <f>_xlfn.XLOOKUP(A423,A422:A1021,[1]Sheet3!J89:J688)</f>
        <v>Other</v>
      </c>
      <c r="H423" t="str">
        <f>_xlfn.XLOOKUP(A423,A422:A1021,[1]Sheet3!K89:K688)</f>
        <v>South</v>
      </c>
      <c r="I423" t="str">
        <f>_xlfn.XLOOKUP(A423,A422:A1021,[1]Sheet3!L89:L688)</f>
        <v>Chennai</v>
      </c>
      <c r="J423" t="str">
        <f>_xlfn.XLOOKUP(A423,A422:A1021,[1]Sheet3!M89:M688)</f>
        <v>Clothing</v>
      </c>
      <c r="K423" t="str">
        <f>_xlfn.XLOOKUP('Retail Sales'!A90,'Retail Sales'!A89:A688,[1]Sheet3!N89:N688)</f>
        <v>T-Shirt</v>
      </c>
      <c r="L423" s="5">
        <f>_xlfn.XLOOKUP(A423,A422:A1021,[1]Sheet3!P89:P688)</f>
        <v>9</v>
      </c>
      <c r="M423" s="7">
        <f>_xlfn.XLOOKUP(A423,A422:A1021,[1]Sheet3!Q89:Q688)</f>
        <v>1340.2</v>
      </c>
      <c r="N423" s="9">
        <f>_xlfn.XLOOKUP(A423,A422:A1021,[1]Sheet3!S89:S688)</f>
        <v>0.38</v>
      </c>
      <c r="O423" s="7">
        <f>_xlfn.XLOOKUP(A423,A422:A1021,[1]Sheet3!T89:T688)</f>
        <v>12757.93</v>
      </c>
      <c r="P423" s="7">
        <f>_xlfn.XLOOKUP(A423,A422:A1021,[1]Sheet3!U89:U688)</f>
        <v>3852.39</v>
      </c>
      <c r="Q423" s="11">
        <f>_xlfn.XLOOKUP(A423,A422:A1021,[1]Sheet3!V89:V688)</f>
        <v>0.30196042774964277</v>
      </c>
      <c r="R423" s="7">
        <f>_xlfn.XLOOKUP(A423,A422:A1021,[1]Sheet3!W89:W688)</f>
        <v>105.03</v>
      </c>
      <c r="S423" t="str">
        <f>_xlfn.XLOOKUP(A423,A422:A1021,[1]Sheet3!X89:X688)</f>
        <v>Cash on Delivery</v>
      </c>
      <c r="T423" s="5">
        <f>_xlfn.XLOOKUP(A423,A422:A1021,[1]Sheet3!Z89:Z688)</f>
        <v>3</v>
      </c>
      <c r="U423" t="b">
        <f>_xlfn.XLOOKUP(A423,A422:A1021,[1]Sheet3!AA89:AA688)</f>
        <v>0</v>
      </c>
      <c r="V423" t="str">
        <f>_xlfn.XLOOKUP(A423,A422:A1021,[1]Sheet3!AC89:AC688)</f>
        <v>Cancelled</v>
      </c>
      <c r="W423" s="5">
        <f>_xlfn.XLOOKUP(A423,A422:A1021,[1]Sheet3!AE89:AE688)</f>
        <v>4</v>
      </c>
    </row>
    <row r="424" spans="1:23" x14ac:dyDescent="0.35">
      <c r="A424" t="s">
        <v>4</v>
      </c>
      <c r="B424" s="1">
        <f>_xlfn.XLOOKUP(A424,A423:A1022,[1]Sheet3!C595:C1194)</f>
        <v>45113</v>
      </c>
      <c r="C424" t="str">
        <f>_xlfn.XLOOKUP(A424,A423:A1022,[1]Sheet3!D595:D1194)</f>
        <v>CUST01768</v>
      </c>
      <c r="D424" t="str">
        <f>_xlfn.XLOOKUP(A424,A423:A1022,[1]Sheet3!E595:E1194)</f>
        <v>Sunita Patel</v>
      </c>
      <c r="E424" s="5">
        <f>_xlfn.XLOOKUP(A424,A423:A1022,[1]Sheet3!G595:G1194)</f>
        <v>34</v>
      </c>
      <c r="F424" t="str">
        <f>_xlfn.XLOOKUP('Retail Sales'!A596,'Retail Sales'!A595:A1194,[1]Sheet3!H595:H1194)</f>
        <v>Young Adult</v>
      </c>
      <c r="G424" t="str">
        <f>_xlfn.XLOOKUP(A424,A423:A1022,[1]Sheet3!J595:J1194)</f>
        <v>Female</v>
      </c>
      <c r="H424" t="str">
        <f>_xlfn.XLOOKUP(A424,A423:A1022,[1]Sheet3!K595:K1194)</f>
        <v>Central</v>
      </c>
      <c r="I424" t="str">
        <f>_xlfn.XLOOKUP(A424,A423:A1022,[1]Sheet3!L595:L1194)</f>
        <v>Nagpur</v>
      </c>
      <c r="J424" t="str">
        <f>_xlfn.XLOOKUP(A424,A423:A1022,[1]Sheet3!M595:M1194)</f>
        <v>Electronics</v>
      </c>
      <c r="K424" t="str">
        <f>_xlfn.XLOOKUP('Retail Sales'!A596,'Retail Sales'!A595:A1194,[1]Sheet3!N595:N1194)</f>
        <v>Headphones</v>
      </c>
      <c r="L424" s="5">
        <f>_xlfn.XLOOKUP(A424,A423:A1022,[1]Sheet3!P595:P1194)</f>
        <v>3</v>
      </c>
      <c r="M424" s="7">
        <f>_xlfn.XLOOKUP(A424,A423:A1022,[1]Sheet3!Q595:Q1194)</f>
        <v>69702.559999999998</v>
      </c>
      <c r="N424" s="9">
        <f>_xlfn.XLOOKUP(A424,A423:A1022,[1]Sheet3!S595:S1194)</f>
        <v>0.36</v>
      </c>
      <c r="O424" s="7">
        <f>_xlfn.XLOOKUP(A424,A423:A1022,[1]Sheet3!T595:T1194)</f>
        <v>204235.41</v>
      </c>
      <c r="P424" s="7">
        <f>_xlfn.XLOOKUP(A424,A423:A1022,[1]Sheet3!U595:U1194)</f>
        <v>30667.19</v>
      </c>
      <c r="Q424" s="11">
        <f>_xlfn.XLOOKUP(A424,A423:A1022,[1]Sheet3!V595:V1194)</f>
        <v>0.15015608703701283</v>
      </c>
      <c r="R424" s="7">
        <f>_xlfn.XLOOKUP(A424,A423:A1022,[1]Sheet3!W595:W1194)</f>
        <v>72.010000000000005</v>
      </c>
      <c r="S424" t="str">
        <f>_xlfn.XLOOKUP(A424,A423:A1022,[1]Sheet3!X595:X1194)</f>
        <v>EMI</v>
      </c>
      <c r="T424" s="5">
        <f>_xlfn.XLOOKUP(A424,A423:A1022,[1]Sheet3!Z595:Z1194)</f>
        <v>5</v>
      </c>
      <c r="U424" t="b">
        <f>_xlfn.XLOOKUP(A424,A423:A1022,[1]Sheet3!AA595:AA1194)</f>
        <v>0</v>
      </c>
      <c r="V424" t="str">
        <f>_xlfn.XLOOKUP(A424,A423:A1022,[1]Sheet3!AC595:AC1194)</f>
        <v>Delivered</v>
      </c>
      <c r="W424" s="5">
        <f>_xlfn.XLOOKUP(A424,A423:A1022,[1]Sheet3!AE595:AE1194)</f>
        <v>2</v>
      </c>
    </row>
    <row r="425" spans="1:23" x14ac:dyDescent="0.35">
      <c r="A425" t="s">
        <v>476</v>
      </c>
      <c r="B425" s="1">
        <f>_xlfn.XLOOKUP(A425,A424:A1023,[1]Sheet3!C123:C722)</f>
        <v>45114</v>
      </c>
      <c r="C425" t="str">
        <f>_xlfn.XLOOKUP(A425,A424:A1023,[1]Sheet3!D123:D722)</f>
        <v>CUST21979</v>
      </c>
      <c r="D425" t="str">
        <f>_xlfn.XLOOKUP(A425,A424:A1023,[1]Sheet3!E123:E722)</f>
        <v>Sanjay Singh</v>
      </c>
      <c r="E425" s="5">
        <f>_xlfn.XLOOKUP(A425,A424:A1023,[1]Sheet3!G123:G722)</f>
        <v>54</v>
      </c>
      <c r="F425" t="str">
        <f>_xlfn.XLOOKUP('Retail Sales'!A124,'Retail Sales'!A123:A722,[1]Sheet3!H123:H722)</f>
        <v>Senior</v>
      </c>
      <c r="G425" t="str">
        <f>_xlfn.XLOOKUP(A425,A424:A1023,[1]Sheet3!J123:J722)</f>
        <v>Male</v>
      </c>
      <c r="H425" t="str">
        <f>_xlfn.XLOOKUP(A425,A424:A1023,[1]Sheet3!K123:K722)</f>
        <v>North</v>
      </c>
      <c r="I425" t="str">
        <f>_xlfn.XLOOKUP(A425,A424:A1023,[1]Sheet3!L123:L722)</f>
        <v>Chandigarh</v>
      </c>
      <c r="J425" t="str">
        <f>_xlfn.XLOOKUP(A425,A424:A1023,[1]Sheet3!M123:M722)</f>
        <v>Sports</v>
      </c>
      <c r="K425" t="str">
        <f>_xlfn.XLOOKUP('Retail Sales'!A124,'Retail Sales'!A123:A722,[1]Sheet3!N123:N722)</f>
        <v>Cricket Bat</v>
      </c>
      <c r="L425" s="5">
        <f>_xlfn.XLOOKUP(A425,A424:A1023,[1]Sheet3!P123:P722)</f>
        <v>1</v>
      </c>
      <c r="M425" s="7">
        <f>_xlfn.XLOOKUP(A425,A424:A1023,[1]Sheet3!Q123:Q722)</f>
        <v>9949.4699999999993</v>
      </c>
      <c r="N425" s="9">
        <f>_xlfn.XLOOKUP(A425,A424:A1023,[1]Sheet3!S123:S722)</f>
        <v>0.06</v>
      </c>
      <c r="O425" s="7">
        <f>_xlfn.XLOOKUP(A425,A424:A1023,[1]Sheet3!T123:T722)</f>
        <v>13501.36</v>
      </c>
      <c r="P425" s="7">
        <f>_xlfn.XLOOKUP(A425,A424:A1023,[1]Sheet3!U123:U722)</f>
        <v>3908.34</v>
      </c>
      <c r="Q425" s="11">
        <f>_xlfn.XLOOKUP(A425,A424:A1023,[1]Sheet3!V123:V722)</f>
        <v>0.28947750448843673</v>
      </c>
      <c r="R425" s="7">
        <f>_xlfn.XLOOKUP(A425,A424:A1023,[1]Sheet3!W123:W722)</f>
        <v>42.57</v>
      </c>
      <c r="S425" t="str">
        <f>_xlfn.XLOOKUP(A425,A424:A1023,[1]Sheet3!X123:X722)</f>
        <v>UPI</v>
      </c>
      <c r="T425" s="5">
        <f>_xlfn.XLOOKUP(A425,A424:A1023,[1]Sheet3!Z123:Z722)</f>
        <v>3</v>
      </c>
      <c r="U425" t="b">
        <f>_xlfn.XLOOKUP(A425,A424:A1023,[1]Sheet3!AA123:AA722)</f>
        <v>0</v>
      </c>
      <c r="V425" t="str">
        <f>_xlfn.XLOOKUP(A425,A424:A1023,[1]Sheet3!AC123:AC722)</f>
        <v>Delivered</v>
      </c>
      <c r="W425" s="5">
        <f>_xlfn.XLOOKUP(A425,A424:A1023,[1]Sheet3!AE123:AE722)</f>
        <v>5</v>
      </c>
    </row>
    <row r="426" spans="1:23" x14ac:dyDescent="0.35">
      <c r="A426" t="s">
        <v>368</v>
      </c>
      <c r="B426" s="1">
        <f>_xlfn.XLOOKUP(A426,A425:A1024,[1]Sheet3!C231:C830)</f>
        <v>45117</v>
      </c>
      <c r="C426" t="str">
        <f>_xlfn.XLOOKUP(A426,A425:A1024,[1]Sheet3!D231:D830)</f>
        <v>CUST95419</v>
      </c>
      <c r="D426" t="str">
        <f>_xlfn.XLOOKUP(A426,A425:A1024,[1]Sheet3!E231:E830)</f>
        <v>Deepa Joshi</v>
      </c>
      <c r="E426" s="5">
        <f>_xlfn.XLOOKUP(A426,A425:A1024,[1]Sheet3!G231:G830)</f>
        <v>37</v>
      </c>
      <c r="F426" t="str">
        <f>_xlfn.XLOOKUP('Retail Sales'!A232,'Retail Sales'!A231:A830,[1]Sheet3!H231:H830)</f>
        <v>Adult</v>
      </c>
      <c r="G426" t="str">
        <f>_xlfn.XLOOKUP(A426,A425:A1024,[1]Sheet3!J231:J830)</f>
        <v>Male</v>
      </c>
      <c r="H426" t="str">
        <f>_xlfn.XLOOKUP(A426,A425:A1024,[1]Sheet3!K231:K830)</f>
        <v>West</v>
      </c>
      <c r="I426" t="str">
        <f>_xlfn.XLOOKUP(A426,A425:A1024,[1]Sheet3!L231:L830)</f>
        <v>Pune</v>
      </c>
      <c r="J426" t="str">
        <f>_xlfn.XLOOKUP(A426,A425:A1024,[1]Sheet3!M231:M830)</f>
        <v>Beauty</v>
      </c>
      <c r="K426" t="str">
        <f>_xlfn.XLOOKUP('Retail Sales'!A232,'Retail Sales'!A231:A830,[1]Sheet3!N231:N830)</f>
        <v>Face Cream</v>
      </c>
      <c r="L426" s="5">
        <f>_xlfn.XLOOKUP(A426,A425:A1024,[1]Sheet3!P231:P830)</f>
        <v>9</v>
      </c>
      <c r="M426" s="7">
        <f>_xlfn.XLOOKUP(A426,A425:A1024,[1]Sheet3!Q231:Q830)</f>
        <v>108.24</v>
      </c>
      <c r="N426" s="9">
        <f>_xlfn.XLOOKUP(A426,A425:A1024,[1]Sheet3!S231:S830)</f>
        <v>0.18</v>
      </c>
      <c r="O426" s="7">
        <f>_xlfn.XLOOKUP(A426,A425:A1024,[1]Sheet3!T231:T830)</f>
        <v>1201.96</v>
      </c>
      <c r="P426" s="7">
        <f>_xlfn.XLOOKUP(A426,A425:A1024,[1]Sheet3!U231:U830)</f>
        <v>569.48</v>
      </c>
      <c r="Q426" s="11">
        <f>_xlfn.XLOOKUP(A426,A425:A1024,[1]Sheet3!V231:V830)</f>
        <v>0.4737928050850278</v>
      </c>
      <c r="R426" s="7">
        <f>_xlfn.XLOOKUP(A426,A425:A1024,[1]Sheet3!W231:W830)</f>
        <v>55.36</v>
      </c>
      <c r="S426" t="str">
        <f>_xlfn.XLOOKUP(A426,A425:A1024,[1]Sheet3!X231:X830)</f>
        <v>UPI</v>
      </c>
      <c r="T426" s="5">
        <f>_xlfn.XLOOKUP(A426,A425:A1024,[1]Sheet3!Z231:Z830)</f>
        <v>4</v>
      </c>
      <c r="U426" t="b">
        <f>_xlfn.XLOOKUP(A426,A425:A1024,[1]Sheet3!AA231:AA830)</f>
        <v>0</v>
      </c>
      <c r="V426" t="str">
        <f>_xlfn.XLOOKUP(A426,A425:A1024,[1]Sheet3!AC231:AC830)</f>
        <v>Delivered</v>
      </c>
      <c r="W426" s="5">
        <f>_xlfn.XLOOKUP(A426,A425:A1024,[1]Sheet3!AE231:AE830)</f>
        <v>5</v>
      </c>
    </row>
    <row r="427" spans="1:23" x14ac:dyDescent="0.35">
      <c r="A427" t="s">
        <v>195</v>
      </c>
      <c r="B427" s="1">
        <f>_xlfn.XLOOKUP(A427,A426:A1025,[1]Sheet3!C404:C1003)</f>
        <v>45118</v>
      </c>
      <c r="C427" t="str">
        <f>_xlfn.XLOOKUP(A427,A426:A1025,[1]Sheet3!D404:D1003)</f>
        <v>CUST55824</v>
      </c>
      <c r="D427" t="str">
        <f>_xlfn.XLOOKUP(A427,A426:A1025,[1]Sheet3!E404:E1003)</f>
        <v>Ritu Kumar</v>
      </c>
      <c r="E427" s="5">
        <f>_xlfn.XLOOKUP(A427,A426:A1025,[1]Sheet3!G404:G1003)</f>
        <v>27</v>
      </c>
      <c r="F427" t="str">
        <f>_xlfn.XLOOKUP('Retail Sales'!A405,'Retail Sales'!A404:A1003,[1]Sheet3!H404:H1003)</f>
        <v>Young Adult</v>
      </c>
      <c r="G427" t="str">
        <f>_xlfn.XLOOKUP(A427,A426:A1025,[1]Sheet3!J404:J1003)</f>
        <v>Male</v>
      </c>
      <c r="H427" t="str">
        <f>_xlfn.XLOOKUP(A427,A426:A1025,[1]Sheet3!K404:K1003)</f>
        <v>West</v>
      </c>
      <c r="I427" t="str">
        <f>_xlfn.XLOOKUP(A427,A426:A1025,[1]Sheet3!L404:L1003)</f>
        <v>Pune</v>
      </c>
      <c r="J427" t="str">
        <f>_xlfn.XLOOKUP(A427,A426:A1025,[1]Sheet3!M404:M1003)</f>
        <v>Books</v>
      </c>
      <c r="K427" t="str">
        <f>_xlfn.XLOOKUP('Retail Sales'!A405,'Retail Sales'!A404:A1003,[1]Sheet3!N404:N1003)</f>
        <v>Fiction Novel</v>
      </c>
      <c r="L427" s="5">
        <f>_xlfn.XLOOKUP(A427,A426:A1025,[1]Sheet3!P404:P1003)</f>
        <v>1</v>
      </c>
      <c r="M427" s="7">
        <f>_xlfn.XLOOKUP(A427,A426:A1025,[1]Sheet3!Q404:Q1003)</f>
        <v>623.96</v>
      </c>
      <c r="N427" s="9">
        <f>_xlfn.XLOOKUP(A427,A426:A1025,[1]Sheet3!S404:S1003)</f>
        <v>0.21</v>
      </c>
      <c r="O427" s="7">
        <f>_xlfn.XLOOKUP(A427,A426:A1025,[1]Sheet3!T404:T1003)</f>
        <v>778.16</v>
      </c>
      <c r="P427" s="7">
        <f>_xlfn.XLOOKUP(A427,A426:A1025,[1]Sheet3!U404:U1003)</f>
        <v>263.81</v>
      </c>
      <c r="Q427" s="11">
        <f>_xlfn.XLOOKUP(A427,A426:A1025,[1]Sheet3!V404:V1003)</f>
        <v>0.33901768273876837</v>
      </c>
      <c r="R427" s="7">
        <f>_xlfn.XLOOKUP(A427,A426:A1025,[1]Sheet3!W404:W1003)</f>
        <v>68.14</v>
      </c>
      <c r="S427" t="str">
        <f>_xlfn.XLOOKUP(A427,A426:A1025,[1]Sheet3!X404:X1003)</f>
        <v>Cash on Delivery</v>
      </c>
      <c r="T427" s="5">
        <f>_xlfn.XLOOKUP(A427,A426:A1025,[1]Sheet3!Z404:Z1003)</f>
        <v>3</v>
      </c>
      <c r="U427" t="b">
        <f>_xlfn.XLOOKUP(A427,A426:A1025,[1]Sheet3!AA404:AA1003)</f>
        <v>0</v>
      </c>
      <c r="V427" t="str">
        <f>_xlfn.XLOOKUP(A427,A426:A1025,[1]Sheet3!AC404:AC1003)</f>
        <v>Delivered</v>
      </c>
      <c r="W427" s="5">
        <f>_xlfn.XLOOKUP(A427,A426:A1025,[1]Sheet3!AE404:AE1003)</f>
        <v>6</v>
      </c>
    </row>
    <row r="428" spans="1:23" x14ac:dyDescent="0.35">
      <c r="A428" t="s">
        <v>23</v>
      </c>
      <c r="B428" s="1">
        <f>_xlfn.XLOOKUP(A428,A427:A1026,[1]Sheet3!C576:C1175)</f>
        <v>45118</v>
      </c>
      <c r="C428" t="str">
        <f>_xlfn.XLOOKUP(A428,A427:A1026,[1]Sheet3!D576:D1175)</f>
        <v>CUST06333</v>
      </c>
      <c r="D428" t="str">
        <f>_xlfn.XLOOKUP(A428,A427:A1026,[1]Sheet3!E576:E1175)</f>
        <v>Amit Verma</v>
      </c>
      <c r="E428" s="5">
        <f>_xlfn.XLOOKUP(A428,A427:A1026,[1]Sheet3!G576:G1175)</f>
        <v>44</v>
      </c>
      <c r="F428" t="str">
        <f>_xlfn.XLOOKUP('Retail Sales'!A577,'Retail Sales'!A576:A1175,[1]Sheet3!H576:H1175)</f>
        <v>Adult</v>
      </c>
      <c r="G428" t="str">
        <f>_xlfn.XLOOKUP(A428,A427:A1026,[1]Sheet3!J576:J1175)</f>
        <v>Other</v>
      </c>
      <c r="H428" t="str">
        <f>_xlfn.XLOOKUP(A428,A427:A1026,[1]Sheet3!K576:K1175)</f>
        <v>North</v>
      </c>
      <c r="I428" t="str">
        <f>_xlfn.XLOOKUP(A428,A427:A1026,[1]Sheet3!L576:L1175)</f>
        <v>Amritsar</v>
      </c>
      <c r="J428" t="str">
        <f>_xlfn.XLOOKUP(A428,A427:A1026,[1]Sheet3!M576:M1175)</f>
        <v>Clothing</v>
      </c>
      <c r="K428" t="str">
        <f>_xlfn.XLOOKUP('Retail Sales'!A577,'Retail Sales'!A576:A1175,[1]Sheet3!N576:N1175)</f>
        <v>Jacket</v>
      </c>
      <c r="L428" s="5">
        <f>_xlfn.XLOOKUP(A428,A427:A1026,[1]Sheet3!P576:P1175)</f>
        <v>6</v>
      </c>
      <c r="M428" s="7">
        <f>_xlfn.XLOOKUP(A428,A427:A1026,[1]Sheet3!Q576:Q1175)</f>
        <v>1202.81</v>
      </c>
      <c r="N428" s="9">
        <f>_xlfn.XLOOKUP(A428,A427:A1026,[1]Sheet3!S576:S1175)</f>
        <v>0.08</v>
      </c>
      <c r="O428" s="7">
        <f>_xlfn.XLOOKUP(A428,A427:A1026,[1]Sheet3!T576:T1175)</f>
        <v>9663.61</v>
      </c>
      <c r="P428" s="7">
        <f>_xlfn.XLOOKUP(A428,A427:A1026,[1]Sheet3!U576:U1175)</f>
        <v>2700.5</v>
      </c>
      <c r="Q428" s="11">
        <f>_xlfn.XLOOKUP(A428,A427:A1026,[1]Sheet3!V576:V1175)</f>
        <v>0.27945043311971407</v>
      </c>
      <c r="R428" s="7">
        <f>_xlfn.XLOOKUP(A428,A427:A1026,[1]Sheet3!W576:W1175)</f>
        <v>84.89</v>
      </c>
      <c r="S428" t="str">
        <f>_xlfn.XLOOKUP(A428,A427:A1026,[1]Sheet3!X576:X1175)</f>
        <v>Net Banking</v>
      </c>
      <c r="T428" s="5">
        <f>_xlfn.XLOOKUP(A428,A427:A1026,[1]Sheet3!Z576:Z1175)</f>
        <v>1</v>
      </c>
      <c r="U428" t="b">
        <f>_xlfn.XLOOKUP(A428,A427:A1026,[1]Sheet3!AA576:AA1175)</f>
        <v>1</v>
      </c>
      <c r="V428" t="str">
        <f>_xlfn.XLOOKUP(A428,A427:A1026,[1]Sheet3!AC576:AC1175)</f>
        <v>Returned</v>
      </c>
      <c r="W428" s="5">
        <f>_xlfn.XLOOKUP(A428,A427:A1026,[1]Sheet3!AE576:AE1175)</f>
        <v>6</v>
      </c>
    </row>
    <row r="429" spans="1:23" x14ac:dyDescent="0.35">
      <c r="A429" t="s">
        <v>36</v>
      </c>
      <c r="B429" s="1">
        <f>_xlfn.XLOOKUP(A429,A428:A1027,[1]Sheet3!C563:C1162)</f>
        <v>45122</v>
      </c>
      <c r="C429" t="str">
        <f>_xlfn.XLOOKUP(A429,A428:A1027,[1]Sheet3!D563:D1162)</f>
        <v>CUST81628</v>
      </c>
      <c r="D429" t="str">
        <f>_xlfn.XLOOKUP(A429,A428:A1027,[1]Sheet3!E563:E1162)</f>
        <v>Rahul Shah</v>
      </c>
      <c r="E429" s="5">
        <f>_xlfn.XLOOKUP(A429,A428:A1027,[1]Sheet3!G563:G1162)</f>
        <v>33</v>
      </c>
      <c r="F429" t="str">
        <f>_xlfn.XLOOKUP('Retail Sales'!A564,'Retail Sales'!A563:A1162,[1]Sheet3!H563:H1162)</f>
        <v>Young Adult</v>
      </c>
      <c r="G429" t="str">
        <f>_xlfn.XLOOKUP(A429,A428:A1027,[1]Sheet3!J563:J1162)</f>
        <v>Other</v>
      </c>
      <c r="H429" t="str">
        <f>_xlfn.XLOOKUP(A429,A428:A1027,[1]Sheet3!K563:K1162)</f>
        <v>West</v>
      </c>
      <c r="I429" t="str">
        <f>_xlfn.XLOOKUP(A429,A428:A1027,[1]Sheet3!L563:L1162)</f>
        <v>Surat</v>
      </c>
      <c r="J429" t="str">
        <f>_xlfn.XLOOKUP(A429,A428:A1027,[1]Sheet3!M563:M1162)</f>
        <v>Beauty</v>
      </c>
      <c r="K429" t="str">
        <f>_xlfn.XLOOKUP('Retail Sales'!A564,'Retail Sales'!A563:A1162,[1]Sheet3!N563:N1162)</f>
        <v>Perfume</v>
      </c>
      <c r="L429" s="5">
        <f>_xlfn.XLOOKUP(A429,A428:A1027,[1]Sheet3!P563:P1162)</f>
        <v>10</v>
      </c>
      <c r="M429" s="7">
        <f>_xlfn.XLOOKUP(A429,A428:A1027,[1]Sheet3!Q563:Q1162)</f>
        <v>2340.48</v>
      </c>
      <c r="N429" s="9">
        <f>_xlfn.XLOOKUP(A429,A428:A1027,[1]Sheet3!S563:S1162)</f>
        <v>0.19793402777777783</v>
      </c>
      <c r="O429" s="7">
        <f>_xlfn.XLOOKUP(A429,A428:A1027,[1]Sheet3!T563:T1162)</f>
        <v>30857.19</v>
      </c>
      <c r="P429" s="7">
        <f>_xlfn.XLOOKUP(A429,A428:A1027,[1]Sheet3!U563:U1162)</f>
        <v>16769.400000000001</v>
      </c>
      <c r="Q429" s="11">
        <f>_xlfn.XLOOKUP(A429,A428:A1027,[1]Sheet3!V563:V1162)</f>
        <v>0.54345194750396919</v>
      </c>
      <c r="R429" s="7">
        <f>_xlfn.XLOOKUP(A429,A428:A1027,[1]Sheet3!W563:W1162)</f>
        <v>65.62</v>
      </c>
      <c r="S429" t="str">
        <f>_xlfn.XLOOKUP(A429,A428:A1027,[1]Sheet3!X563:X1162)</f>
        <v>EMI</v>
      </c>
      <c r="T429" s="5">
        <f>_xlfn.XLOOKUP(A429,A428:A1027,[1]Sheet3!Z563:Z1162)</f>
        <v>2</v>
      </c>
      <c r="U429" t="b">
        <f>_xlfn.XLOOKUP(A429,A428:A1027,[1]Sheet3!AA563:AA1162)</f>
        <v>0</v>
      </c>
      <c r="V429" t="str">
        <f>_xlfn.XLOOKUP(A429,A428:A1027,[1]Sheet3!AC563:AC1162)</f>
        <v>Delivered</v>
      </c>
      <c r="W429" s="5">
        <f>_xlfn.XLOOKUP(A429,A428:A1027,[1]Sheet3!AE563:AE1162)</f>
        <v>9</v>
      </c>
    </row>
    <row r="430" spans="1:23" x14ac:dyDescent="0.35">
      <c r="A430" t="s">
        <v>575</v>
      </c>
      <c r="B430" s="1">
        <f>_xlfn.XLOOKUP(A430,A429:A1028,[1]Sheet3!C24:C623)</f>
        <v>45124</v>
      </c>
      <c r="C430" t="str">
        <f>_xlfn.XLOOKUP(A430,A429:A1028,[1]Sheet3!D24:D623)</f>
        <v>CUST62795</v>
      </c>
      <c r="D430" t="str">
        <f>_xlfn.XLOOKUP(A430,A429:A1028,[1]Sheet3!E24:E623)</f>
        <v>Arjun Chatterjee</v>
      </c>
      <c r="E430" s="5">
        <f>_xlfn.XLOOKUP(A430,A429:A1028,[1]Sheet3!G24:G623)</f>
        <v>30</v>
      </c>
      <c r="F430" t="str">
        <f>_xlfn.XLOOKUP('Retail Sales'!A25,'Retail Sales'!A24:A623,[1]Sheet3!H24:H623)</f>
        <v>Young Adult</v>
      </c>
      <c r="G430" t="str">
        <f>_xlfn.XLOOKUP(A430,A429:A1028,[1]Sheet3!J24:J623)</f>
        <v>Male</v>
      </c>
      <c r="H430" t="str">
        <f>_xlfn.XLOOKUP(A430,A429:A1028,[1]Sheet3!K24:K623)</f>
        <v>South</v>
      </c>
      <c r="I430" t="str">
        <f>_xlfn.XLOOKUP(A430,A429:A1028,[1]Sheet3!L24:L623)</f>
        <v>Bangalore</v>
      </c>
      <c r="J430" t="str">
        <f>_xlfn.XLOOKUP(A430,A429:A1028,[1]Sheet3!M24:M623)</f>
        <v>Books</v>
      </c>
      <c r="K430" t="str">
        <f>_xlfn.XLOOKUP('Retail Sales'!A25,'Retail Sales'!A24:A623,[1]Sheet3!N24:N623)</f>
        <v>Self-Help Book</v>
      </c>
      <c r="L430" s="5">
        <f>_xlfn.XLOOKUP(A430,A429:A1028,[1]Sheet3!P24:P623)</f>
        <v>7.0954861111111107</v>
      </c>
      <c r="M430" s="7">
        <f>_xlfn.XLOOKUP(A430,A429:A1028,[1]Sheet3!Q24:Q623)</f>
        <v>478.05</v>
      </c>
      <c r="N430" s="9">
        <f>_xlfn.XLOOKUP(A430,A429:A1028,[1]Sheet3!S24:S623)</f>
        <v>0.02</v>
      </c>
      <c r="O430" s="7">
        <f>_xlfn.XLOOKUP(A430,A429:A1028,[1]Sheet3!T24:T623)</f>
        <v>621.35</v>
      </c>
      <c r="P430" s="7">
        <f>_xlfn.XLOOKUP(A430,A429:A1028,[1]Sheet3!U24:U623)</f>
        <v>290.89999999999998</v>
      </c>
      <c r="Q430" s="11">
        <f>_xlfn.XLOOKUP(A430,A429:A1028,[1]Sheet3!V24:V623)</f>
        <v>0.46817413695984544</v>
      </c>
      <c r="R430" s="7">
        <f>_xlfn.XLOOKUP(A430,A429:A1028,[1]Sheet3!W24:W623)</f>
        <v>63.7</v>
      </c>
      <c r="S430" t="str">
        <f>_xlfn.XLOOKUP(A430,A429:A1028,[1]Sheet3!X24:X623)</f>
        <v>Cash on Delivery</v>
      </c>
      <c r="T430" s="5">
        <f>_xlfn.XLOOKUP(A430,A429:A1028,[1]Sheet3!Z24:Z623)</f>
        <v>2</v>
      </c>
      <c r="U430" t="b">
        <f>_xlfn.XLOOKUP(A430,A429:A1028,[1]Sheet3!AA24:AA623)</f>
        <v>0</v>
      </c>
      <c r="V430" t="str">
        <f>_xlfn.XLOOKUP(A430,A429:A1028,[1]Sheet3!AC24:AC623)</f>
        <v>Delivered</v>
      </c>
      <c r="W430" s="5">
        <f>_xlfn.XLOOKUP(A430,A429:A1028,[1]Sheet3!AE24:AE623)</f>
        <v>7</v>
      </c>
    </row>
    <row r="431" spans="1:23" x14ac:dyDescent="0.35">
      <c r="A431" t="s">
        <v>495</v>
      </c>
      <c r="B431" s="1">
        <f>_xlfn.XLOOKUP(A431,A430:A1029,[1]Sheet3!C104:C703)</f>
        <v>45126</v>
      </c>
      <c r="C431" t="str">
        <f>_xlfn.XLOOKUP(A431,A430:A1029,[1]Sheet3!D104:D703)</f>
        <v>CUST01027</v>
      </c>
      <c r="D431" t="str">
        <f>_xlfn.XLOOKUP(A431,A430:A1029,[1]Sheet3!E104:E703)</f>
        <v>Nikhil Reddy</v>
      </c>
      <c r="E431" s="5">
        <f>_xlfn.XLOOKUP(A431,A430:A1029,[1]Sheet3!G104:G703)</f>
        <v>34.294220665499125</v>
      </c>
      <c r="F431" t="str">
        <f>_xlfn.XLOOKUP('Retail Sales'!A105,'Retail Sales'!A104:A703,[1]Sheet3!H104:H703)</f>
        <v>Young Adult</v>
      </c>
      <c r="G431" t="str">
        <f>_xlfn.XLOOKUP(A431,A430:A1029,[1]Sheet3!J104:J703)</f>
        <v>Other</v>
      </c>
      <c r="H431" t="str">
        <f>_xlfn.XLOOKUP(A431,A430:A1029,[1]Sheet3!K104:K703)</f>
        <v>North</v>
      </c>
      <c r="I431" t="str">
        <f>_xlfn.XLOOKUP(A431,A430:A1029,[1]Sheet3!L104:L703)</f>
        <v>Delhi</v>
      </c>
      <c r="J431" t="str">
        <f>_xlfn.XLOOKUP(A431,A430:A1029,[1]Sheet3!M104:M703)</f>
        <v>Groceries</v>
      </c>
      <c r="K431" t="str">
        <f>_xlfn.XLOOKUP('Retail Sales'!A105,'Retail Sales'!A104:A703,[1]Sheet3!N104:N703)</f>
        <v>Rice (5kg)</v>
      </c>
      <c r="L431" s="5">
        <f>_xlfn.XLOOKUP(A431,A430:A1029,[1]Sheet3!P104:P703)</f>
        <v>4</v>
      </c>
      <c r="M431" s="7">
        <f>_xlfn.XLOOKUP(A431,A430:A1029,[1]Sheet3!Q104:Q703)</f>
        <v>161.52000000000001</v>
      </c>
      <c r="N431" s="9">
        <f>_xlfn.XLOOKUP(A431,A430:A1029,[1]Sheet3!S104:S703)</f>
        <v>0.17</v>
      </c>
      <c r="O431" s="7">
        <f>_xlfn.XLOOKUP(A431,A430:A1029,[1]Sheet3!T104:T703)</f>
        <v>815.36</v>
      </c>
      <c r="P431" s="7">
        <f>_xlfn.XLOOKUP(A431,A430:A1029,[1]Sheet3!U104:U703)</f>
        <v>66.150000000000006</v>
      </c>
      <c r="Q431" s="11">
        <f>_xlfn.XLOOKUP(A431,A430:A1029,[1]Sheet3!V104:V703)</f>
        <v>8.1129807692307696E-2</v>
      </c>
      <c r="R431" s="7">
        <f>_xlfn.XLOOKUP(A431,A430:A1029,[1]Sheet3!W104:W703)</f>
        <v>45.84</v>
      </c>
      <c r="S431" t="str">
        <f>_xlfn.XLOOKUP(A431,A430:A1029,[1]Sheet3!X104:X703)</f>
        <v>Net Banking</v>
      </c>
      <c r="T431" s="5">
        <f>_xlfn.XLOOKUP(A431,A430:A1029,[1]Sheet3!Z104:Z703)</f>
        <v>4</v>
      </c>
      <c r="U431" t="b">
        <f>_xlfn.XLOOKUP(A431,A430:A1029,[1]Sheet3!AA104:AA703)</f>
        <v>0</v>
      </c>
      <c r="V431" t="str">
        <f>_xlfn.XLOOKUP(A431,A430:A1029,[1]Sheet3!AC104:AC703)</f>
        <v>Cancelled</v>
      </c>
      <c r="W431" s="5">
        <f>_xlfn.XLOOKUP(A431,A430:A1029,[1]Sheet3!AE104:AE703)</f>
        <v>8</v>
      </c>
    </row>
    <row r="432" spans="1:23" x14ac:dyDescent="0.35">
      <c r="A432" t="s">
        <v>210</v>
      </c>
      <c r="B432" s="1">
        <f>_xlfn.XLOOKUP(A432,A431:A1030,[1]Sheet3!C389:C988)</f>
        <v>45131</v>
      </c>
      <c r="C432" t="str">
        <f>_xlfn.XLOOKUP(A432,A431:A1030,[1]Sheet3!D389:D988)</f>
        <v>CUST96839</v>
      </c>
      <c r="D432" t="str">
        <f>_xlfn.XLOOKUP(A432,A431:A1030,[1]Sheet3!E389:E988)</f>
        <v>Amit Sharma</v>
      </c>
      <c r="E432" s="5">
        <f>_xlfn.XLOOKUP(A432,A431:A1030,[1]Sheet3!G389:G988)</f>
        <v>38</v>
      </c>
      <c r="F432" t="str">
        <f>_xlfn.XLOOKUP('Retail Sales'!A390,'Retail Sales'!A389:A988,[1]Sheet3!H389:H988)</f>
        <v>Adult</v>
      </c>
      <c r="G432" t="str">
        <f>_xlfn.XLOOKUP(A432,A431:A1030,[1]Sheet3!J389:J988)</f>
        <v>Female</v>
      </c>
      <c r="H432" t="str">
        <f>_xlfn.XLOOKUP(A432,A431:A1030,[1]Sheet3!K389:K988)</f>
        <v>Central</v>
      </c>
      <c r="I432" t="str">
        <f>_xlfn.XLOOKUP(A432,A431:A1030,[1]Sheet3!L389:L988)</f>
        <v>Raipur</v>
      </c>
      <c r="J432" t="str">
        <f>_xlfn.XLOOKUP(A432,A431:A1030,[1]Sheet3!M389:M988)</f>
        <v>Books</v>
      </c>
      <c r="K432" t="str">
        <f>_xlfn.XLOOKUP('Retail Sales'!A390,'Retail Sales'!A389:A988,[1]Sheet3!N389:N988)</f>
        <v>Cook Book</v>
      </c>
      <c r="L432" s="5">
        <f>_xlfn.XLOOKUP(A432,A431:A1030,[1]Sheet3!P389:P988)</f>
        <v>10</v>
      </c>
      <c r="M432" s="7">
        <f>_xlfn.XLOOKUP(A432,A431:A1030,[1]Sheet3!Q389:Q988)</f>
        <v>680.67</v>
      </c>
      <c r="N432" s="9">
        <f>_xlfn.XLOOKUP(A432,A431:A1030,[1]Sheet3!S389:S988)</f>
        <v>0.28000000000000003</v>
      </c>
      <c r="O432" s="7">
        <f>_xlfn.XLOOKUP(A432,A431:A1030,[1]Sheet3!T389:T988)</f>
        <v>7920.13</v>
      </c>
      <c r="P432" s="7">
        <f>_xlfn.XLOOKUP(A432,A431:A1030,[1]Sheet3!U389:U988)</f>
        <v>4381.82</v>
      </c>
      <c r="Q432" s="11">
        <f>_xlfn.XLOOKUP(A432,A431:A1030,[1]Sheet3!V389:V988)</f>
        <v>0.55325101986962333</v>
      </c>
      <c r="R432" s="7">
        <f>_xlfn.XLOOKUP(A432,A431:A1030,[1]Sheet3!W389:W988)</f>
        <v>60.91</v>
      </c>
      <c r="S432" t="str">
        <f>_xlfn.XLOOKUP(A432,A431:A1030,[1]Sheet3!X389:X988)</f>
        <v>Credit Card</v>
      </c>
      <c r="T432" s="5">
        <f>_xlfn.XLOOKUP(A432,A431:A1030,[1]Sheet3!Z389:Z988)</f>
        <v>3</v>
      </c>
      <c r="U432" t="b">
        <f>_xlfn.XLOOKUP(A432,A431:A1030,[1]Sheet3!AA389:AA988)</f>
        <v>0</v>
      </c>
      <c r="V432" t="str">
        <f>_xlfn.XLOOKUP(A432,A431:A1030,[1]Sheet3!AC389:AC988)</f>
        <v>Delivered</v>
      </c>
      <c r="W432" s="5">
        <f>_xlfn.XLOOKUP(A432,A431:A1030,[1]Sheet3!AE389:AE988)</f>
        <v>4</v>
      </c>
    </row>
    <row r="433" spans="1:23" x14ac:dyDescent="0.35">
      <c r="A433" t="s">
        <v>147</v>
      </c>
      <c r="B433" s="1">
        <f>_xlfn.XLOOKUP(A433,A432:A1031,[1]Sheet3!C452:C1051)</f>
        <v>45133</v>
      </c>
      <c r="C433" t="str">
        <f>_xlfn.XLOOKUP(A433,A432:A1031,[1]Sheet3!D452:D1051)</f>
        <v>CUST03875</v>
      </c>
      <c r="D433" t="str">
        <f>_xlfn.XLOOKUP(A433,A432:A1031,[1]Sheet3!E452:E1051)</f>
        <v>Arjun Patel</v>
      </c>
      <c r="E433" s="5">
        <f>_xlfn.XLOOKUP(A433,A432:A1031,[1]Sheet3!G452:G1051)</f>
        <v>35</v>
      </c>
      <c r="F433" t="str">
        <f>_xlfn.XLOOKUP('Retail Sales'!A453,'Retail Sales'!A452:A1051,[1]Sheet3!H452:H1051)</f>
        <v>Young Adult</v>
      </c>
      <c r="G433" t="str">
        <f>_xlfn.XLOOKUP(A433,A432:A1031,[1]Sheet3!J452:J1051)</f>
        <v>Other</v>
      </c>
      <c r="H433" t="str">
        <f>_xlfn.XLOOKUP(A433,A432:A1031,[1]Sheet3!K452:K1051)</f>
        <v>North</v>
      </c>
      <c r="I433" t="str">
        <f>_xlfn.XLOOKUP(A433,A432:A1031,[1]Sheet3!L452:L1051)</f>
        <v>Chandigarh</v>
      </c>
      <c r="J433" t="str">
        <f>_xlfn.XLOOKUP(A433,A432:A1031,[1]Sheet3!M452:M1051)</f>
        <v>Sports</v>
      </c>
      <c r="K433" t="str">
        <f>_xlfn.XLOOKUP('Retail Sales'!A453,'Retail Sales'!A452:A1051,[1]Sheet3!N452:N1051)</f>
        <v>Tennis Racket</v>
      </c>
      <c r="L433" s="5">
        <f>_xlfn.XLOOKUP(A433,A432:A1031,[1]Sheet3!P452:P1051)</f>
        <v>5</v>
      </c>
      <c r="M433" s="7">
        <f>_xlfn.XLOOKUP(A433,A432:A1031,[1]Sheet3!Q452:Q1051)</f>
        <v>1956.54</v>
      </c>
      <c r="N433" s="9">
        <f>_xlfn.XLOOKUP(A433,A432:A1031,[1]Sheet3!S452:S1051)</f>
        <v>0.2</v>
      </c>
      <c r="O433" s="7">
        <f>_xlfn.XLOOKUP(A433,A432:A1031,[1]Sheet3!T452:T1051)</f>
        <v>10411.35</v>
      </c>
      <c r="P433" s="7">
        <f>_xlfn.XLOOKUP(A433,A432:A1031,[1]Sheet3!U452:U1051)</f>
        <v>2723.2</v>
      </c>
      <c r="Q433" s="11">
        <f>_xlfn.XLOOKUP(A433,A432:A1031,[1]Sheet3!V452:V1051)</f>
        <v>0.26156070058157682</v>
      </c>
      <c r="R433" s="7">
        <f>_xlfn.XLOOKUP(A433,A432:A1031,[1]Sheet3!W452:W1051)</f>
        <v>60.98</v>
      </c>
      <c r="S433" t="str">
        <f>_xlfn.XLOOKUP(A433,A432:A1031,[1]Sheet3!X452:X1051)</f>
        <v>UPI</v>
      </c>
      <c r="T433" s="5">
        <f>_xlfn.XLOOKUP(A433,A432:A1031,[1]Sheet3!Z452:Z1051)</f>
        <v>3</v>
      </c>
      <c r="U433" t="b">
        <f>_xlfn.XLOOKUP(A433,A432:A1031,[1]Sheet3!AA452:AA1051)</f>
        <v>0</v>
      </c>
      <c r="V433" t="str">
        <f>_xlfn.XLOOKUP(A433,A432:A1031,[1]Sheet3!AC452:AC1051)</f>
        <v>Delivered</v>
      </c>
      <c r="W433" s="5">
        <f>_xlfn.XLOOKUP(A433,A432:A1031,[1]Sheet3!AE452:AE1051)</f>
        <v>3</v>
      </c>
    </row>
    <row r="434" spans="1:23" x14ac:dyDescent="0.35">
      <c r="A434" t="s">
        <v>298</v>
      </c>
      <c r="B434" s="1">
        <f>_xlfn.XLOOKUP(A434,A433:A1032,[1]Sheet3!C301:C900)</f>
        <v>45136</v>
      </c>
      <c r="C434" t="str">
        <f>_xlfn.XLOOKUP(A434,A433:A1032,[1]Sheet3!D301:D900)</f>
        <v>CUST35539</v>
      </c>
      <c r="D434" t="str">
        <f>_xlfn.XLOOKUP(A434,A433:A1032,[1]Sheet3!E301:E900)</f>
        <v>Karan Reddy</v>
      </c>
      <c r="E434" s="5">
        <f>_xlfn.XLOOKUP(A434,A433:A1032,[1]Sheet3!G301:G900)</f>
        <v>31</v>
      </c>
      <c r="F434" t="str">
        <f>_xlfn.XLOOKUP('Retail Sales'!A302,'Retail Sales'!A301:A900,[1]Sheet3!H301:H900)</f>
        <v>Young Adult</v>
      </c>
      <c r="G434" t="str">
        <f>_xlfn.XLOOKUP(A434,A433:A1032,[1]Sheet3!J301:J900)</f>
        <v>Female</v>
      </c>
      <c r="H434" t="str">
        <f>_xlfn.XLOOKUP(A434,A433:A1032,[1]Sheet3!K301:K900)</f>
        <v>South</v>
      </c>
      <c r="I434" t="str">
        <f>_xlfn.XLOOKUP(A434,A433:A1032,[1]Sheet3!L301:L900)</f>
        <v>Kochi</v>
      </c>
      <c r="J434" t="str">
        <f>_xlfn.XLOOKUP(A434,A433:A1032,[1]Sheet3!M301:M900)</f>
        <v>Sports</v>
      </c>
      <c r="K434" t="str">
        <f>_xlfn.XLOOKUP('Retail Sales'!A302,'Retail Sales'!A301:A900,[1]Sheet3!N301:N900)</f>
        <v>Dumbbells</v>
      </c>
      <c r="L434" s="5">
        <f>_xlfn.XLOOKUP(A434,A433:A1032,[1]Sheet3!P301:P900)</f>
        <v>7.0954861111111107</v>
      </c>
      <c r="M434" s="7">
        <f>_xlfn.XLOOKUP(A434,A433:A1032,[1]Sheet3!Q301:Q900)</f>
        <v>8903.5499999999993</v>
      </c>
      <c r="N434" s="9">
        <f>_xlfn.XLOOKUP(A434,A433:A1032,[1]Sheet3!S301:S900)</f>
        <v>0.12</v>
      </c>
      <c r="O434" s="7">
        <f>_xlfn.XLOOKUP(A434,A433:A1032,[1]Sheet3!T301:T900)</f>
        <v>11991.16</v>
      </c>
      <c r="P434" s="7">
        <f>_xlfn.XLOOKUP(A434,A433:A1032,[1]Sheet3!U301:U900)</f>
        <v>1852.66</v>
      </c>
      <c r="Q434" s="11">
        <f>_xlfn.XLOOKUP(A434,A433:A1032,[1]Sheet3!V301:V900)</f>
        <v>0.15450214991710562</v>
      </c>
      <c r="R434" s="7">
        <f>_xlfn.XLOOKUP(A434,A433:A1032,[1]Sheet3!W301:W900)</f>
        <v>64.95</v>
      </c>
      <c r="S434" t="str">
        <f>_xlfn.XLOOKUP(A434,A433:A1032,[1]Sheet3!X301:X900)</f>
        <v>Debit Card</v>
      </c>
      <c r="T434" s="5">
        <f>_xlfn.XLOOKUP(A434,A433:A1032,[1]Sheet3!Z301:Z900)</f>
        <v>3</v>
      </c>
      <c r="U434" t="b">
        <f>_xlfn.XLOOKUP(A434,A433:A1032,[1]Sheet3!AA301:AA900)</f>
        <v>1</v>
      </c>
      <c r="V434" t="str">
        <f>_xlfn.XLOOKUP(A434,A433:A1032,[1]Sheet3!AC301:AC900)</f>
        <v>Returned</v>
      </c>
      <c r="W434" s="5">
        <f>_xlfn.XLOOKUP(A434,A433:A1032,[1]Sheet3!AE301:AE900)</f>
        <v>7</v>
      </c>
    </row>
    <row r="435" spans="1:23" x14ac:dyDescent="0.35">
      <c r="A435" t="s">
        <v>285</v>
      </c>
      <c r="B435" s="1">
        <f>_xlfn.XLOOKUP(A435,A434:A1033,[1]Sheet3!C314:C913)</f>
        <v>45137</v>
      </c>
      <c r="C435" t="str">
        <f>_xlfn.XLOOKUP(A435,A434:A1033,[1]Sheet3!D314:D913)</f>
        <v>CUST11433</v>
      </c>
      <c r="D435" t="str">
        <f>_xlfn.XLOOKUP(A435,A434:A1033,[1]Sheet3!E314:E913)</f>
        <v>Aditya Shah</v>
      </c>
      <c r="E435" s="5">
        <f>_xlfn.XLOOKUP(A435,A434:A1033,[1]Sheet3!G314:G913)</f>
        <v>49</v>
      </c>
      <c r="F435" t="str">
        <f>_xlfn.XLOOKUP('Retail Sales'!A315,'Retail Sales'!A314:A913,[1]Sheet3!H314:H913)</f>
        <v>Adult</v>
      </c>
      <c r="G435" t="str">
        <f>_xlfn.XLOOKUP(A435,A434:A1033,[1]Sheet3!J314:J913)</f>
        <v>Other</v>
      </c>
      <c r="H435" t="str">
        <f>_xlfn.XLOOKUP(A435,A434:A1033,[1]Sheet3!K314:K913)</f>
        <v>North</v>
      </c>
      <c r="I435" t="str">
        <f>_xlfn.XLOOKUP(A435,A434:A1033,[1]Sheet3!L314:L913)</f>
        <v>Chandigarh</v>
      </c>
      <c r="J435" t="str">
        <f>_xlfn.XLOOKUP(A435,A434:A1033,[1]Sheet3!M314:M913)</f>
        <v>Groceries</v>
      </c>
      <c r="K435" t="str">
        <f>_xlfn.XLOOKUP('Retail Sales'!A315,'Retail Sales'!A314:A913,[1]Sheet3!N314:N913)</f>
        <v>Dal (1kg)</v>
      </c>
      <c r="L435" s="5">
        <f>_xlfn.XLOOKUP(A435,A434:A1033,[1]Sheet3!P314:P913)</f>
        <v>7.0954861111111107</v>
      </c>
      <c r="M435" s="7">
        <f>_xlfn.XLOOKUP(A435,A434:A1033,[1]Sheet3!Q314:Q913)</f>
        <v>380.49</v>
      </c>
      <c r="N435" s="9">
        <f>_xlfn.XLOOKUP(A435,A434:A1033,[1]Sheet3!S314:S913)</f>
        <v>0.36</v>
      </c>
      <c r="O435" s="7">
        <f>_xlfn.XLOOKUP(A435,A434:A1033,[1]Sheet3!T314:T913)</f>
        <v>368.28</v>
      </c>
      <c r="P435" s="7">
        <f>_xlfn.XLOOKUP(A435,A434:A1033,[1]Sheet3!U314:U913)</f>
        <v>36.06</v>
      </c>
      <c r="Q435" s="11">
        <f>_xlfn.XLOOKUP(A435,A434:A1033,[1]Sheet3!V314:V913)</f>
        <v>9.7914630172694708E-2</v>
      </c>
      <c r="R435" s="7">
        <f>_xlfn.XLOOKUP(A435,A434:A1033,[1]Sheet3!W314:W913)</f>
        <v>27.57</v>
      </c>
      <c r="S435" t="str">
        <f>_xlfn.XLOOKUP(A435,A434:A1033,[1]Sheet3!X314:X913)</f>
        <v>EMI</v>
      </c>
      <c r="T435" s="5">
        <f>_xlfn.XLOOKUP(A435,A434:A1033,[1]Sheet3!Z314:Z913)</f>
        <v>5</v>
      </c>
      <c r="U435" t="b">
        <f>_xlfn.XLOOKUP(A435,A434:A1033,[1]Sheet3!AA314:AA913)</f>
        <v>0</v>
      </c>
      <c r="V435" t="str">
        <f>_xlfn.XLOOKUP(A435,A434:A1033,[1]Sheet3!AC314:AC913)</f>
        <v>Delivered</v>
      </c>
      <c r="W435" s="5">
        <f>_xlfn.XLOOKUP(A435,A434:A1033,[1]Sheet3!AE314:AE913)</f>
        <v>1</v>
      </c>
    </row>
    <row r="436" spans="1:23" x14ac:dyDescent="0.35">
      <c r="A436" t="s">
        <v>276</v>
      </c>
      <c r="B436" s="1">
        <f>_xlfn.XLOOKUP(A436,A435:A1034,[1]Sheet3!C323:C922)</f>
        <v>45137</v>
      </c>
      <c r="C436" t="str">
        <f>_xlfn.XLOOKUP(A436,A435:A1034,[1]Sheet3!D323:D922)</f>
        <v>CUST13941</v>
      </c>
      <c r="D436" t="str">
        <f>_xlfn.XLOOKUP(A436,A435:A1034,[1]Sheet3!E323:E922)</f>
        <v>Ritu Sharma</v>
      </c>
      <c r="E436" s="5">
        <f>_xlfn.XLOOKUP(A436,A435:A1034,[1]Sheet3!G323:G922)</f>
        <v>34</v>
      </c>
      <c r="F436" t="str">
        <f>_xlfn.XLOOKUP('Retail Sales'!A324,'Retail Sales'!A323:A922,[1]Sheet3!H323:H922)</f>
        <v>Young Adult</v>
      </c>
      <c r="G436" t="str">
        <f>_xlfn.XLOOKUP(A436,A435:A1034,[1]Sheet3!J323:J922)</f>
        <v>Other</v>
      </c>
      <c r="H436" t="str">
        <f>_xlfn.XLOOKUP(A436,A435:A1034,[1]Sheet3!K323:K922)</f>
        <v>South</v>
      </c>
      <c r="I436" t="str">
        <f>_xlfn.XLOOKUP(A436,A435:A1034,[1]Sheet3!L323:L922)</f>
        <v>Hyderabad</v>
      </c>
      <c r="J436" t="str">
        <f>_xlfn.XLOOKUP(A436,A435:A1034,[1]Sheet3!M323:M922)</f>
        <v>Electronics</v>
      </c>
      <c r="K436" t="str">
        <f>_xlfn.XLOOKUP('Retail Sales'!A324,'Retail Sales'!A323:A922,[1]Sheet3!N323:N922)</f>
        <v>Camera</v>
      </c>
      <c r="L436" s="5">
        <f>_xlfn.XLOOKUP(A436,A435:A1034,[1]Sheet3!P323:P922)</f>
        <v>4</v>
      </c>
      <c r="M436" s="7">
        <f>_xlfn.XLOOKUP(A436,A435:A1034,[1]Sheet3!Q323:Q922)</f>
        <v>66643.149999999994</v>
      </c>
      <c r="N436" s="9">
        <f>_xlfn.XLOOKUP(A436,A435:A1034,[1]Sheet3!S323:S922)</f>
        <v>0.14000000000000001</v>
      </c>
      <c r="O436" s="7">
        <f>_xlfn.XLOOKUP(A436,A435:A1034,[1]Sheet3!T323:T922)</f>
        <v>325899.40000000002</v>
      </c>
      <c r="P436" s="7">
        <f>_xlfn.XLOOKUP(A436,A435:A1034,[1]Sheet3!U323:U922)</f>
        <v>40690.870000000003</v>
      </c>
      <c r="Q436" s="11">
        <f>_xlfn.XLOOKUP(A436,A435:A1034,[1]Sheet3!V323:V922)</f>
        <v>0.1248571491693449</v>
      </c>
      <c r="R436" s="7">
        <f>_xlfn.XLOOKUP(A436,A435:A1034,[1]Sheet3!W323:W922)</f>
        <v>51.43</v>
      </c>
      <c r="S436" t="str">
        <f>_xlfn.XLOOKUP(A436,A435:A1034,[1]Sheet3!X323:X922)</f>
        <v>Cash on Delivery</v>
      </c>
      <c r="T436" s="5">
        <f>_xlfn.XLOOKUP(A436,A435:A1034,[1]Sheet3!Z323:Z922)</f>
        <v>1</v>
      </c>
      <c r="U436" t="b">
        <f>_xlfn.XLOOKUP(A436,A435:A1034,[1]Sheet3!AA323:AA922)</f>
        <v>0</v>
      </c>
      <c r="V436" t="str">
        <f>_xlfn.XLOOKUP(A436,A435:A1034,[1]Sheet3!AC323:AC922)</f>
        <v>Delivered</v>
      </c>
      <c r="W436" s="5">
        <f>_xlfn.XLOOKUP(A436,A435:A1034,[1]Sheet3!AE323:AE922)</f>
        <v>3</v>
      </c>
    </row>
    <row r="437" spans="1:23" x14ac:dyDescent="0.35">
      <c r="A437" t="s">
        <v>6</v>
      </c>
      <c r="B437" s="1">
        <f>_xlfn.XLOOKUP(A437,A436:A1035,[1]Sheet3!C593:C1192)</f>
        <v>45142</v>
      </c>
      <c r="C437" t="str">
        <f>_xlfn.XLOOKUP(A437,A436:A1035,[1]Sheet3!D593:D1192)</f>
        <v>CUST20866</v>
      </c>
      <c r="D437" t="str">
        <f>_xlfn.XLOOKUP(A437,A436:A1035,[1]Sheet3!E593:E1192)</f>
        <v>Kavya Rao</v>
      </c>
      <c r="E437" s="5">
        <f>_xlfn.XLOOKUP(A437,A436:A1035,[1]Sheet3!G593:G1192)</f>
        <v>26</v>
      </c>
      <c r="F437" t="str">
        <f>_xlfn.XLOOKUP('Retail Sales'!A594,'Retail Sales'!A593:A1192,[1]Sheet3!H593:H1192)</f>
        <v>Young Adult</v>
      </c>
      <c r="G437" t="str">
        <f>_xlfn.XLOOKUP(A437,A436:A1035,[1]Sheet3!J593:J1192)</f>
        <v>Female</v>
      </c>
      <c r="H437" t="str">
        <f>_xlfn.XLOOKUP(A437,A436:A1035,[1]Sheet3!K593:K1192)</f>
        <v>West</v>
      </c>
      <c r="I437" t="str">
        <f>_xlfn.XLOOKUP(A437,A436:A1035,[1]Sheet3!L593:L1192)</f>
        <v>Pune</v>
      </c>
      <c r="J437" t="str">
        <f>_xlfn.XLOOKUP(A437,A436:A1035,[1]Sheet3!M593:M1192)</f>
        <v>Sports</v>
      </c>
      <c r="K437" t="str">
        <f>_xlfn.XLOOKUP('Retail Sales'!A594,'Retail Sales'!A593:A1192,[1]Sheet3!N593:N1192)</f>
        <v>Yoga Mat</v>
      </c>
      <c r="L437" s="5">
        <f>_xlfn.XLOOKUP(A437,A436:A1035,[1]Sheet3!P593:P1192)</f>
        <v>10</v>
      </c>
      <c r="M437" s="7">
        <f>_xlfn.XLOOKUP(A437,A436:A1035,[1]Sheet3!Q593:Q1192)</f>
        <v>10231.86</v>
      </c>
      <c r="N437" s="9">
        <f>_xlfn.XLOOKUP(A437,A436:A1035,[1]Sheet3!S593:S1192)</f>
        <v>0.33</v>
      </c>
      <c r="O437" s="7">
        <f>_xlfn.XLOOKUP(A437,A436:A1035,[1]Sheet3!T593:T1192)</f>
        <v>98825.46</v>
      </c>
      <c r="P437" s="7">
        <f>_xlfn.XLOOKUP(A437,A436:A1035,[1]Sheet3!U593:U1192)</f>
        <v>17642.86</v>
      </c>
      <c r="Q437" s="11">
        <f>_xlfn.XLOOKUP(A437,A436:A1035,[1]Sheet3!V593:V1192)</f>
        <v>0.1785254528539508</v>
      </c>
      <c r="R437" s="7">
        <f>_xlfn.XLOOKUP(A437,A436:A1035,[1]Sheet3!W593:W1192)</f>
        <v>40.200000000000003</v>
      </c>
      <c r="S437" t="str">
        <f>_xlfn.XLOOKUP(A437,A436:A1035,[1]Sheet3!X593:X1192)</f>
        <v>Credit Card</v>
      </c>
      <c r="T437" s="5">
        <f>_xlfn.XLOOKUP(A437,A436:A1035,[1]Sheet3!Z593:Z1192)</f>
        <v>2</v>
      </c>
      <c r="U437" t="b">
        <f>_xlfn.XLOOKUP(A437,A436:A1035,[1]Sheet3!AA593:AA1192)</f>
        <v>0</v>
      </c>
      <c r="V437" t="str">
        <f>_xlfn.XLOOKUP(A437,A436:A1035,[1]Sheet3!AC593:AC1192)</f>
        <v>Delivered</v>
      </c>
      <c r="W437" s="5">
        <f>_xlfn.XLOOKUP(A437,A436:A1035,[1]Sheet3!AE593:AE1192)</f>
        <v>9</v>
      </c>
    </row>
    <row r="438" spans="1:23" x14ac:dyDescent="0.35">
      <c r="A438" t="s">
        <v>300</v>
      </c>
      <c r="B438" s="1">
        <f>_xlfn.XLOOKUP(A438,A437:A1036,[1]Sheet3!C299:C898)</f>
        <v>45142</v>
      </c>
      <c r="C438" t="str">
        <f>_xlfn.XLOOKUP(A438,A437:A1036,[1]Sheet3!D299:D898)</f>
        <v>CUST15879</v>
      </c>
      <c r="D438" t="str">
        <f>_xlfn.XLOOKUP(A438,A437:A1036,[1]Sheet3!E299:E898)</f>
        <v>Kavya Pillai</v>
      </c>
      <c r="E438" s="5">
        <f>_xlfn.XLOOKUP(A438,A437:A1036,[1]Sheet3!G299:G898)</f>
        <v>24</v>
      </c>
      <c r="F438" t="str">
        <f>_xlfn.XLOOKUP('Retail Sales'!A300,'Retail Sales'!A299:A898,[1]Sheet3!H299:H898)</f>
        <v>Young Adult</v>
      </c>
      <c r="G438" t="str">
        <f>_xlfn.XLOOKUP(A438,A437:A1036,[1]Sheet3!J299:J898)</f>
        <v>Other</v>
      </c>
      <c r="H438" t="str">
        <f>_xlfn.XLOOKUP(A438,A437:A1036,[1]Sheet3!K299:K898)</f>
        <v>North</v>
      </c>
      <c r="I438" t="str">
        <f>_xlfn.XLOOKUP(A438,A437:A1036,[1]Sheet3!L299:L898)</f>
        <v>Delhi</v>
      </c>
      <c r="J438" t="str">
        <f>_xlfn.XLOOKUP(A438,A437:A1036,[1]Sheet3!M299:M898)</f>
        <v>Groceries</v>
      </c>
      <c r="K438" t="str">
        <f>_xlfn.XLOOKUP('Retail Sales'!A300,'Retail Sales'!A299:A898,[1]Sheet3!N299:N898)</f>
        <v>Flour</v>
      </c>
      <c r="L438" s="5">
        <f>_xlfn.XLOOKUP(A438,A437:A1036,[1]Sheet3!P299:P898)</f>
        <v>6</v>
      </c>
      <c r="M438" s="7">
        <f>_xlfn.XLOOKUP(A438,A437:A1036,[1]Sheet3!Q299:Q898)</f>
        <v>184.04</v>
      </c>
      <c r="N438" s="9">
        <f>_xlfn.XLOOKUP(A438,A437:A1036,[1]Sheet3!S299:S898)</f>
        <v>0.32</v>
      </c>
      <c r="O438" s="7">
        <f>_xlfn.XLOOKUP(A438,A437:A1036,[1]Sheet3!T299:T898)</f>
        <v>1193.08</v>
      </c>
      <c r="P438" s="7">
        <f>_xlfn.XLOOKUP(A438,A437:A1036,[1]Sheet3!U299:U898)</f>
        <v>80.930000000000007</v>
      </c>
      <c r="Q438" s="11">
        <f>_xlfn.XLOOKUP(A438,A437:A1036,[1]Sheet3!V299:V898)</f>
        <v>6.7832836021054763E-2</v>
      </c>
      <c r="R438" s="7">
        <f>_xlfn.XLOOKUP(A438,A437:A1036,[1]Sheet3!W299:W898)</f>
        <v>70.55</v>
      </c>
      <c r="S438" t="str">
        <f>_xlfn.XLOOKUP(A438,A437:A1036,[1]Sheet3!X299:X898)</f>
        <v>Credit Card</v>
      </c>
      <c r="T438" s="5">
        <f>_xlfn.XLOOKUP(A438,A437:A1036,[1]Sheet3!Z299:Z898)</f>
        <v>5</v>
      </c>
      <c r="U438" t="b">
        <f>_xlfn.XLOOKUP(A438,A437:A1036,[1]Sheet3!AA299:AA898)</f>
        <v>0</v>
      </c>
      <c r="V438" t="str">
        <f>_xlfn.XLOOKUP(A438,A437:A1036,[1]Sheet3!AC299:AC898)</f>
        <v>Delivered</v>
      </c>
      <c r="W438" s="5">
        <f>_xlfn.XLOOKUP(A438,A437:A1036,[1]Sheet3!AE299:AE898)</f>
        <v>1</v>
      </c>
    </row>
    <row r="439" spans="1:23" x14ac:dyDescent="0.35">
      <c r="A439" t="s">
        <v>546</v>
      </c>
      <c r="B439" s="1">
        <f>_xlfn.XLOOKUP(A439,A438:A1037,[1]Sheet3!C53:C652)</f>
        <v>45143</v>
      </c>
      <c r="C439" t="str">
        <f>_xlfn.XLOOKUP(A439,A438:A1037,[1]Sheet3!D53:D652)</f>
        <v>CUST52453</v>
      </c>
      <c r="D439" t="str">
        <f>_xlfn.XLOOKUP(A439,A438:A1037,[1]Sheet3!E53:E652)</f>
        <v>Vikram Shah</v>
      </c>
      <c r="E439" s="5">
        <f>_xlfn.XLOOKUP(A439,A438:A1037,[1]Sheet3!G53:G652)</f>
        <v>34</v>
      </c>
      <c r="F439" t="str">
        <f>_xlfn.XLOOKUP('Retail Sales'!A54,'Retail Sales'!A53:A652,[1]Sheet3!H53:H652)</f>
        <v>Young Adult</v>
      </c>
      <c r="G439" t="str">
        <f>_xlfn.XLOOKUP(A439,A438:A1037,[1]Sheet3!J53:J652)</f>
        <v>Other</v>
      </c>
      <c r="H439" t="str">
        <f>_xlfn.XLOOKUP(A439,A438:A1037,[1]Sheet3!K53:K652)</f>
        <v>North</v>
      </c>
      <c r="I439" t="str">
        <f>_xlfn.XLOOKUP(A439,A438:A1037,[1]Sheet3!L53:L652)</f>
        <v>Amritsar</v>
      </c>
      <c r="J439" t="str">
        <f>_xlfn.XLOOKUP(A439,A438:A1037,[1]Sheet3!M53:M652)</f>
        <v>Groceries</v>
      </c>
      <c r="K439" t="str">
        <f>_xlfn.XLOOKUP('Retail Sales'!A54,'Retail Sales'!A53:A652,[1]Sheet3!N53:N652)</f>
        <v>Sugar</v>
      </c>
      <c r="L439" s="5">
        <f>_xlfn.XLOOKUP(A439,A438:A1037,[1]Sheet3!P53:P652)</f>
        <v>7</v>
      </c>
      <c r="M439" s="7">
        <f>_xlfn.XLOOKUP(A439,A438:A1037,[1]Sheet3!Q53:Q652)</f>
        <v>315.62</v>
      </c>
      <c r="N439" s="9">
        <f>_xlfn.XLOOKUP(A439,A438:A1037,[1]Sheet3!S53:S652)</f>
        <v>0.28000000000000003</v>
      </c>
      <c r="O439" s="7">
        <f>_xlfn.XLOOKUP(A439,A438:A1037,[1]Sheet3!T53:T652)</f>
        <v>2026.01</v>
      </c>
      <c r="P439" s="7">
        <f>_xlfn.XLOOKUP(A439,A438:A1037,[1]Sheet3!U53:U652)</f>
        <v>104.43</v>
      </c>
      <c r="Q439" s="11">
        <f>_xlfn.XLOOKUP(A439,A438:A1037,[1]Sheet3!V53:V652)</f>
        <v>5.1544661674917697E-2</v>
      </c>
      <c r="R439" s="7">
        <f>_xlfn.XLOOKUP(A439,A438:A1037,[1]Sheet3!W53:W652)</f>
        <v>72.63</v>
      </c>
      <c r="S439" t="str">
        <f>_xlfn.XLOOKUP(A439,A438:A1037,[1]Sheet3!X53:X652)</f>
        <v>Credit Card</v>
      </c>
      <c r="T439" s="5">
        <f>_xlfn.XLOOKUP(A439,A438:A1037,[1]Sheet3!Z53:Z652)</f>
        <v>5</v>
      </c>
      <c r="U439" t="b">
        <f>_xlfn.XLOOKUP(A439,A438:A1037,[1]Sheet3!AA53:AA652)</f>
        <v>0</v>
      </c>
      <c r="V439" t="str">
        <f>_xlfn.XLOOKUP(A439,A438:A1037,[1]Sheet3!AC53:AC652)</f>
        <v>Delivered</v>
      </c>
      <c r="W439" s="5">
        <f>_xlfn.XLOOKUP(A439,A438:A1037,[1]Sheet3!AE53:AE652)</f>
        <v>7</v>
      </c>
    </row>
    <row r="440" spans="1:23" x14ac:dyDescent="0.35">
      <c r="A440" t="s">
        <v>119</v>
      </c>
      <c r="B440" s="1">
        <f>_xlfn.XLOOKUP(A440,A439:A1038,[1]Sheet3!C480:C1079)</f>
        <v>45143</v>
      </c>
      <c r="C440" t="str">
        <f>_xlfn.XLOOKUP(A440,A439:A1038,[1]Sheet3!D480:D1079)</f>
        <v>CUST76477</v>
      </c>
      <c r="D440" t="str">
        <f>_xlfn.XLOOKUP(A440,A439:A1038,[1]Sheet3!E480:E1079)</f>
        <v>Sunita Bose</v>
      </c>
      <c r="E440" s="5">
        <f>_xlfn.XLOOKUP(A440,A439:A1038,[1]Sheet3!G480:G1079)</f>
        <v>33</v>
      </c>
      <c r="F440" t="str">
        <f>_xlfn.XLOOKUP('Retail Sales'!A481,'Retail Sales'!A480:A1079,[1]Sheet3!H480:H1079)</f>
        <v>Young Adult</v>
      </c>
      <c r="G440" t="str">
        <f>_xlfn.XLOOKUP(A440,A439:A1038,[1]Sheet3!J480:J1079)</f>
        <v>Female</v>
      </c>
      <c r="H440" t="str">
        <f>_xlfn.XLOOKUP(A440,A439:A1038,[1]Sheet3!K480:K1079)</f>
        <v>East</v>
      </c>
      <c r="I440" t="str">
        <f>_xlfn.XLOOKUP(A440,A439:A1038,[1]Sheet3!L480:L1079)</f>
        <v>Guwahati</v>
      </c>
      <c r="J440" t="str">
        <f>_xlfn.XLOOKUP(A440,A439:A1038,[1]Sheet3!M480:M1079)</f>
        <v>Furniture</v>
      </c>
      <c r="K440" t="str">
        <f>_xlfn.XLOOKUP('Retail Sales'!A481,'Retail Sales'!A480:A1079,[1]Sheet3!N480:N1079)</f>
        <v>Chair</v>
      </c>
      <c r="L440" s="5">
        <f>_xlfn.XLOOKUP(A440,A439:A1038,[1]Sheet3!P480:P1079)</f>
        <v>2</v>
      </c>
      <c r="M440" s="7">
        <f>_xlfn.XLOOKUP(A440,A439:A1038,[1]Sheet3!Q480:Q1079)</f>
        <v>27227.5</v>
      </c>
      <c r="N440" s="9">
        <f>_xlfn.XLOOKUP(A440,A439:A1038,[1]Sheet3!S480:S1079)</f>
        <v>0.27</v>
      </c>
      <c r="O440" s="7">
        <f>_xlfn.XLOOKUP(A440,A439:A1038,[1]Sheet3!T480:T1079)</f>
        <v>53652.43</v>
      </c>
      <c r="P440" s="7">
        <f>_xlfn.XLOOKUP(A440,A439:A1038,[1]Sheet3!U480:U1079)</f>
        <v>18467.900000000001</v>
      </c>
      <c r="Q440" s="11">
        <f>_xlfn.XLOOKUP(A440,A439:A1038,[1]Sheet3!V480:V1079)</f>
        <v>0.34421367308060419</v>
      </c>
      <c r="R440" s="7">
        <f>_xlfn.XLOOKUP(A440,A439:A1038,[1]Sheet3!W480:W1079)</f>
        <v>69.069999999999993</v>
      </c>
      <c r="S440" t="str">
        <f>_xlfn.XLOOKUP(A440,A439:A1038,[1]Sheet3!X480:X1079)</f>
        <v>Net Banking</v>
      </c>
      <c r="T440" s="5">
        <f>_xlfn.XLOOKUP(A440,A439:A1038,[1]Sheet3!Z480:Z1079)</f>
        <v>5</v>
      </c>
      <c r="U440" t="b">
        <f>_xlfn.XLOOKUP(A440,A439:A1038,[1]Sheet3!AA480:AA1079)</f>
        <v>0</v>
      </c>
      <c r="V440" t="str">
        <f>_xlfn.XLOOKUP(A440,A439:A1038,[1]Sheet3!AC480:AC1079)</f>
        <v>Delivered</v>
      </c>
      <c r="W440" s="5">
        <f>_xlfn.XLOOKUP(A440,A439:A1038,[1]Sheet3!AE480:AE1079)</f>
        <v>9</v>
      </c>
    </row>
    <row r="441" spans="1:23" x14ac:dyDescent="0.35">
      <c r="A441" t="s">
        <v>203</v>
      </c>
      <c r="B441" s="1">
        <f>_xlfn.XLOOKUP(A441,A440:A1039,[1]Sheet3!C396:C995)</f>
        <v>45143</v>
      </c>
      <c r="C441" t="str">
        <f>_xlfn.XLOOKUP(A441,A440:A1039,[1]Sheet3!D396:D995)</f>
        <v>CUST76199</v>
      </c>
      <c r="D441" t="str">
        <f>_xlfn.XLOOKUP(A441,A440:A1039,[1]Sheet3!E396:E995)</f>
        <v>Meera Pillai</v>
      </c>
      <c r="E441" s="5">
        <f>_xlfn.XLOOKUP(A441,A440:A1039,[1]Sheet3!G396:G995)</f>
        <v>60</v>
      </c>
      <c r="F441" t="str">
        <f>_xlfn.XLOOKUP('Retail Sales'!A397,'Retail Sales'!A396:A995,[1]Sheet3!H396:H995)</f>
        <v>Senior</v>
      </c>
      <c r="G441" t="str">
        <f>_xlfn.XLOOKUP(A441,A440:A1039,[1]Sheet3!J396:J995)</f>
        <v>Other</v>
      </c>
      <c r="H441" t="str">
        <f>_xlfn.XLOOKUP(A441,A440:A1039,[1]Sheet3!K396:K995)</f>
        <v>West</v>
      </c>
      <c r="I441" t="str">
        <f>_xlfn.XLOOKUP(A441,A440:A1039,[1]Sheet3!L396:L995)</f>
        <v>Ahmedabad</v>
      </c>
      <c r="J441" t="str">
        <f>_xlfn.XLOOKUP(A441,A440:A1039,[1]Sheet3!M396:M995)</f>
        <v>Sports</v>
      </c>
      <c r="K441" t="str">
        <f>_xlfn.XLOOKUP('Retail Sales'!A397,'Retail Sales'!A396:A995,[1]Sheet3!N396:N995)</f>
        <v>Tennis Racket</v>
      </c>
      <c r="L441" s="5">
        <f>_xlfn.XLOOKUP(A441,A440:A1039,[1]Sheet3!P396:P995)</f>
        <v>3</v>
      </c>
      <c r="M441" s="7">
        <f>_xlfn.XLOOKUP(A441,A440:A1039,[1]Sheet3!Q396:Q995)</f>
        <v>6247.18</v>
      </c>
      <c r="N441" s="9">
        <f>_xlfn.XLOOKUP(A441,A440:A1039,[1]Sheet3!S396:S995)</f>
        <v>0.23</v>
      </c>
      <c r="O441" s="7">
        <f>_xlfn.XLOOKUP(A441,A440:A1039,[1]Sheet3!T396:T995)</f>
        <v>19652.060000000001</v>
      </c>
      <c r="P441" s="7">
        <f>_xlfn.XLOOKUP(A441,A440:A1039,[1]Sheet3!U396:U995)</f>
        <v>5128.8900000000003</v>
      </c>
      <c r="Q441" s="11">
        <f>_xlfn.XLOOKUP(A441,A440:A1039,[1]Sheet3!V396:V995)</f>
        <v>0.2609848534962747</v>
      </c>
      <c r="R441" s="7">
        <f>_xlfn.XLOOKUP(A441,A440:A1039,[1]Sheet3!W396:W995)</f>
        <v>52.48</v>
      </c>
      <c r="S441" t="str">
        <f>_xlfn.XLOOKUP(A441,A440:A1039,[1]Sheet3!X396:X995)</f>
        <v>Credit Card</v>
      </c>
      <c r="T441" s="5">
        <f>_xlfn.XLOOKUP(A441,A440:A1039,[1]Sheet3!Z396:Z995)</f>
        <v>4</v>
      </c>
      <c r="U441" t="b">
        <f>_xlfn.XLOOKUP(A441,A440:A1039,[1]Sheet3!AA396:AA995)</f>
        <v>0</v>
      </c>
      <c r="V441" t="str">
        <f>_xlfn.XLOOKUP(A441,A440:A1039,[1]Sheet3!AC396:AC995)</f>
        <v>Delivered</v>
      </c>
      <c r="W441" s="5">
        <f>_xlfn.XLOOKUP(A441,A440:A1039,[1]Sheet3!AE396:AE995)</f>
        <v>7</v>
      </c>
    </row>
    <row r="442" spans="1:23" x14ac:dyDescent="0.35">
      <c r="A442" t="s">
        <v>314</v>
      </c>
      <c r="B442" s="1">
        <f>_xlfn.XLOOKUP(A442,A441:A1040,[1]Sheet3!C285:C884)</f>
        <v>45147</v>
      </c>
      <c r="C442" t="str">
        <f>_xlfn.XLOOKUP(A442,A441:A1040,[1]Sheet3!D285:D884)</f>
        <v>CUST48817</v>
      </c>
      <c r="D442" t="str">
        <f>_xlfn.XLOOKUP(A442,A441:A1040,[1]Sheet3!E285:E884)</f>
        <v>Karan Singh</v>
      </c>
      <c r="E442" s="5">
        <f>_xlfn.XLOOKUP(A442,A441:A1040,[1]Sheet3!G285:G884)</f>
        <v>25</v>
      </c>
      <c r="F442" t="str">
        <f>_xlfn.XLOOKUP('Retail Sales'!A286,'Retail Sales'!A285:A884,[1]Sheet3!H285:H884)</f>
        <v>Young Adult</v>
      </c>
      <c r="G442" t="str">
        <f>_xlfn.XLOOKUP(A442,A441:A1040,[1]Sheet3!J285:J884)</f>
        <v>Male</v>
      </c>
      <c r="H442" t="str">
        <f>_xlfn.XLOOKUP(A442,A441:A1040,[1]Sheet3!K285:K884)</f>
        <v>North</v>
      </c>
      <c r="I442" t="str">
        <f>_xlfn.XLOOKUP(A442,A441:A1040,[1]Sheet3!L285:L884)</f>
        <v>Amritsar</v>
      </c>
      <c r="J442" t="str">
        <f>_xlfn.XLOOKUP(A442,A441:A1040,[1]Sheet3!M285:M884)</f>
        <v>Clothing</v>
      </c>
      <c r="K442" t="str">
        <f>_xlfn.XLOOKUP('Retail Sales'!A286,'Retail Sales'!A285:A884,[1]Sheet3!N285:N884)</f>
        <v>Saree</v>
      </c>
      <c r="L442" s="5">
        <f>_xlfn.XLOOKUP(A442,A441:A1040,[1]Sheet3!P285:P884)</f>
        <v>2</v>
      </c>
      <c r="M442" s="7">
        <f>_xlfn.XLOOKUP(A442,A441:A1040,[1]Sheet3!Q285:Q884)</f>
        <v>3266.34</v>
      </c>
      <c r="N442" s="9">
        <f>_xlfn.XLOOKUP(A442,A441:A1040,[1]Sheet3!S285:S884)</f>
        <v>0</v>
      </c>
      <c r="O442" s="7">
        <f>_xlfn.XLOOKUP(A442,A441:A1040,[1]Sheet3!T285:T884)</f>
        <v>9066.91</v>
      </c>
      <c r="P442" s="7">
        <f>_xlfn.XLOOKUP(A442,A441:A1040,[1]Sheet3!U285:U884)</f>
        <v>3755.8</v>
      </c>
      <c r="Q442" s="11">
        <f>_xlfn.XLOOKUP(A442,A441:A1040,[1]Sheet3!V285:V884)</f>
        <v>0.41423152981556011</v>
      </c>
      <c r="R442" s="7">
        <f>_xlfn.XLOOKUP(A442,A441:A1040,[1]Sheet3!W285:W884)</f>
        <v>51.58</v>
      </c>
      <c r="S442" t="str">
        <f>_xlfn.XLOOKUP(A442,A441:A1040,[1]Sheet3!X285:X884)</f>
        <v>Cash on Delivery</v>
      </c>
      <c r="T442" s="5">
        <f>_xlfn.XLOOKUP(A442,A441:A1040,[1]Sheet3!Z285:Z884)</f>
        <v>5</v>
      </c>
      <c r="U442" t="b">
        <f>_xlfn.XLOOKUP(A442,A441:A1040,[1]Sheet3!AA285:AA884)</f>
        <v>0</v>
      </c>
      <c r="V442" t="str">
        <f>_xlfn.XLOOKUP(A442,A441:A1040,[1]Sheet3!AC285:AC884)</f>
        <v>Delivered</v>
      </c>
      <c r="W442" s="5">
        <f>_xlfn.XLOOKUP(A442,A441:A1040,[1]Sheet3!AE285:AE884)</f>
        <v>1</v>
      </c>
    </row>
    <row r="443" spans="1:23" x14ac:dyDescent="0.35">
      <c r="A443" t="s">
        <v>65</v>
      </c>
      <c r="B443" s="1">
        <f>_xlfn.XLOOKUP(A443,A442:A1041,[1]Sheet3!C534:C1133)</f>
        <v>45151</v>
      </c>
      <c r="C443" t="str">
        <f>_xlfn.XLOOKUP(A443,A442:A1041,[1]Sheet3!D534:D1133)</f>
        <v>CUST70734</v>
      </c>
      <c r="D443" t="str">
        <f>_xlfn.XLOOKUP(A443,A442:A1041,[1]Sheet3!E534:E1133)</f>
        <v>Meera Kumar</v>
      </c>
      <c r="E443" s="5">
        <f>_xlfn.XLOOKUP(A443,A442:A1041,[1]Sheet3!G534:G1133)</f>
        <v>30</v>
      </c>
      <c r="F443" t="str">
        <f>_xlfn.XLOOKUP('Retail Sales'!A535,'Retail Sales'!A534:A1133,[1]Sheet3!H534:H1133)</f>
        <v>Young Adult</v>
      </c>
      <c r="G443" t="str">
        <f>_xlfn.XLOOKUP(A443,A442:A1041,[1]Sheet3!J534:J1133)</f>
        <v>Female</v>
      </c>
      <c r="H443" t="str">
        <f>_xlfn.XLOOKUP(A443,A442:A1041,[1]Sheet3!K534:K1133)</f>
        <v>Central</v>
      </c>
      <c r="I443" t="str">
        <f>_xlfn.XLOOKUP(A443,A442:A1041,[1]Sheet3!L534:L1133)</f>
        <v>Nagpur</v>
      </c>
      <c r="J443" t="str">
        <f>_xlfn.XLOOKUP(A443,A442:A1041,[1]Sheet3!M534:M1133)</f>
        <v>Furniture</v>
      </c>
      <c r="K443" t="str">
        <f>_xlfn.XLOOKUP('Retail Sales'!A535,'Retail Sales'!A534:A1133,[1]Sheet3!N534:N1133)</f>
        <v>Desk</v>
      </c>
      <c r="L443" s="5">
        <f>_xlfn.XLOOKUP(A443,A442:A1041,[1]Sheet3!P534:P1133)</f>
        <v>10</v>
      </c>
      <c r="M443" s="7">
        <f>_xlfn.XLOOKUP(A443,A442:A1041,[1]Sheet3!Q534:Q1133)</f>
        <v>5902.83</v>
      </c>
      <c r="N443" s="9">
        <f>_xlfn.XLOOKUP(A443,A442:A1041,[1]Sheet3!S534:S1133)</f>
        <v>0.26</v>
      </c>
      <c r="O443" s="7">
        <f>_xlfn.XLOOKUP(A443,A442:A1041,[1]Sheet3!T534:T1133)</f>
        <v>61642.35</v>
      </c>
      <c r="P443" s="7">
        <f>_xlfn.XLOOKUP(A443,A442:A1041,[1]Sheet3!U534:U1133)</f>
        <v>21436.01</v>
      </c>
      <c r="Q443" s="11">
        <f>_xlfn.XLOOKUP(A443,A442:A1041,[1]Sheet3!V534:V1133)</f>
        <v>0.34774809850695176</v>
      </c>
      <c r="R443" s="7">
        <f>_xlfn.XLOOKUP(A443,A442:A1041,[1]Sheet3!W534:W1133)</f>
        <v>63.39</v>
      </c>
      <c r="S443" t="str">
        <f>_xlfn.XLOOKUP(A443,A442:A1041,[1]Sheet3!X534:X1133)</f>
        <v>Credit Card</v>
      </c>
      <c r="T443" s="5">
        <f>_xlfn.XLOOKUP(A443,A442:A1041,[1]Sheet3!Z534:Z1133)</f>
        <v>3</v>
      </c>
      <c r="U443" t="b">
        <f>_xlfn.XLOOKUP(A443,A442:A1041,[1]Sheet3!AA534:AA1133)</f>
        <v>0</v>
      </c>
      <c r="V443" t="str">
        <f>_xlfn.XLOOKUP(A443,A442:A1041,[1]Sheet3!AC534:AC1133)</f>
        <v>Delivered</v>
      </c>
      <c r="W443" s="5">
        <f>_xlfn.XLOOKUP(A443,A442:A1041,[1]Sheet3!AE534:AE1133)</f>
        <v>7</v>
      </c>
    </row>
    <row r="444" spans="1:23" x14ac:dyDescent="0.35">
      <c r="A444" t="s">
        <v>167</v>
      </c>
      <c r="B444" s="1">
        <f>_xlfn.XLOOKUP(A444,A443:A1042,[1]Sheet3!C432:C1031)</f>
        <v>45152</v>
      </c>
      <c r="C444" t="str">
        <f>_xlfn.XLOOKUP(A444,A443:A1042,[1]Sheet3!D432:D1031)</f>
        <v>CUST26906</v>
      </c>
      <c r="D444" t="str">
        <f>_xlfn.XLOOKUP(A444,A443:A1042,[1]Sheet3!E432:E1031)</f>
        <v>Nisha Iyer</v>
      </c>
      <c r="E444" s="5">
        <f>_xlfn.XLOOKUP(A444,A443:A1042,[1]Sheet3!G432:G1031)</f>
        <v>39</v>
      </c>
      <c r="F444" t="str">
        <f>_xlfn.XLOOKUP('Retail Sales'!A433,'Retail Sales'!A432:A1031,[1]Sheet3!H432:H1031)</f>
        <v>Adult</v>
      </c>
      <c r="G444" t="str">
        <f>_xlfn.XLOOKUP(A444,A443:A1042,[1]Sheet3!J432:J1031)</f>
        <v>Female</v>
      </c>
      <c r="H444" t="str">
        <f>_xlfn.XLOOKUP(A444,A443:A1042,[1]Sheet3!K432:K1031)</f>
        <v>East</v>
      </c>
      <c r="I444" t="str">
        <f>_xlfn.XLOOKUP(A444,A443:A1042,[1]Sheet3!L432:L1031)</f>
        <v>Patna</v>
      </c>
      <c r="J444" t="str">
        <f>_xlfn.XLOOKUP(A444,A443:A1042,[1]Sheet3!M432:M1031)</f>
        <v>Electronics</v>
      </c>
      <c r="K444" t="str">
        <f>_xlfn.XLOOKUP('Retail Sales'!A433,'Retail Sales'!A432:A1031,[1]Sheet3!N432:N1031)</f>
        <v>Smartphone</v>
      </c>
      <c r="L444" s="5">
        <f>_xlfn.XLOOKUP(A444,A443:A1042,[1]Sheet3!P432:P1031)</f>
        <v>1</v>
      </c>
      <c r="M444" s="7">
        <f>_xlfn.XLOOKUP(A444,A443:A1042,[1]Sheet3!Q432:Q1031)</f>
        <v>34885.370000000003</v>
      </c>
      <c r="N444" s="9">
        <f>_xlfn.XLOOKUP(A444,A443:A1042,[1]Sheet3!S432:S1031)</f>
        <v>0.1</v>
      </c>
      <c r="O444" s="7">
        <f>_xlfn.XLOOKUP(A444,A443:A1042,[1]Sheet3!T432:T1031)</f>
        <v>44683.38</v>
      </c>
      <c r="P444" s="7">
        <f>_xlfn.XLOOKUP(A444,A443:A1042,[1]Sheet3!U432:U1031)</f>
        <v>3420.51</v>
      </c>
      <c r="Q444" s="11">
        <f>_xlfn.XLOOKUP(A444,A443:A1042,[1]Sheet3!V432:V1031)</f>
        <v>7.6549938702040896E-2</v>
      </c>
      <c r="R444" s="7">
        <f>_xlfn.XLOOKUP(A444,A443:A1042,[1]Sheet3!W432:W1031)</f>
        <v>85.38</v>
      </c>
      <c r="S444" t="str">
        <f>_xlfn.XLOOKUP(A444,A443:A1042,[1]Sheet3!X432:X1031)</f>
        <v>Credit Card</v>
      </c>
      <c r="T444" s="5">
        <f>_xlfn.XLOOKUP(A444,A443:A1042,[1]Sheet3!Z432:Z1031)</f>
        <v>4</v>
      </c>
      <c r="U444" t="b">
        <f>_xlfn.XLOOKUP(A444,A443:A1042,[1]Sheet3!AA432:AA1031)</f>
        <v>0</v>
      </c>
      <c r="V444" t="str">
        <f>_xlfn.XLOOKUP(A444,A443:A1042,[1]Sheet3!AC432:AC1031)</f>
        <v>Shipped</v>
      </c>
      <c r="W444" s="5">
        <f>_xlfn.XLOOKUP(A444,A443:A1042,[1]Sheet3!AE432:AE1031)</f>
        <v>3</v>
      </c>
    </row>
    <row r="445" spans="1:23" x14ac:dyDescent="0.35">
      <c r="A445" t="s">
        <v>0</v>
      </c>
      <c r="B445" s="1">
        <f>_xlfn.XLOOKUP(A445,A444:A1043,[1]Sheet3!C599:C1198)</f>
        <v>45156</v>
      </c>
      <c r="C445" t="str">
        <f>_xlfn.XLOOKUP(A445,A444:A1043,[1]Sheet3!D599:D1198)</f>
        <v>CUST82969</v>
      </c>
      <c r="D445" t="str">
        <f>_xlfn.XLOOKUP(A445,A444:A1043,[1]Sheet3!E599:E1198)</f>
        <v>Ritu Joshi</v>
      </c>
      <c r="E445" s="5">
        <f>_xlfn.XLOOKUP(A445,A444:A1043,[1]Sheet3!G599:G1198)</f>
        <v>50</v>
      </c>
      <c r="F445" t="str">
        <f>_xlfn.XLOOKUP('Retail Sales'!A600,'Retail Sales'!A599:A1198,[1]Sheet3!H599:H1198)</f>
        <v>Adult</v>
      </c>
      <c r="G445" t="str">
        <f>_xlfn.XLOOKUP(A445,A444:A1043,[1]Sheet3!J599:J1198)</f>
        <v>Female</v>
      </c>
      <c r="H445" t="str">
        <f>_xlfn.XLOOKUP(A445,A444:A1043,[1]Sheet3!K599:K1198)</f>
        <v>South</v>
      </c>
      <c r="I445" t="str">
        <f>_xlfn.XLOOKUP(A445,A444:A1043,[1]Sheet3!L599:L1198)</f>
        <v>Hyderabad</v>
      </c>
      <c r="J445" t="str">
        <f>_xlfn.XLOOKUP(A445,A444:A1043,[1]Sheet3!M599:M1198)</f>
        <v>Furniture</v>
      </c>
      <c r="K445" t="str">
        <f>_xlfn.XLOOKUP('Retail Sales'!A600,'Retail Sales'!A599:A1198,[1]Sheet3!N599:N1198)</f>
        <v>Wardrobe</v>
      </c>
      <c r="L445" s="5">
        <f>_xlfn.XLOOKUP(A445,A444:A1043,[1]Sheet3!P599:P1198)</f>
        <v>7</v>
      </c>
      <c r="M445" s="7">
        <f>_xlfn.XLOOKUP(A445,A444:A1043,[1]Sheet3!Q599:Q1198)</f>
        <v>34829.83</v>
      </c>
      <c r="N445" s="9">
        <f>_xlfn.XLOOKUP(A445,A444:A1043,[1]Sheet3!S599:S1198)</f>
        <v>0.27</v>
      </c>
      <c r="O445" s="7">
        <f>_xlfn.XLOOKUP(A445,A444:A1043,[1]Sheet3!T599:T1198)</f>
        <v>251225.51</v>
      </c>
      <c r="P445" s="7">
        <f>_xlfn.XLOOKUP(A445,A444:A1043,[1]Sheet3!U599:U1198)</f>
        <v>87253.16</v>
      </c>
      <c r="Q445" s="11">
        <f>_xlfn.XLOOKUP(A445,A444:A1043,[1]Sheet3!V599:V1198)</f>
        <v>0.34731011193887118</v>
      </c>
      <c r="R445" s="7">
        <f>_xlfn.XLOOKUP(A445,A444:A1043,[1]Sheet3!W599:W1198)</f>
        <v>74.92</v>
      </c>
      <c r="S445" t="str">
        <f>_xlfn.XLOOKUP(A445,A444:A1043,[1]Sheet3!X599:X1198)</f>
        <v>EMI</v>
      </c>
      <c r="T445" s="5">
        <f>_xlfn.XLOOKUP(A445,A444:A1043,[1]Sheet3!Z599:Z1198)</f>
        <v>1</v>
      </c>
      <c r="U445" t="b">
        <f>_xlfn.XLOOKUP(A445,A444:A1043,[1]Sheet3!AA599:AA1198)</f>
        <v>0</v>
      </c>
      <c r="V445" t="str">
        <f>_xlfn.XLOOKUP(A445,A444:A1043,[1]Sheet3!AC599:AC1198)</f>
        <v>Delivered</v>
      </c>
      <c r="W445" s="5">
        <f>_xlfn.XLOOKUP(A445,A444:A1043,[1]Sheet3!AE599:AE1198)</f>
        <v>9</v>
      </c>
    </row>
    <row r="446" spans="1:23" x14ac:dyDescent="0.35">
      <c r="A446" t="s">
        <v>71</v>
      </c>
      <c r="B446" s="1">
        <f>_xlfn.XLOOKUP(A446,A445:A1044,[1]Sheet3!C528:C1127)</f>
        <v>45160</v>
      </c>
      <c r="C446" t="str">
        <f>_xlfn.XLOOKUP(A446,A445:A1044,[1]Sheet3!D528:D1127)</f>
        <v>CUST74717</v>
      </c>
      <c r="D446" t="str">
        <f>_xlfn.XLOOKUP(A446,A445:A1044,[1]Sheet3!E528:E1127)</f>
        <v>Ananya Bhat</v>
      </c>
      <c r="E446" s="5">
        <f>_xlfn.XLOOKUP(A446,A445:A1044,[1]Sheet3!G528:G1127)</f>
        <v>24</v>
      </c>
      <c r="F446" t="str">
        <f>_xlfn.XLOOKUP('Retail Sales'!A529,'Retail Sales'!A528:A1127,[1]Sheet3!H528:H1127)</f>
        <v>Young Adult</v>
      </c>
      <c r="G446" t="str">
        <f>_xlfn.XLOOKUP(A446,A445:A1044,[1]Sheet3!J528:J1127)</f>
        <v>Female</v>
      </c>
      <c r="H446" t="str">
        <f>_xlfn.XLOOKUP(A446,A445:A1044,[1]Sheet3!K528:K1127)</f>
        <v>East</v>
      </c>
      <c r="I446" t="str">
        <f>_xlfn.XLOOKUP(A446,A445:A1044,[1]Sheet3!L528:L1127)</f>
        <v>Patna</v>
      </c>
      <c r="J446" t="str">
        <f>_xlfn.XLOOKUP(A446,A445:A1044,[1]Sheet3!M528:M1127)</f>
        <v>Sports</v>
      </c>
      <c r="K446" t="str">
        <f>_xlfn.XLOOKUP('Retail Sales'!A529,'Retail Sales'!A528:A1127,[1]Sheet3!N528:N1127)</f>
        <v>Cricket Bat</v>
      </c>
      <c r="L446" s="5">
        <f>_xlfn.XLOOKUP(A446,A445:A1044,[1]Sheet3!P528:P1127)</f>
        <v>1</v>
      </c>
      <c r="M446" s="7">
        <f>_xlfn.XLOOKUP(A446,A445:A1044,[1]Sheet3!Q528:Q1127)</f>
        <v>7788.48</v>
      </c>
      <c r="N446" s="9">
        <f>_xlfn.XLOOKUP(A446,A445:A1044,[1]Sheet3!S528:S1127)</f>
        <v>0.16</v>
      </c>
      <c r="O446" s="7">
        <f>_xlfn.XLOOKUP(A446,A445:A1044,[1]Sheet3!T528:T1127)</f>
        <v>9678.82</v>
      </c>
      <c r="P446" s="7">
        <f>_xlfn.XLOOKUP(A446,A445:A1044,[1]Sheet3!U528:U1127)</f>
        <v>2560.56</v>
      </c>
      <c r="Q446" s="11">
        <f>_xlfn.XLOOKUP(A446,A445:A1044,[1]Sheet3!V528:V1127)</f>
        <v>0.26455291037543832</v>
      </c>
      <c r="R446" s="7">
        <f>_xlfn.XLOOKUP(A446,A445:A1044,[1]Sheet3!W528:W1127)</f>
        <v>67.88</v>
      </c>
      <c r="S446" t="str">
        <f>_xlfn.XLOOKUP(A446,A445:A1044,[1]Sheet3!X528:X1127)</f>
        <v>EMI</v>
      </c>
      <c r="T446" s="5">
        <f>_xlfn.XLOOKUP(A446,A445:A1044,[1]Sheet3!Z528:Z1127)</f>
        <v>4</v>
      </c>
      <c r="U446" t="b">
        <f>_xlfn.XLOOKUP(A446,A445:A1044,[1]Sheet3!AA528:AA1127)</f>
        <v>0</v>
      </c>
      <c r="V446" t="str">
        <f>_xlfn.XLOOKUP(A446,A445:A1044,[1]Sheet3!AC528:AC1127)</f>
        <v>Shipped</v>
      </c>
      <c r="W446" s="5">
        <f>_xlfn.XLOOKUP(A446,A445:A1044,[1]Sheet3!AE528:AE1127)</f>
        <v>3</v>
      </c>
    </row>
    <row r="447" spans="1:23" x14ac:dyDescent="0.35">
      <c r="A447" t="s">
        <v>542</v>
      </c>
      <c r="B447" s="1">
        <f>_xlfn.XLOOKUP(A447,A446:A1045,[1]Sheet3!C57:C656)</f>
        <v>45160</v>
      </c>
      <c r="C447" t="str">
        <f>_xlfn.XLOOKUP(A447,A446:A1045,[1]Sheet3!D57:D656)</f>
        <v>CUST01739</v>
      </c>
      <c r="D447" t="str">
        <f>_xlfn.XLOOKUP(A447,A446:A1045,[1]Sheet3!E57:E656)</f>
        <v>Rohan Nair</v>
      </c>
      <c r="E447" s="5">
        <f>_xlfn.XLOOKUP(A447,A446:A1045,[1]Sheet3!G57:G656)</f>
        <v>42</v>
      </c>
      <c r="F447" t="str">
        <f>_xlfn.XLOOKUP('Retail Sales'!A58,'Retail Sales'!A57:A656,[1]Sheet3!H57:H656)</f>
        <v>Adult</v>
      </c>
      <c r="G447" t="str">
        <f>_xlfn.XLOOKUP(A447,A446:A1045,[1]Sheet3!J57:J656)</f>
        <v>Female</v>
      </c>
      <c r="H447" t="str">
        <f>_xlfn.XLOOKUP(A447,A446:A1045,[1]Sheet3!K57:K656)</f>
        <v>North</v>
      </c>
      <c r="I447" t="str">
        <f>_xlfn.XLOOKUP(A447,A446:A1045,[1]Sheet3!L57:L656)</f>
        <v>Amritsar</v>
      </c>
      <c r="J447" t="str">
        <f>_xlfn.XLOOKUP(A447,A446:A1045,[1]Sheet3!M57:M656)</f>
        <v>Books</v>
      </c>
      <c r="K447" t="str">
        <f>_xlfn.XLOOKUP('Retail Sales'!A58,'Retail Sales'!A57:A656,[1]Sheet3!N57:N656)</f>
        <v>Fiction Novel</v>
      </c>
      <c r="L447" s="5">
        <f>_xlfn.XLOOKUP(A447,A446:A1045,[1]Sheet3!P57:P656)</f>
        <v>4</v>
      </c>
      <c r="M447" s="7">
        <f>_xlfn.XLOOKUP(A447,A446:A1045,[1]Sheet3!Q57:Q656)</f>
        <v>889.6</v>
      </c>
      <c r="N447" s="9">
        <f>_xlfn.XLOOKUP(A447,A446:A1045,[1]Sheet3!S57:S656)</f>
        <v>0.36</v>
      </c>
      <c r="O447" s="7">
        <f>_xlfn.XLOOKUP(A447,A446:A1045,[1]Sheet3!T57:T656)</f>
        <v>3597.1</v>
      </c>
      <c r="P447" s="7">
        <f>_xlfn.XLOOKUP(A447,A446:A1045,[1]Sheet3!U57:U656)</f>
        <v>1076.9100000000001</v>
      </c>
      <c r="Q447" s="11">
        <f>_xlfn.XLOOKUP(A447,A446:A1045,[1]Sheet3!V57:V656)</f>
        <v>0.2993828361735843</v>
      </c>
      <c r="R447" s="7">
        <f>_xlfn.XLOOKUP(A447,A446:A1045,[1]Sheet3!W57:W656)</f>
        <v>58.16</v>
      </c>
      <c r="S447" t="str">
        <f>_xlfn.XLOOKUP(A447,A446:A1045,[1]Sheet3!X57:X656)</f>
        <v>Credit Card</v>
      </c>
      <c r="T447" s="5">
        <f>_xlfn.XLOOKUP(A447,A446:A1045,[1]Sheet3!Z57:Z656)</f>
        <v>3</v>
      </c>
      <c r="U447" t="b">
        <f>_xlfn.XLOOKUP(A447,A446:A1045,[1]Sheet3!AA57:AA656)</f>
        <v>1</v>
      </c>
      <c r="V447" t="str">
        <f>_xlfn.XLOOKUP(A447,A446:A1045,[1]Sheet3!AC57:AC656)</f>
        <v>Returned</v>
      </c>
      <c r="W447" s="5">
        <f>_xlfn.XLOOKUP(A447,A446:A1045,[1]Sheet3!AE57:AE656)</f>
        <v>3</v>
      </c>
    </row>
    <row r="448" spans="1:23" x14ac:dyDescent="0.35">
      <c r="A448" t="s">
        <v>508</v>
      </c>
      <c r="B448" s="1">
        <f>_xlfn.XLOOKUP(A448,A447:A1046,[1]Sheet3!C91:C690)</f>
        <v>45163</v>
      </c>
      <c r="C448" t="str">
        <f>_xlfn.XLOOKUP(A448,A447:A1046,[1]Sheet3!D91:D690)</f>
        <v>CUST97761</v>
      </c>
      <c r="D448" t="str">
        <f>_xlfn.XLOOKUP(A448,A447:A1046,[1]Sheet3!E91:E690)</f>
        <v>Rahul Verma</v>
      </c>
      <c r="E448" s="5">
        <f>_xlfn.XLOOKUP(A448,A447:A1046,[1]Sheet3!G91:G690)</f>
        <v>25</v>
      </c>
      <c r="F448" t="str">
        <f>_xlfn.XLOOKUP('Retail Sales'!A92,'Retail Sales'!A91:A690,[1]Sheet3!H91:H690)</f>
        <v>Young Adult</v>
      </c>
      <c r="G448" t="str">
        <f>_xlfn.XLOOKUP(A448,A447:A1046,[1]Sheet3!J91:J690)</f>
        <v>Female</v>
      </c>
      <c r="H448" t="str">
        <f>_xlfn.XLOOKUP(A448,A447:A1046,[1]Sheet3!K91:K690)</f>
        <v>East</v>
      </c>
      <c r="I448" t="str">
        <f>_xlfn.XLOOKUP(A448,A447:A1046,[1]Sheet3!L91:L690)</f>
        <v>Bhubaneswar</v>
      </c>
      <c r="J448" t="str">
        <f>_xlfn.XLOOKUP(A448,A447:A1046,[1]Sheet3!M91:M690)</f>
        <v>Books</v>
      </c>
      <c r="K448" t="str">
        <f>_xlfn.XLOOKUP('Retail Sales'!A92,'Retail Sales'!A91:A690,[1]Sheet3!N91:N690)</f>
        <v>Self-Help Book</v>
      </c>
      <c r="L448" s="5">
        <f>_xlfn.XLOOKUP(A448,A447:A1046,[1]Sheet3!P91:P690)</f>
        <v>10</v>
      </c>
      <c r="M448" s="7">
        <f>_xlfn.XLOOKUP(A448,A447:A1046,[1]Sheet3!Q91:Q690)</f>
        <v>755.47</v>
      </c>
      <c r="N448" s="9">
        <f>_xlfn.XLOOKUP(A448,A447:A1046,[1]Sheet3!S91:S690)</f>
        <v>0.04</v>
      </c>
      <c r="O448" s="7">
        <f>_xlfn.XLOOKUP(A448,A447:A1046,[1]Sheet3!T91:T690)</f>
        <v>10570.33</v>
      </c>
      <c r="P448" s="7">
        <f>_xlfn.XLOOKUP(A448,A447:A1046,[1]Sheet3!U91:U690)</f>
        <v>4011.83</v>
      </c>
      <c r="Q448" s="11">
        <f>_xlfn.XLOOKUP(A448,A447:A1046,[1]Sheet3!V91:V690)</f>
        <v>0.37953687349401577</v>
      </c>
      <c r="R448" s="7">
        <f>_xlfn.XLOOKUP(A448,A447:A1046,[1]Sheet3!W91:W690)</f>
        <v>94.06</v>
      </c>
      <c r="S448" t="str">
        <f>_xlfn.XLOOKUP(A448,A447:A1046,[1]Sheet3!X91:X690)</f>
        <v>Credit Card</v>
      </c>
      <c r="T448" s="5">
        <f>_xlfn.XLOOKUP(A448,A447:A1046,[1]Sheet3!Z91:Z690)</f>
        <v>3</v>
      </c>
      <c r="U448" t="b">
        <f>_xlfn.XLOOKUP(A448,A447:A1046,[1]Sheet3!AA91:AA690)</f>
        <v>0</v>
      </c>
      <c r="V448" t="str">
        <f>_xlfn.XLOOKUP(A448,A447:A1046,[1]Sheet3!AC91:AC690)</f>
        <v>Cancelled</v>
      </c>
      <c r="W448" s="5">
        <f>_xlfn.XLOOKUP(A448,A447:A1046,[1]Sheet3!AE91:AE690)</f>
        <v>5</v>
      </c>
    </row>
    <row r="449" spans="1:23" x14ac:dyDescent="0.35">
      <c r="A449" t="s">
        <v>201</v>
      </c>
      <c r="B449" s="1">
        <f>_xlfn.XLOOKUP(A449,A448:A1047,[1]Sheet3!C398:C997)</f>
        <v>45164</v>
      </c>
      <c r="C449" t="str">
        <f>_xlfn.XLOOKUP(A449,A448:A1047,[1]Sheet3!D398:D997)</f>
        <v>CUST49151</v>
      </c>
      <c r="D449" t="str">
        <f>_xlfn.XLOOKUP(A449,A448:A1047,[1]Sheet3!E398:E997)</f>
        <v>Sunita Patel</v>
      </c>
      <c r="E449" s="5">
        <f>_xlfn.XLOOKUP(A449,A448:A1047,[1]Sheet3!G398:G997)</f>
        <v>35</v>
      </c>
      <c r="F449" t="str">
        <f>_xlfn.XLOOKUP('Retail Sales'!A399,'Retail Sales'!A398:A997,[1]Sheet3!H398:H997)</f>
        <v>Young Adult</v>
      </c>
      <c r="G449" t="str">
        <f>_xlfn.XLOOKUP(A449,A448:A1047,[1]Sheet3!J398:J997)</f>
        <v>Other</v>
      </c>
      <c r="H449" t="str">
        <f>_xlfn.XLOOKUP(A449,A448:A1047,[1]Sheet3!K398:K997)</f>
        <v>West</v>
      </c>
      <c r="I449" t="str">
        <f>_xlfn.XLOOKUP(A449,A448:A1047,[1]Sheet3!L398:L997)</f>
        <v>Mumbai</v>
      </c>
      <c r="J449" t="str">
        <f>_xlfn.XLOOKUP(A449,A448:A1047,[1]Sheet3!M398:M997)</f>
        <v>Electronics</v>
      </c>
      <c r="K449" t="str">
        <f>_xlfn.XLOOKUP('Retail Sales'!A399,'Retail Sales'!A398:A997,[1]Sheet3!N398:N997)</f>
        <v>Headphones</v>
      </c>
      <c r="L449" s="5">
        <f>_xlfn.XLOOKUP(A449,A448:A1047,[1]Sheet3!P398:P997)</f>
        <v>1</v>
      </c>
      <c r="M449" s="7">
        <f>_xlfn.XLOOKUP(A449,A448:A1047,[1]Sheet3!Q398:Q997)</f>
        <v>41296.1</v>
      </c>
      <c r="N449" s="9">
        <f>_xlfn.XLOOKUP(A449,A448:A1047,[1]Sheet3!S398:S997)</f>
        <v>7.0000000000000007E-2</v>
      </c>
      <c r="O449" s="7">
        <f>_xlfn.XLOOKUP(A449,A448:A1047,[1]Sheet3!T398:T997)</f>
        <v>53611.5</v>
      </c>
      <c r="P449" s="7">
        <f>_xlfn.XLOOKUP(A449,A448:A1047,[1]Sheet3!U398:U997)</f>
        <v>4184.2299999999996</v>
      </c>
      <c r="Q449" s="11">
        <f>_xlfn.XLOOKUP(A449,A448:A1047,[1]Sheet3!V398:V997)</f>
        <v>7.8047247325667063E-2</v>
      </c>
      <c r="R449" s="7">
        <f>_xlfn.XLOOKUP(A449,A448:A1047,[1]Sheet3!W398:W997)</f>
        <v>65.67</v>
      </c>
      <c r="S449" t="str">
        <f>_xlfn.XLOOKUP(A449,A448:A1047,[1]Sheet3!X398:X997)</f>
        <v>Credit Card</v>
      </c>
      <c r="T449" s="5">
        <f>_xlfn.XLOOKUP(A449,A448:A1047,[1]Sheet3!Z398:Z997)</f>
        <v>5</v>
      </c>
      <c r="U449" t="b">
        <f>_xlfn.XLOOKUP(A449,A448:A1047,[1]Sheet3!AA398:AA997)</f>
        <v>0</v>
      </c>
      <c r="V449" t="str">
        <f>_xlfn.XLOOKUP(A449,A448:A1047,[1]Sheet3!AC398:AC997)</f>
        <v>Delivered</v>
      </c>
      <c r="W449" s="5">
        <f>_xlfn.XLOOKUP(A449,A448:A1047,[1]Sheet3!AE398:AE997)</f>
        <v>5</v>
      </c>
    </row>
    <row r="450" spans="1:23" x14ac:dyDescent="0.35">
      <c r="A450" t="s">
        <v>525</v>
      </c>
      <c r="B450" s="1">
        <f>_xlfn.XLOOKUP(A450,A449:A1048,[1]Sheet3!C74:C673)</f>
        <v>45167</v>
      </c>
      <c r="C450" t="str">
        <f>_xlfn.XLOOKUP(A450,A449:A1048,[1]Sheet3!D74:D673)</f>
        <v>CUST21970</v>
      </c>
      <c r="D450" t="str">
        <f>_xlfn.XLOOKUP(A450,A449:A1048,[1]Sheet3!E74:E673)</f>
        <v>Rahul Verma</v>
      </c>
      <c r="E450" s="5">
        <f>_xlfn.XLOOKUP(A450,A449:A1048,[1]Sheet3!G74:G673)</f>
        <v>34.294220665499125</v>
      </c>
      <c r="F450" t="str">
        <f>_xlfn.XLOOKUP('Retail Sales'!A75,'Retail Sales'!A74:A673,[1]Sheet3!H74:H673)</f>
        <v>Young Adult</v>
      </c>
      <c r="G450" t="str">
        <f>_xlfn.XLOOKUP(A450,A449:A1048,[1]Sheet3!J74:J673)</f>
        <v>Other</v>
      </c>
      <c r="H450" t="str">
        <f>_xlfn.XLOOKUP(A450,A449:A1048,[1]Sheet3!K74:K673)</f>
        <v>East</v>
      </c>
      <c r="I450" t="str">
        <f>_xlfn.XLOOKUP(A450,A449:A1048,[1]Sheet3!L74:L673)</f>
        <v>Bhubaneswar</v>
      </c>
      <c r="J450" t="str">
        <f>_xlfn.XLOOKUP(A450,A449:A1048,[1]Sheet3!M74:M673)</f>
        <v>Electronics</v>
      </c>
      <c r="K450" t="str">
        <f>_xlfn.XLOOKUP('Retail Sales'!A75,'Retail Sales'!A74:A673,[1]Sheet3!N74:N673)</f>
        <v>Headphones</v>
      </c>
      <c r="L450" s="5">
        <f>_xlfn.XLOOKUP(A450,A449:A1048,[1]Sheet3!P74:P673)</f>
        <v>3</v>
      </c>
      <c r="M450" s="7">
        <f>_xlfn.XLOOKUP(A450,A449:A1048,[1]Sheet3!Q74:Q673)</f>
        <v>15632.25</v>
      </c>
      <c r="N450" s="9">
        <f>_xlfn.XLOOKUP(A450,A449:A1048,[1]Sheet3!S74:S673)</f>
        <v>0.34</v>
      </c>
      <c r="O450" s="7">
        <f>_xlfn.XLOOKUP(A450,A449:A1048,[1]Sheet3!T74:T673)</f>
        <v>44298.79</v>
      </c>
      <c r="P450" s="7">
        <f>_xlfn.XLOOKUP(A450,A449:A1048,[1]Sheet3!U74:U673)</f>
        <v>4132.26</v>
      </c>
      <c r="Q450" s="11">
        <f>_xlfn.XLOOKUP(A450,A449:A1048,[1]Sheet3!V74:V673)</f>
        <v>9.3281554642914627E-2</v>
      </c>
      <c r="R450" s="7">
        <f>_xlfn.XLOOKUP(A450,A449:A1048,[1]Sheet3!W74:W673)</f>
        <v>65.5</v>
      </c>
      <c r="S450" t="str">
        <f>_xlfn.XLOOKUP(A450,A449:A1048,[1]Sheet3!X74:X673)</f>
        <v>UPI</v>
      </c>
      <c r="T450" s="5">
        <f>_xlfn.XLOOKUP(A450,A449:A1048,[1]Sheet3!Z74:Z673)</f>
        <v>5</v>
      </c>
      <c r="U450" t="b">
        <f>_xlfn.XLOOKUP(A450,A449:A1048,[1]Sheet3!AA74:AA673)</f>
        <v>0</v>
      </c>
      <c r="V450" t="str">
        <f>_xlfn.XLOOKUP(A450,A449:A1048,[1]Sheet3!AC74:AC673)</f>
        <v>Delivered</v>
      </c>
      <c r="W450" s="5">
        <f>_xlfn.XLOOKUP(A450,A449:A1048,[1]Sheet3!AE74:AE673)</f>
        <v>1</v>
      </c>
    </row>
    <row r="451" spans="1:23" x14ac:dyDescent="0.35">
      <c r="A451" t="s">
        <v>415</v>
      </c>
      <c r="B451" s="1">
        <f>_xlfn.XLOOKUP(A451,A450:A1049,[1]Sheet3!C184:C783)</f>
        <v>45168</v>
      </c>
      <c r="C451" t="str">
        <f>_xlfn.XLOOKUP(A451,A450:A1049,[1]Sheet3!D184:D783)</f>
        <v>CUST98803</v>
      </c>
      <c r="D451" t="str">
        <f>_xlfn.XLOOKUP(A451,A450:A1049,[1]Sheet3!E184:E783)</f>
        <v>Vikram Joshi</v>
      </c>
      <c r="E451" s="5">
        <f>_xlfn.XLOOKUP(A451,A450:A1049,[1]Sheet3!G184:G783)</f>
        <v>42</v>
      </c>
      <c r="F451" t="str">
        <f>_xlfn.XLOOKUP('Retail Sales'!A185,'Retail Sales'!A184:A783,[1]Sheet3!H184:H783)</f>
        <v>Adult</v>
      </c>
      <c r="G451" t="str">
        <f>_xlfn.XLOOKUP(A451,A450:A1049,[1]Sheet3!J184:J783)</f>
        <v>Male</v>
      </c>
      <c r="H451" t="str">
        <f>_xlfn.XLOOKUP(A451,A450:A1049,[1]Sheet3!K184:K783)</f>
        <v>South</v>
      </c>
      <c r="I451" t="str">
        <f>_xlfn.XLOOKUP(A451,A450:A1049,[1]Sheet3!L184:L783)</f>
        <v>Kochi</v>
      </c>
      <c r="J451" t="str">
        <f>_xlfn.XLOOKUP(A451,A450:A1049,[1]Sheet3!M184:M783)</f>
        <v>Furniture</v>
      </c>
      <c r="K451" t="str">
        <f>_xlfn.XLOOKUP('Retail Sales'!A185,'Retail Sales'!A184:A783,[1]Sheet3!N184:N783)</f>
        <v>Bed Frame</v>
      </c>
      <c r="L451" s="5">
        <f>_xlfn.XLOOKUP(A451,A450:A1049,[1]Sheet3!P184:P783)</f>
        <v>6</v>
      </c>
      <c r="M451" s="7">
        <f>_xlfn.XLOOKUP(A451,A450:A1049,[1]Sheet3!Q184:Q783)</f>
        <v>21712.77</v>
      </c>
      <c r="N451" s="9">
        <f>_xlfn.XLOOKUP(A451,A450:A1049,[1]Sheet3!S184:S783)</f>
        <v>0.14000000000000001</v>
      </c>
      <c r="O451" s="7">
        <f>_xlfn.XLOOKUP(A451,A450:A1049,[1]Sheet3!T184:T783)</f>
        <v>157859.91</v>
      </c>
      <c r="P451" s="7">
        <f>_xlfn.XLOOKUP(A451,A450:A1049,[1]Sheet3!U184:U783)</f>
        <v>48496.37</v>
      </c>
      <c r="Q451" s="11">
        <f>_xlfn.XLOOKUP(A451,A450:A1049,[1]Sheet3!V184:V783)</f>
        <v>0.30721143829361108</v>
      </c>
      <c r="R451" s="7">
        <f>_xlfn.XLOOKUP(A451,A450:A1049,[1]Sheet3!W184:W783)</f>
        <v>62.68</v>
      </c>
      <c r="S451" t="str">
        <f>_xlfn.XLOOKUP(A451,A450:A1049,[1]Sheet3!X184:X783)</f>
        <v>EMI</v>
      </c>
      <c r="T451" s="5">
        <f>_xlfn.XLOOKUP(A451,A450:A1049,[1]Sheet3!Z184:Z783)</f>
        <v>2</v>
      </c>
      <c r="U451" t="b">
        <f>_xlfn.XLOOKUP(A451,A450:A1049,[1]Sheet3!AA184:AA783)</f>
        <v>0</v>
      </c>
      <c r="V451" t="str">
        <f>_xlfn.XLOOKUP(A451,A450:A1049,[1]Sheet3!AC184:AC783)</f>
        <v>Cancelled</v>
      </c>
      <c r="W451" s="5">
        <f>_xlfn.XLOOKUP(A451,A450:A1049,[1]Sheet3!AE184:AE783)</f>
        <v>9</v>
      </c>
    </row>
    <row r="452" spans="1:23" x14ac:dyDescent="0.35">
      <c r="A452" t="s">
        <v>8</v>
      </c>
      <c r="B452" s="1">
        <f>_xlfn.XLOOKUP(A452,A451:A1050,[1]Sheet3!C591:C1190)</f>
        <v>45168</v>
      </c>
      <c r="C452" t="str">
        <f>_xlfn.XLOOKUP(A452,A451:A1050,[1]Sheet3!D591:D1190)</f>
        <v>CUST81977</v>
      </c>
      <c r="D452" t="str">
        <f>_xlfn.XLOOKUP(A452,A451:A1050,[1]Sheet3!E591:E1190)</f>
        <v>Sunita Verma</v>
      </c>
      <c r="E452" s="5">
        <f>_xlfn.XLOOKUP(A452,A451:A1050,[1]Sheet3!G591:G1190)</f>
        <v>35</v>
      </c>
      <c r="F452" t="str">
        <f>_xlfn.XLOOKUP('Retail Sales'!A592,'Retail Sales'!A591:A1190,[1]Sheet3!H591:H1190)</f>
        <v>Young Adult</v>
      </c>
      <c r="G452" t="str">
        <f>_xlfn.XLOOKUP(A452,A451:A1050,[1]Sheet3!J591:J1190)</f>
        <v>Female</v>
      </c>
      <c r="H452" t="str">
        <f>_xlfn.XLOOKUP(A452,A451:A1050,[1]Sheet3!K591:K1190)</f>
        <v>East</v>
      </c>
      <c r="I452" t="str">
        <f>_xlfn.XLOOKUP(A452,A451:A1050,[1]Sheet3!L591:L1190)</f>
        <v>Patna</v>
      </c>
      <c r="J452" t="str">
        <f>_xlfn.XLOOKUP(A452,A451:A1050,[1]Sheet3!M591:M1190)</f>
        <v>Groceries</v>
      </c>
      <c r="K452" t="str">
        <f>_xlfn.XLOOKUP('Retail Sales'!A592,'Retail Sales'!A591:A1190,[1]Sheet3!N591:N1190)</f>
        <v>Dal (1kg)</v>
      </c>
      <c r="L452" s="5">
        <f>_xlfn.XLOOKUP(A452,A451:A1050,[1]Sheet3!P591:P1190)</f>
        <v>9</v>
      </c>
      <c r="M452" s="7">
        <f>_xlfn.XLOOKUP(A452,A451:A1050,[1]Sheet3!Q591:Q1190)</f>
        <v>132.91</v>
      </c>
      <c r="N452" s="9">
        <f>_xlfn.XLOOKUP(A452,A451:A1050,[1]Sheet3!S591:S1190)</f>
        <v>0.37</v>
      </c>
      <c r="O452" s="7">
        <f>_xlfn.XLOOKUP(A452,A451:A1050,[1]Sheet3!T591:T1190)</f>
        <v>1379.32</v>
      </c>
      <c r="P452" s="7">
        <f>_xlfn.XLOOKUP(A452,A451:A1050,[1]Sheet3!U591:U1190)</f>
        <v>95.16</v>
      </c>
      <c r="Q452" s="11">
        <f>_xlfn.XLOOKUP(A452,A451:A1050,[1]Sheet3!V591:V1190)</f>
        <v>6.8990517066380541E-2</v>
      </c>
      <c r="R452" s="7">
        <f>_xlfn.XLOOKUP(A452,A451:A1050,[1]Sheet3!W591:W1190)</f>
        <v>84.31</v>
      </c>
      <c r="S452" t="str">
        <f>_xlfn.XLOOKUP(A452,A451:A1050,[1]Sheet3!X591:X1190)</f>
        <v>Cash on Delivery</v>
      </c>
      <c r="T452" s="5">
        <f>_xlfn.XLOOKUP(A452,A451:A1050,[1]Sheet3!Z591:Z1190)</f>
        <v>1</v>
      </c>
      <c r="U452" t="b">
        <f>_xlfn.XLOOKUP(A452,A451:A1050,[1]Sheet3!AA591:AA1190)</f>
        <v>0</v>
      </c>
      <c r="V452" t="str">
        <f>_xlfn.XLOOKUP(A452,A451:A1050,[1]Sheet3!AC591:AC1190)</f>
        <v>Delivered</v>
      </c>
      <c r="W452" s="5">
        <f>_xlfn.XLOOKUP(A452,A451:A1050,[1]Sheet3!AE591:AE1190)</f>
        <v>4</v>
      </c>
    </row>
    <row r="453" spans="1:23" x14ac:dyDescent="0.35">
      <c r="A453" t="s">
        <v>181</v>
      </c>
      <c r="B453" s="1">
        <f>_xlfn.XLOOKUP(A453,A452:A1051,[1]Sheet3!C418:C1017)</f>
        <v>45178</v>
      </c>
      <c r="C453" t="str">
        <f>_xlfn.XLOOKUP(A453,A452:A1051,[1]Sheet3!D418:D1017)</f>
        <v>CUST56458</v>
      </c>
      <c r="D453" t="str">
        <f>_xlfn.XLOOKUP(A453,A452:A1051,[1]Sheet3!E418:E1017)</f>
        <v>Kavya Das</v>
      </c>
      <c r="E453" s="5">
        <f>_xlfn.XLOOKUP(A453,A452:A1051,[1]Sheet3!G418:G1017)</f>
        <v>30</v>
      </c>
      <c r="F453" t="str">
        <f>_xlfn.XLOOKUP('Retail Sales'!A419,'Retail Sales'!A418:A1017,[1]Sheet3!H418:H1017)</f>
        <v>Young Adult</v>
      </c>
      <c r="G453" t="str">
        <f>_xlfn.XLOOKUP(A453,A452:A1051,[1]Sheet3!J418:J1017)</f>
        <v>Other</v>
      </c>
      <c r="H453" t="str">
        <f>_xlfn.XLOOKUP(A453,A452:A1051,[1]Sheet3!K418:K1017)</f>
        <v>East</v>
      </c>
      <c r="I453" t="str">
        <f>_xlfn.XLOOKUP(A453,A452:A1051,[1]Sheet3!L418:L1017)</f>
        <v>Kolkata</v>
      </c>
      <c r="J453" t="str">
        <f>_xlfn.XLOOKUP(A453,A452:A1051,[1]Sheet3!M418:M1017)</f>
        <v>Furniture</v>
      </c>
      <c r="K453" t="str">
        <f>_xlfn.XLOOKUP('Retail Sales'!A419,'Retail Sales'!A418:A1017,[1]Sheet3!N418:N1017)</f>
        <v>Desk</v>
      </c>
      <c r="L453" s="5">
        <f>_xlfn.XLOOKUP(A453,A452:A1051,[1]Sheet3!P418:P1017)</f>
        <v>9</v>
      </c>
      <c r="M453" s="7">
        <f>_xlfn.XLOOKUP(A453,A452:A1051,[1]Sheet3!Q418:Q1017)</f>
        <v>24481.84</v>
      </c>
      <c r="N453" s="9">
        <f>_xlfn.XLOOKUP(A453,A452:A1051,[1]Sheet3!S418:S1017)</f>
        <v>0.18</v>
      </c>
      <c r="O453" s="7">
        <f>_xlfn.XLOOKUP(A453,A452:A1051,[1]Sheet3!T418:T1017)</f>
        <v>236017.16</v>
      </c>
      <c r="P453" s="7">
        <f>_xlfn.XLOOKUP(A453,A452:A1051,[1]Sheet3!U418:U1017)</f>
        <v>68746.179999999993</v>
      </c>
      <c r="Q453" s="11">
        <f>_xlfn.XLOOKUP(A453,A452:A1051,[1]Sheet3!V418:V1017)</f>
        <v>0.29127619364625856</v>
      </c>
      <c r="R453" s="7">
        <f>_xlfn.XLOOKUP(A453,A452:A1051,[1]Sheet3!W418:W1017)</f>
        <v>92.95</v>
      </c>
      <c r="S453" t="str">
        <f>_xlfn.XLOOKUP(A453,A452:A1051,[1]Sheet3!X418:X1017)</f>
        <v>Net Banking</v>
      </c>
      <c r="T453" s="5">
        <f>_xlfn.XLOOKUP(A453,A452:A1051,[1]Sheet3!Z418:Z1017)</f>
        <v>3</v>
      </c>
      <c r="U453" t="b">
        <f>_xlfn.XLOOKUP(A453,A452:A1051,[1]Sheet3!AA418:AA1017)</f>
        <v>0</v>
      </c>
      <c r="V453" t="str">
        <f>_xlfn.XLOOKUP(A453,A452:A1051,[1]Sheet3!AC418:AC1017)</f>
        <v>Pending</v>
      </c>
      <c r="W453" s="5">
        <f>_xlfn.XLOOKUP(A453,A452:A1051,[1]Sheet3!AE418:AE1017)</f>
        <v>10</v>
      </c>
    </row>
    <row r="454" spans="1:23" x14ac:dyDescent="0.35">
      <c r="A454" t="s">
        <v>212</v>
      </c>
      <c r="B454" s="1">
        <f>_xlfn.XLOOKUP(A454,A453:A1052,[1]Sheet3!C387:C986)</f>
        <v>45180</v>
      </c>
      <c r="C454" t="str">
        <f>_xlfn.XLOOKUP(A454,A453:A1052,[1]Sheet3!D387:D986)</f>
        <v>CUST84742</v>
      </c>
      <c r="D454" t="str">
        <f>_xlfn.XLOOKUP(A454,A453:A1052,[1]Sheet3!E387:E986)</f>
        <v>Sunita Patel</v>
      </c>
      <c r="E454" s="5">
        <f>_xlfn.XLOOKUP(A454,A453:A1052,[1]Sheet3!G387:G986)</f>
        <v>42</v>
      </c>
      <c r="F454" t="str">
        <f>_xlfn.XLOOKUP('Retail Sales'!A388,'Retail Sales'!A387:A986,[1]Sheet3!H387:H986)</f>
        <v>Adult</v>
      </c>
      <c r="G454" t="str">
        <f>_xlfn.XLOOKUP(A454,A453:A1052,[1]Sheet3!J387:J986)</f>
        <v>Other</v>
      </c>
      <c r="H454" t="str">
        <f>_xlfn.XLOOKUP(A454,A453:A1052,[1]Sheet3!K387:K986)</f>
        <v>South</v>
      </c>
      <c r="I454" t="str">
        <f>_xlfn.XLOOKUP(A454,A453:A1052,[1]Sheet3!L387:L986)</f>
        <v>Bangalore</v>
      </c>
      <c r="J454" t="str">
        <f>_xlfn.XLOOKUP(A454,A453:A1052,[1]Sheet3!M387:M986)</f>
        <v>Sports</v>
      </c>
      <c r="K454" t="str">
        <f>_xlfn.XLOOKUP('Retail Sales'!A388,'Retail Sales'!A387:A986,[1]Sheet3!N387:N986)</f>
        <v>Cricket Bat</v>
      </c>
      <c r="L454" s="5">
        <f>_xlfn.XLOOKUP(A454,A453:A1052,[1]Sheet3!P387:P986)</f>
        <v>7</v>
      </c>
      <c r="M454" s="7">
        <f>_xlfn.XLOOKUP(A454,A453:A1052,[1]Sheet3!Q387:Q986)</f>
        <v>7005.09</v>
      </c>
      <c r="N454" s="9">
        <f>_xlfn.XLOOKUP(A454,A453:A1052,[1]Sheet3!S387:S986)</f>
        <v>0.19793402777777783</v>
      </c>
      <c r="O454" s="7">
        <f>_xlfn.XLOOKUP(A454,A453:A1052,[1]Sheet3!T387:T986)</f>
        <v>55004.13</v>
      </c>
      <c r="P454" s="7">
        <f>_xlfn.XLOOKUP(A454,A453:A1052,[1]Sheet3!U387:U986)</f>
        <v>13825.48</v>
      </c>
      <c r="Q454" s="11">
        <f>_xlfn.XLOOKUP(A454,A453:A1052,[1]Sheet3!V387:V986)</f>
        <v>0.25135348927435086</v>
      </c>
      <c r="R454" s="7">
        <f>_xlfn.XLOOKUP(A454,A453:A1052,[1]Sheet3!W387:W986)</f>
        <v>39.04</v>
      </c>
      <c r="S454" t="str">
        <f>_xlfn.XLOOKUP(A454,A453:A1052,[1]Sheet3!X387:X986)</f>
        <v>Net Banking</v>
      </c>
      <c r="T454" s="5">
        <f>_xlfn.XLOOKUP(A454,A453:A1052,[1]Sheet3!Z387:Z986)</f>
        <v>3</v>
      </c>
      <c r="U454" t="b">
        <f>_xlfn.XLOOKUP(A454,A453:A1052,[1]Sheet3!AA387:AA986)</f>
        <v>0</v>
      </c>
      <c r="V454" t="str">
        <f>_xlfn.XLOOKUP(A454,A453:A1052,[1]Sheet3!AC387:AC986)</f>
        <v>Delivered</v>
      </c>
      <c r="W454" s="5">
        <f>_xlfn.XLOOKUP(A454,A453:A1052,[1]Sheet3!AE387:AE986)</f>
        <v>3</v>
      </c>
    </row>
    <row r="455" spans="1:23" x14ac:dyDescent="0.35">
      <c r="A455" t="s">
        <v>194</v>
      </c>
      <c r="B455" s="1">
        <f>_xlfn.XLOOKUP(A455,A454:A1053,[1]Sheet3!C405:C1004)</f>
        <v>45184</v>
      </c>
      <c r="C455" t="str">
        <f>_xlfn.XLOOKUP(A455,A454:A1053,[1]Sheet3!D405:D1004)</f>
        <v>CUST60904</v>
      </c>
      <c r="D455" t="str">
        <f>_xlfn.XLOOKUP(A455,A454:A1053,[1]Sheet3!E405:E1004)</f>
        <v>Aditya Shah</v>
      </c>
      <c r="E455" s="5">
        <f>_xlfn.XLOOKUP(A455,A454:A1053,[1]Sheet3!G405:G1004)</f>
        <v>29</v>
      </c>
      <c r="F455" t="str">
        <f>_xlfn.XLOOKUP('Retail Sales'!A406,'Retail Sales'!A405:A1004,[1]Sheet3!H405:H1004)</f>
        <v>Young Adult</v>
      </c>
      <c r="G455" t="str">
        <f>_xlfn.XLOOKUP(A455,A454:A1053,[1]Sheet3!J405:J1004)</f>
        <v>Female</v>
      </c>
      <c r="H455" t="str">
        <f>_xlfn.XLOOKUP(A455,A454:A1053,[1]Sheet3!K405:K1004)</f>
        <v>North</v>
      </c>
      <c r="I455" t="str">
        <f>_xlfn.XLOOKUP(A455,A454:A1053,[1]Sheet3!L405:L1004)</f>
        <v>Chandigarh</v>
      </c>
      <c r="J455" t="str">
        <f>_xlfn.XLOOKUP(A455,A454:A1053,[1]Sheet3!M405:M1004)</f>
        <v>Groceries</v>
      </c>
      <c r="K455" t="str">
        <f>_xlfn.XLOOKUP('Retail Sales'!A406,'Retail Sales'!A405:A1004,[1]Sheet3!N405:N1004)</f>
        <v>Dal (1kg)</v>
      </c>
      <c r="L455" s="5">
        <f>_xlfn.XLOOKUP(A455,A454:A1053,[1]Sheet3!P405:P1004)</f>
        <v>1</v>
      </c>
      <c r="M455" s="7">
        <f>_xlfn.XLOOKUP(A455,A454:A1053,[1]Sheet3!Q405:Q1004)</f>
        <v>394.11</v>
      </c>
      <c r="N455" s="9">
        <f>_xlfn.XLOOKUP(A455,A454:A1053,[1]Sheet3!S405:S1004)</f>
        <v>0.22</v>
      </c>
      <c r="O455" s="7">
        <f>_xlfn.XLOOKUP(A455,A454:A1053,[1]Sheet3!T405:T1004)</f>
        <v>414.31</v>
      </c>
      <c r="P455" s="7">
        <f>_xlfn.XLOOKUP(A455,A454:A1053,[1]Sheet3!U405:U1004)</f>
        <v>32.520000000000003</v>
      </c>
      <c r="Q455" s="11">
        <f>_xlfn.XLOOKUP(A455,A454:A1053,[1]Sheet3!V405:V1004)</f>
        <v>7.8491950471868896E-2</v>
      </c>
      <c r="R455" s="7">
        <f>_xlfn.XLOOKUP(A455,A454:A1053,[1]Sheet3!W405:W1004)</f>
        <v>55.15</v>
      </c>
      <c r="S455" t="str">
        <f>_xlfn.XLOOKUP(A455,A454:A1053,[1]Sheet3!X405:X1004)</f>
        <v>UPI</v>
      </c>
      <c r="T455" s="5">
        <f>_xlfn.XLOOKUP(A455,A454:A1053,[1]Sheet3!Z405:Z1004)</f>
        <v>3</v>
      </c>
      <c r="U455" t="b">
        <f>_xlfn.XLOOKUP(A455,A454:A1053,[1]Sheet3!AA405:AA1004)</f>
        <v>0</v>
      </c>
      <c r="V455" t="str">
        <f>_xlfn.XLOOKUP(A455,A454:A1053,[1]Sheet3!AC405:AC1004)</f>
        <v>Delivered</v>
      </c>
      <c r="W455" s="5">
        <f>_xlfn.XLOOKUP(A455,A454:A1053,[1]Sheet3!AE405:AE1004)</f>
        <v>2</v>
      </c>
    </row>
    <row r="456" spans="1:23" x14ac:dyDescent="0.35">
      <c r="A456" t="s">
        <v>432</v>
      </c>
      <c r="B456" s="1">
        <f>_xlfn.XLOOKUP(A456,A455:A1054,[1]Sheet3!C167:C766)</f>
        <v>45196</v>
      </c>
      <c r="C456" t="str">
        <f>_xlfn.XLOOKUP(A456,A455:A1054,[1]Sheet3!D167:D766)</f>
        <v>CUST52921</v>
      </c>
      <c r="D456" t="str">
        <f>_xlfn.XLOOKUP(A456,A455:A1054,[1]Sheet3!E167:E766)</f>
        <v>Vikram Nair</v>
      </c>
      <c r="E456" s="5">
        <f>_xlfn.XLOOKUP(A456,A455:A1054,[1]Sheet3!G167:G766)</f>
        <v>18</v>
      </c>
      <c r="F456" t="str">
        <f>_xlfn.XLOOKUP('Retail Sales'!A168,'Retail Sales'!A167:A766,[1]Sheet3!H167:H766)</f>
        <v>Teen</v>
      </c>
      <c r="G456" t="str">
        <f>_xlfn.XLOOKUP(A456,A455:A1054,[1]Sheet3!J167:J766)</f>
        <v>Female</v>
      </c>
      <c r="H456" t="str">
        <f>_xlfn.XLOOKUP(A456,A455:A1054,[1]Sheet3!K167:K766)</f>
        <v>East</v>
      </c>
      <c r="I456" t="str">
        <f>_xlfn.XLOOKUP(A456,A455:A1054,[1]Sheet3!L167:L766)</f>
        <v>Patna</v>
      </c>
      <c r="J456" t="str">
        <f>_xlfn.XLOOKUP(A456,A455:A1054,[1]Sheet3!M167:M766)</f>
        <v>Clothing</v>
      </c>
      <c r="K456" t="str">
        <f>_xlfn.XLOOKUP('Retail Sales'!A168,'Retail Sales'!A167:A766,[1]Sheet3!N167:N766)</f>
        <v>Dress</v>
      </c>
      <c r="L456" s="5">
        <f>_xlfn.XLOOKUP(A456,A455:A1054,[1]Sheet3!P167:P766)</f>
        <v>10</v>
      </c>
      <c r="M456" s="7">
        <f>_xlfn.XLOOKUP(A456,A455:A1054,[1]Sheet3!Q167:Q766)</f>
        <v>2309.23</v>
      </c>
      <c r="N456" s="9">
        <f>_xlfn.XLOOKUP(A456,A455:A1054,[1]Sheet3!S167:S766)</f>
        <v>0.02</v>
      </c>
      <c r="O456" s="7">
        <f>_xlfn.XLOOKUP(A456,A455:A1054,[1]Sheet3!T167:T766)</f>
        <v>28827.02</v>
      </c>
      <c r="P456" s="7">
        <f>_xlfn.XLOOKUP(A456,A455:A1054,[1]Sheet3!U167:U766)</f>
        <v>8270.7999999999993</v>
      </c>
      <c r="Q456" s="11">
        <f>_xlfn.XLOOKUP(A456,A455:A1054,[1]Sheet3!V167:V766)</f>
        <v>0.28691137689570406</v>
      </c>
      <c r="R456" s="7">
        <f>_xlfn.XLOOKUP(A456,A455:A1054,[1]Sheet3!W167:W766)</f>
        <v>94.75</v>
      </c>
      <c r="S456" t="str">
        <f>_xlfn.XLOOKUP(A456,A455:A1054,[1]Sheet3!X167:X766)</f>
        <v>Cash on Delivery</v>
      </c>
      <c r="T456" s="5">
        <f>_xlfn.XLOOKUP(A456,A455:A1054,[1]Sheet3!Z167:Z766)</f>
        <v>3</v>
      </c>
      <c r="U456" t="b">
        <f>_xlfn.XLOOKUP(A456,A455:A1054,[1]Sheet3!AA167:AA766)</f>
        <v>0</v>
      </c>
      <c r="V456" t="str">
        <f>_xlfn.XLOOKUP(A456,A455:A1054,[1]Sheet3!AC167:AC766)</f>
        <v>Delivered</v>
      </c>
      <c r="W456" s="5">
        <f>_xlfn.XLOOKUP(A456,A455:A1054,[1]Sheet3!AE167:AE766)</f>
        <v>5</v>
      </c>
    </row>
    <row r="457" spans="1:23" x14ac:dyDescent="0.35">
      <c r="A457" t="s">
        <v>450</v>
      </c>
      <c r="B457" s="1">
        <f>_xlfn.XLOOKUP(A457,A456:A1055,[1]Sheet3!C149:C748)</f>
        <v>45200</v>
      </c>
      <c r="C457" t="str">
        <f>_xlfn.XLOOKUP(A457,A456:A1055,[1]Sheet3!D149:D748)</f>
        <v>CUST87976</v>
      </c>
      <c r="D457" t="str">
        <f>_xlfn.XLOOKUP(A457,A456:A1055,[1]Sheet3!E149:E748)</f>
        <v>Amit Singh</v>
      </c>
      <c r="E457" s="5">
        <f>_xlfn.XLOOKUP(A457,A456:A1055,[1]Sheet3!G149:G748)</f>
        <v>29</v>
      </c>
      <c r="F457" t="str">
        <f>_xlfn.XLOOKUP('Retail Sales'!A150,'Retail Sales'!A149:A748,[1]Sheet3!H149:H748)</f>
        <v>Young Adult</v>
      </c>
      <c r="G457" t="str">
        <f>_xlfn.XLOOKUP(A457,A456:A1055,[1]Sheet3!J149:J748)</f>
        <v>Male</v>
      </c>
      <c r="H457" t="str">
        <f>_xlfn.XLOOKUP(A457,A456:A1055,[1]Sheet3!K149:K748)</f>
        <v>North</v>
      </c>
      <c r="I457" t="str">
        <f>_xlfn.XLOOKUP(A457,A456:A1055,[1]Sheet3!L149:L748)</f>
        <v>Chandigarh</v>
      </c>
      <c r="J457" t="str">
        <f>_xlfn.XLOOKUP(A457,A456:A1055,[1]Sheet3!M149:M748)</f>
        <v>Sports</v>
      </c>
      <c r="K457" t="str">
        <f>_xlfn.XLOOKUP('Retail Sales'!A150,'Retail Sales'!A149:A748,[1]Sheet3!N149:N748)</f>
        <v>Cricket Bat</v>
      </c>
      <c r="L457" s="5">
        <f>_xlfn.XLOOKUP(A457,A456:A1055,[1]Sheet3!P149:P748)</f>
        <v>3</v>
      </c>
      <c r="M457" s="7">
        <f>_xlfn.XLOOKUP(A457,A456:A1055,[1]Sheet3!Q149:Q748)</f>
        <v>14810.59</v>
      </c>
      <c r="N457" s="9">
        <f>_xlfn.XLOOKUP(A457,A456:A1055,[1]Sheet3!S149:S748)</f>
        <v>0.08</v>
      </c>
      <c r="O457" s="7">
        <f>_xlfn.XLOOKUP(A457,A456:A1055,[1]Sheet3!T149:T748)</f>
        <v>44578.62</v>
      </c>
      <c r="P457" s="7">
        <f>_xlfn.XLOOKUP(A457,A456:A1055,[1]Sheet3!U149:U748)</f>
        <v>10260.620000000001</v>
      </c>
      <c r="Q457" s="11">
        <f>_xlfn.XLOOKUP(A457,A456:A1055,[1]Sheet3!V149:V748)</f>
        <v>0.2301690810527558</v>
      </c>
      <c r="R457" s="7">
        <f>_xlfn.XLOOKUP(A457,A456:A1055,[1]Sheet3!W149:W748)</f>
        <v>65.69</v>
      </c>
      <c r="S457" t="str">
        <f>_xlfn.XLOOKUP(A457,A456:A1055,[1]Sheet3!X149:X748)</f>
        <v>Cash on Delivery</v>
      </c>
      <c r="T457" s="5">
        <f>_xlfn.XLOOKUP(A457,A456:A1055,[1]Sheet3!Z149:Z748)</f>
        <v>3</v>
      </c>
      <c r="U457" t="b">
        <f>_xlfn.XLOOKUP(A457,A456:A1055,[1]Sheet3!AA149:AA748)</f>
        <v>0</v>
      </c>
      <c r="V457" t="str">
        <f>_xlfn.XLOOKUP(A457,A456:A1055,[1]Sheet3!AC149:AC748)</f>
        <v>Delivered</v>
      </c>
      <c r="W457" s="5">
        <f>_xlfn.XLOOKUP(A457,A456:A1055,[1]Sheet3!AE149:AE748)</f>
        <v>5</v>
      </c>
    </row>
    <row r="458" spans="1:23" x14ac:dyDescent="0.35">
      <c r="A458" t="s">
        <v>390</v>
      </c>
      <c r="B458" s="1">
        <f>_xlfn.XLOOKUP(A458,A457:A1056,[1]Sheet3!C209:C808)</f>
        <v>45203</v>
      </c>
      <c r="C458" t="str">
        <f>_xlfn.XLOOKUP(A458,A457:A1056,[1]Sheet3!D209:D808)</f>
        <v>CUST73615</v>
      </c>
      <c r="D458" t="str">
        <f>_xlfn.XLOOKUP(A458,A457:A1056,[1]Sheet3!E209:E808)</f>
        <v>Sanjay Gupta</v>
      </c>
      <c r="E458" s="5">
        <f>_xlfn.XLOOKUP(A458,A457:A1056,[1]Sheet3!G209:G808)</f>
        <v>45</v>
      </c>
      <c r="F458" t="str">
        <f>_xlfn.XLOOKUP('Retail Sales'!A210,'Retail Sales'!A209:A808,[1]Sheet3!H209:H808)</f>
        <v>Adult</v>
      </c>
      <c r="G458" t="str">
        <f>_xlfn.XLOOKUP(A458,A457:A1056,[1]Sheet3!J209:J808)</f>
        <v>Male</v>
      </c>
      <c r="H458" t="str">
        <f>_xlfn.XLOOKUP(A458,A457:A1056,[1]Sheet3!K209:K808)</f>
        <v>West</v>
      </c>
      <c r="I458" t="str">
        <f>_xlfn.XLOOKUP(A458,A457:A1056,[1]Sheet3!L209:L808)</f>
        <v>Surat</v>
      </c>
      <c r="J458" t="str">
        <f>_xlfn.XLOOKUP(A458,A457:A1056,[1]Sheet3!M209:M808)</f>
        <v>Groceries</v>
      </c>
      <c r="K458" t="str">
        <f>_xlfn.XLOOKUP('Retail Sales'!A210,'Retail Sales'!A209:A808,[1]Sheet3!N209:N808)</f>
        <v>Dal (1kg)</v>
      </c>
      <c r="L458" s="5">
        <f>_xlfn.XLOOKUP(A458,A457:A1056,[1]Sheet3!P209:P808)</f>
        <v>4</v>
      </c>
      <c r="M458" s="7">
        <f>_xlfn.XLOOKUP(A458,A457:A1056,[1]Sheet3!Q209:Q808)</f>
        <v>309.85000000000002</v>
      </c>
      <c r="N458" s="9">
        <f>_xlfn.XLOOKUP(A458,A457:A1056,[1]Sheet3!S209:S808)</f>
        <v>0.04</v>
      </c>
      <c r="O458" s="7">
        <f>_xlfn.XLOOKUP(A458,A457:A1056,[1]Sheet3!T209:T808)</f>
        <v>1375.7</v>
      </c>
      <c r="P458" s="7">
        <f>_xlfn.XLOOKUP(A458,A457:A1056,[1]Sheet3!U209:U808)</f>
        <v>128.93</v>
      </c>
      <c r="Q458" s="11">
        <f>_xlfn.XLOOKUP(A458,A457:A1056,[1]Sheet3!V209:V808)</f>
        <v>9.3719560950788691E-2</v>
      </c>
      <c r="R458" s="7">
        <f>_xlfn.XLOOKUP(A458,A457:A1056,[1]Sheet3!W209:W808)</f>
        <v>73.63</v>
      </c>
      <c r="S458" t="str">
        <f>_xlfn.XLOOKUP(A458,A457:A1056,[1]Sheet3!X209:X808)</f>
        <v>UPI</v>
      </c>
      <c r="T458" s="5">
        <f>_xlfn.XLOOKUP(A458,A457:A1056,[1]Sheet3!Z209:Z808)</f>
        <v>4</v>
      </c>
      <c r="U458" t="b">
        <f>_xlfn.XLOOKUP(A458,A457:A1056,[1]Sheet3!AA209:AA808)</f>
        <v>1</v>
      </c>
      <c r="V458" t="str">
        <f>_xlfn.XLOOKUP(A458,A457:A1056,[1]Sheet3!AC209:AC808)</f>
        <v>Returned</v>
      </c>
      <c r="W458" s="5">
        <f>_xlfn.XLOOKUP(A458,A457:A1056,[1]Sheet3!AE209:AE808)</f>
        <v>5</v>
      </c>
    </row>
    <row r="459" spans="1:23" x14ac:dyDescent="0.35">
      <c r="A459" t="s">
        <v>64</v>
      </c>
      <c r="B459" s="1">
        <f>_xlfn.XLOOKUP(A459,A458:A1057,[1]Sheet3!C535:C1134)</f>
        <v>45203</v>
      </c>
      <c r="C459" t="str">
        <f>_xlfn.XLOOKUP(A459,A458:A1057,[1]Sheet3!D535:D1134)</f>
        <v>CUST00106</v>
      </c>
      <c r="D459" t="str">
        <f>_xlfn.XLOOKUP(A459,A458:A1057,[1]Sheet3!E535:E1134)</f>
        <v>Ananya Bhat</v>
      </c>
      <c r="E459" s="5">
        <f>_xlfn.XLOOKUP(A459,A458:A1057,[1]Sheet3!G535:G1134)</f>
        <v>21</v>
      </c>
      <c r="F459" t="str">
        <f>_xlfn.XLOOKUP('Retail Sales'!A536,'Retail Sales'!A535:A1134,[1]Sheet3!H535:H1134)</f>
        <v>Young Adult</v>
      </c>
      <c r="G459" t="str">
        <f>_xlfn.XLOOKUP(A459,A458:A1057,[1]Sheet3!J535:J1134)</f>
        <v>Female</v>
      </c>
      <c r="H459" t="str">
        <f>_xlfn.XLOOKUP(A459,A458:A1057,[1]Sheet3!K535:K1134)</f>
        <v>Central</v>
      </c>
      <c r="I459" t="str">
        <f>_xlfn.XLOOKUP(A459,A458:A1057,[1]Sheet3!L535:L1134)</f>
        <v>Indore</v>
      </c>
      <c r="J459" t="str">
        <f>_xlfn.XLOOKUP(A459,A458:A1057,[1]Sheet3!M535:M1134)</f>
        <v>Books</v>
      </c>
      <c r="K459" t="str">
        <f>_xlfn.XLOOKUP('Retail Sales'!A536,'Retail Sales'!A535:A1134,[1]Sheet3!N535:N1134)</f>
        <v>Cook Book</v>
      </c>
      <c r="L459" s="5">
        <f>_xlfn.XLOOKUP(A459,A458:A1057,[1]Sheet3!P535:P1134)</f>
        <v>9</v>
      </c>
      <c r="M459" s="7">
        <f>_xlfn.XLOOKUP(A459,A458:A1057,[1]Sheet3!Q535:Q1134)</f>
        <v>641.84</v>
      </c>
      <c r="N459" s="9">
        <f>_xlfn.XLOOKUP(A459,A458:A1057,[1]Sheet3!S535:S1134)</f>
        <v>0.19793402777777783</v>
      </c>
      <c r="O459" s="7">
        <f>_xlfn.XLOOKUP(A459,A458:A1057,[1]Sheet3!T535:T1134)</f>
        <v>5619.07</v>
      </c>
      <c r="P459" s="7">
        <f>_xlfn.XLOOKUP(A459,A458:A1057,[1]Sheet3!U535:U1134)</f>
        <v>2471.08</v>
      </c>
      <c r="Q459" s="11">
        <f>_xlfn.XLOOKUP(A459,A458:A1057,[1]Sheet3!V535:V1134)</f>
        <v>0.43976672296305264</v>
      </c>
      <c r="R459" s="7">
        <f>_xlfn.XLOOKUP(A459,A458:A1057,[1]Sheet3!W535:W1134)</f>
        <v>20.79</v>
      </c>
      <c r="S459" t="str">
        <f>_xlfn.XLOOKUP(A459,A458:A1057,[1]Sheet3!X535:X1134)</f>
        <v>Cash on Delivery</v>
      </c>
      <c r="T459" s="5">
        <f>_xlfn.XLOOKUP(A459,A458:A1057,[1]Sheet3!Z535:Z1134)</f>
        <v>1</v>
      </c>
      <c r="U459" t="b">
        <f>_xlfn.XLOOKUP(A459,A458:A1057,[1]Sheet3!AA535:AA1134)</f>
        <v>0</v>
      </c>
      <c r="V459" t="str">
        <f>_xlfn.XLOOKUP(A459,A458:A1057,[1]Sheet3!AC535:AC1134)</f>
        <v>Delivered</v>
      </c>
      <c r="W459" s="5">
        <f>_xlfn.XLOOKUP(A459,A458:A1057,[1]Sheet3!AE535:AE1134)</f>
        <v>5</v>
      </c>
    </row>
    <row r="460" spans="1:23" x14ac:dyDescent="0.35">
      <c r="A460" t="s">
        <v>527</v>
      </c>
      <c r="B460" s="1">
        <f>_xlfn.XLOOKUP(A460,A459:A1058,[1]Sheet3!C72:C671)</f>
        <v>45204</v>
      </c>
      <c r="C460" t="str">
        <f>_xlfn.XLOOKUP(A460,A459:A1058,[1]Sheet3!D72:D671)</f>
        <v>CUST99258</v>
      </c>
      <c r="D460" t="str">
        <f>_xlfn.XLOOKUP(A460,A459:A1058,[1]Sheet3!E72:E671)</f>
        <v>Ananya Joshi</v>
      </c>
      <c r="E460" s="5">
        <f>_xlfn.XLOOKUP(A460,A459:A1058,[1]Sheet3!G72:G671)</f>
        <v>45</v>
      </c>
      <c r="F460" t="str">
        <f>_xlfn.XLOOKUP('Retail Sales'!A73,'Retail Sales'!A72:A671,[1]Sheet3!H72:H671)</f>
        <v>Adult</v>
      </c>
      <c r="G460" t="str">
        <f>_xlfn.XLOOKUP(A460,A459:A1058,[1]Sheet3!J72:J671)</f>
        <v>Other</v>
      </c>
      <c r="H460" t="str">
        <f>_xlfn.XLOOKUP(A460,A459:A1058,[1]Sheet3!K72:K671)</f>
        <v>Central</v>
      </c>
      <c r="I460" t="str">
        <f>_xlfn.XLOOKUP(A460,A459:A1058,[1]Sheet3!L72:L671)</f>
        <v>Raipur</v>
      </c>
      <c r="J460" t="str">
        <f>_xlfn.XLOOKUP(A460,A459:A1058,[1]Sheet3!M72:M671)</f>
        <v>Furniture</v>
      </c>
      <c r="K460" t="str">
        <f>_xlfn.XLOOKUP('Retail Sales'!A73,'Retail Sales'!A72:A671,[1]Sheet3!N72:N671)</f>
        <v>Sofa</v>
      </c>
      <c r="L460" s="5">
        <f>_xlfn.XLOOKUP(A460,A459:A1058,[1]Sheet3!P72:P671)</f>
        <v>2</v>
      </c>
      <c r="M460" s="7">
        <f>_xlfn.XLOOKUP(A460,A459:A1058,[1]Sheet3!Q72:Q671)</f>
        <v>7616.64</v>
      </c>
      <c r="N460" s="9">
        <f>_xlfn.XLOOKUP(A460,A459:A1058,[1]Sheet3!S72:S671)</f>
        <v>0.34</v>
      </c>
      <c r="O460" s="7">
        <f>_xlfn.XLOOKUP(A460,A459:A1058,[1]Sheet3!T72:T671)</f>
        <v>11304.13</v>
      </c>
      <c r="P460" s="7">
        <f>_xlfn.XLOOKUP(A460,A459:A1058,[1]Sheet3!U72:U671)</f>
        <v>3661.21</v>
      </c>
      <c r="Q460" s="11">
        <f>_xlfn.XLOOKUP(A460,A459:A1058,[1]Sheet3!V72:V671)</f>
        <v>0.32388251019760039</v>
      </c>
      <c r="R460" s="7">
        <f>_xlfn.XLOOKUP(A460,A459:A1058,[1]Sheet3!W72:W671)</f>
        <v>29.23</v>
      </c>
      <c r="S460" t="str">
        <f>_xlfn.XLOOKUP(A460,A459:A1058,[1]Sheet3!X72:X671)</f>
        <v>Net Banking</v>
      </c>
      <c r="T460" s="5">
        <f>_xlfn.XLOOKUP(A460,A459:A1058,[1]Sheet3!Z72:Z671)</f>
        <v>4</v>
      </c>
      <c r="U460" t="b">
        <f>_xlfn.XLOOKUP(A460,A459:A1058,[1]Sheet3!AA72:AA671)</f>
        <v>0</v>
      </c>
      <c r="V460" t="str">
        <f>_xlfn.XLOOKUP(A460,A459:A1058,[1]Sheet3!AC72:AC671)</f>
        <v>Delivered</v>
      </c>
      <c r="W460" s="5">
        <f>_xlfn.XLOOKUP(A460,A459:A1058,[1]Sheet3!AE72:AE671)</f>
        <v>1</v>
      </c>
    </row>
    <row r="461" spans="1:23" x14ac:dyDescent="0.35">
      <c r="A461" t="s">
        <v>378</v>
      </c>
      <c r="B461" s="1">
        <f>_xlfn.XLOOKUP(A461,A460:A1059,[1]Sheet3!C221:C820)</f>
        <v>45212</v>
      </c>
      <c r="C461" t="str">
        <f>_xlfn.XLOOKUP(A461,A460:A1059,[1]Sheet3!D221:D820)</f>
        <v>CUST15190</v>
      </c>
      <c r="D461" t="str">
        <f>_xlfn.XLOOKUP(A461,A460:A1059,[1]Sheet3!E221:E820)</f>
        <v>Aditya Shah</v>
      </c>
      <c r="E461" s="5">
        <f>_xlfn.XLOOKUP(A461,A460:A1059,[1]Sheet3!G221:G820)</f>
        <v>37</v>
      </c>
      <c r="F461" t="str">
        <f>_xlfn.XLOOKUP('Retail Sales'!A222,'Retail Sales'!A221:A820,[1]Sheet3!H221:H820)</f>
        <v>Adult</v>
      </c>
      <c r="G461" t="str">
        <f>_xlfn.XLOOKUP(A461,A460:A1059,[1]Sheet3!J221:J820)</f>
        <v>Male</v>
      </c>
      <c r="H461" t="str">
        <f>_xlfn.XLOOKUP(A461,A460:A1059,[1]Sheet3!K221:K820)</f>
        <v>South</v>
      </c>
      <c r="I461" t="str">
        <f>_xlfn.XLOOKUP(A461,A460:A1059,[1]Sheet3!L221:L820)</f>
        <v>Hyderabad</v>
      </c>
      <c r="J461" t="str">
        <f>_xlfn.XLOOKUP(A461,A460:A1059,[1]Sheet3!M221:M820)</f>
        <v>Beauty</v>
      </c>
      <c r="K461" t="str">
        <f>_xlfn.XLOOKUP('Retail Sales'!A222,'Retail Sales'!A221:A820,[1]Sheet3!N221:N820)</f>
        <v>Shampoo</v>
      </c>
      <c r="L461" s="5">
        <f>_xlfn.XLOOKUP(A461,A460:A1059,[1]Sheet3!P221:P820)</f>
        <v>4</v>
      </c>
      <c r="M461" s="7">
        <f>_xlfn.XLOOKUP(A461,A460:A1059,[1]Sheet3!Q221:Q820)</f>
        <v>817.47</v>
      </c>
      <c r="N461" s="9">
        <f>_xlfn.XLOOKUP(A461,A460:A1059,[1]Sheet3!S221:S820)</f>
        <v>0.24</v>
      </c>
      <c r="O461" s="7">
        <f>_xlfn.XLOOKUP(A461,A460:A1059,[1]Sheet3!T221:T820)</f>
        <v>2848.99</v>
      </c>
      <c r="P461" s="7">
        <f>_xlfn.XLOOKUP(A461,A460:A1059,[1]Sheet3!U221:U820)</f>
        <v>1431.62</v>
      </c>
      <c r="Q461" s="11">
        <f>_xlfn.XLOOKUP(A461,A460:A1059,[1]Sheet3!V221:V820)</f>
        <v>0.50250088627899714</v>
      </c>
      <c r="R461" s="7">
        <f>_xlfn.XLOOKUP(A461,A460:A1059,[1]Sheet3!W221:W820)</f>
        <v>61.6</v>
      </c>
      <c r="S461" t="str">
        <f>_xlfn.XLOOKUP(A461,A460:A1059,[1]Sheet3!X221:X820)</f>
        <v>Debit Card</v>
      </c>
      <c r="T461" s="5">
        <f>_xlfn.XLOOKUP(A461,A460:A1059,[1]Sheet3!Z221:Z820)</f>
        <v>5</v>
      </c>
      <c r="U461" t="b">
        <f>_xlfn.XLOOKUP(A461,A460:A1059,[1]Sheet3!AA221:AA820)</f>
        <v>0</v>
      </c>
      <c r="V461" t="str">
        <f>_xlfn.XLOOKUP(A461,A460:A1059,[1]Sheet3!AC221:AC820)</f>
        <v>Cancelled</v>
      </c>
      <c r="W461" s="5">
        <f>_xlfn.XLOOKUP(A461,A460:A1059,[1]Sheet3!AE221:AE820)</f>
        <v>2</v>
      </c>
    </row>
    <row r="462" spans="1:23" x14ac:dyDescent="0.35">
      <c r="A462" t="s">
        <v>328</v>
      </c>
      <c r="B462" s="1">
        <f>_xlfn.XLOOKUP(A462,A461:A1060,[1]Sheet3!C271:C870)</f>
        <v>45215</v>
      </c>
      <c r="C462" t="str">
        <f>_xlfn.XLOOKUP(A462,A461:A1060,[1]Sheet3!D271:D870)</f>
        <v>CUST43688</v>
      </c>
      <c r="D462" t="str">
        <f>_xlfn.XLOOKUP(A462,A461:A1060,[1]Sheet3!E271:E870)</f>
        <v>Amit Iyer</v>
      </c>
      <c r="E462" s="5">
        <f>_xlfn.XLOOKUP(A462,A461:A1060,[1]Sheet3!G271:G870)</f>
        <v>49</v>
      </c>
      <c r="F462" t="str">
        <f>_xlfn.XLOOKUP('Retail Sales'!A272,'Retail Sales'!A271:A870,[1]Sheet3!H271:H870)</f>
        <v>Adult</v>
      </c>
      <c r="G462" t="str">
        <f>_xlfn.XLOOKUP(A462,A461:A1060,[1]Sheet3!J271:J870)</f>
        <v>Other</v>
      </c>
      <c r="H462" t="str">
        <f>_xlfn.XLOOKUP(A462,A461:A1060,[1]Sheet3!K271:K870)</f>
        <v>North</v>
      </c>
      <c r="I462" t="str">
        <f>_xlfn.XLOOKUP(A462,A461:A1060,[1]Sheet3!L271:L870)</f>
        <v>Delhi</v>
      </c>
      <c r="J462" t="str">
        <f>_xlfn.XLOOKUP(A462,A461:A1060,[1]Sheet3!M271:M870)</f>
        <v>Groceries</v>
      </c>
      <c r="K462" t="str">
        <f>_xlfn.XLOOKUP('Retail Sales'!A272,'Retail Sales'!A271:A870,[1]Sheet3!N271:N870)</f>
        <v>Tea</v>
      </c>
      <c r="L462" s="5">
        <f>_xlfn.XLOOKUP(A462,A461:A1060,[1]Sheet3!P271:P870)</f>
        <v>1</v>
      </c>
      <c r="M462" s="7">
        <f>_xlfn.XLOOKUP(A462,A461:A1060,[1]Sheet3!Q271:Q870)</f>
        <v>97.17</v>
      </c>
      <c r="N462" s="9">
        <f>_xlfn.XLOOKUP(A462,A461:A1060,[1]Sheet3!S271:S870)</f>
        <v>0.14000000000000001</v>
      </c>
      <c r="O462" s="7">
        <f>_xlfn.XLOOKUP(A462,A461:A1060,[1]Sheet3!T271:T870)</f>
        <v>86.02</v>
      </c>
      <c r="P462" s="7">
        <f>_xlfn.XLOOKUP(A462,A461:A1060,[1]Sheet3!U271:U870)</f>
        <v>8.27</v>
      </c>
      <c r="Q462" s="11">
        <f>_xlfn.XLOOKUP(A462,A461:A1060,[1]Sheet3!V271:V870)</f>
        <v>9.6140432457568009E-2</v>
      </c>
      <c r="R462" s="7">
        <f>_xlfn.XLOOKUP(A462,A461:A1060,[1]Sheet3!W271:W870)</f>
        <v>46.49</v>
      </c>
      <c r="S462" t="str">
        <f>_xlfn.XLOOKUP(A462,A461:A1060,[1]Sheet3!X271:X870)</f>
        <v>EMI</v>
      </c>
      <c r="T462" s="5">
        <f>_xlfn.XLOOKUP(A462,A461:A1060,[1]Sheet3!Z271:Z870)</f>
        <v>1</v>
      </c>
      <c r="U462" t="b">
        <f>_xlfn.XLOOKUP(A462,A461:A1060,[1]Sheet3!AA271:AA870)</f>
        <v>0</v>
      </c>
      <c r="V462" t="str">
        <f>_xlfn.XLOOKUP(A462,A461:A1060,[1]Sheet3!AC271:AC870)</f>
        <v>Delivered</v>
      </c>
      <c r="W462" s="5">
        <f>_xlfn.XLOOKUP(A462,A461:A1060,[1]Sheet3!AE271:AE870)</f>
        <v>5</v>
      </c>
    </row>
    <row r="463" spans="1:23" x14ac:dyDescent="0.35">
      <c r="A463" t="s">
        <v>434</v>
      </c>
      <c r="B463" s="1">
        <f>_xlfn.XLOOKUP(A463,A462:A1061,[1]Sheet3!C165:C764)</f>
        <v>45217</v>
      </c>
      <c r="C463" t="str">
        <f>_xlfn.XLOOKUP(A463,A462:A1061,[1]Sheet3!D165:D764)</f>
        <v>CUST12676</v>
      </c>
      <c r="D463" t="str">
        <f>_xlfn.XLOOKUP(A463,A462:A1061,[1]Sheet3!E165:E764)</f>
        <v>Meera Iyer</v>
      </c>
      <c r="E463" s="5">
        <f>_xlfn.XLOOKUP(A463,A462:A1061,[1]Sheet3!G165:G764)</f>
        <v>40</v>
      </c>
      <c r="F463" t="str">
        <f>_xlfn.XLOOKUP('Retail Sales'!A166,'Retail Sales'!A165:A764,[1]Sheet3!H165:H764)</f>
        <v>Adult</v>
      </c>
      <c r="G463" t="str">
        <f>_xlfn.XLOOKUP(A463,A462:A1061,[1]Sheet3!J165:J764)</f>
        <v>Male</v>
      </c>
      <c r="H463" t="str">
        <f>_xlfn.XLOOKUP(A463,A462:A1061,[1]Sheet3!K165:K764)</f>
        <v>East</v>
      </c>
      <c r="I463" t="str">
        <f>_xlfn.XLOOKUP(A463,A462:A1061,[1]Sheet3!L165:L764)</f>
        <v>Bhubaneswar</v>
      </c>
      <c r="J463" t="str">
        <f>_xlfn.XLOOKUP(A463,A462:A1061,[1]Sheet3!M165:M764)</f>
        <v>Sports</v>
      </c>
      <c r="K463" t="str">
        <f>_xlfn.XLOOKUP('Retail Sales'!A166,'Retail Sales'!A165:A764,[1]Sheet3!N165:N764)</f>
        <v>Dumbbells</v>
      </c>
      <c r="L463" s="5">
        <f>_xlfn.XLOOKUP(A463,A462:A1061,[1]Sheet3!P165:P764)</f>
        <v>7</v>
      </c>
      <c r="M463" s="7">
        <f>_xlfn.XLOOKUP(A463,A462:A1061,[1]Sheet3!Q165:Q764)</f>
        <v>12597.24</v>
      </c>
      <c r="N463" s="9">
        <f>_xlfn.XLOOKUP(A463,A462:A1061,[1]Sheet3!S165:S764)</f>
        <v>0.11</v>
      </c>
      <c r="O463" s="7">
        <f>_xlfn.XLOOKUP(A463,A462:A1061,[1]Sheet3!T165:T764)</f>
        <v>77124.12</v>
      </c>
      <c r="P463" s="7">
        <f>_xlfn.XLOOKUP(A463,A462:A1061,[1]Sheet3!U165:U764)</f>
        <v>20197.939999999999</v>
      </c>
      <c r="Q463" s="11">
        <f>_xlfn.XLOOKUP(A463,A462:A1061,[1]Sheet3!V165:V764)</f>
        <v>0.26188875801759554</v>
      </c>
      <c r="R463" s="7">
        <f>_xlfn.XLOOKUP(A463,A462:A1061,[1]Sheet3!W165:W764)</f>
        <v>79.69</v>
      </c>
      <c r="S463" t="str">
        <f>_xlfn.XLOOKUP(A463,A462:A1061,[1]Sheet3!X165:X764)</f>
        <v>Net Banking</v>
      </c>
      <c r="T463" s="5">
        <f>_xlfn.XLOOKUP(A463,A462:A1061,[1]Sheet3!Z165:Z764)</f>
        <v>4</v>
      </c>
      <c r="U463" t="b">
        <f>_xlfn.XLOOKUP(A463,A462:A1061,[1]Sheet3!AA165:AA764)</f>
        <v>0</v>
      </c>
      <c r="V463" t="str">
        <f>_xlfn.XLOOKUP(A463,A462:A1061,[1]Sheet3!AC165:AC764)</f>
        <v>Delivered</v>
      </c>
      <c r="W463" s="5">
        <f>_xlfn.XLOOKUP(A463,A462:A1061,[1]Sheet3!AE165:AE764)</f>
        <v>8</v>
      </c>
    </row>
    <row r="464" spans="1:23" x14ac:dyDescent="0.35">
      <c r="A464" t="s">
        <v>282</v>
      </c>
      <c r="B464" s="1">
        <f>_xlfn.XLOOKUP(A464,A463:A1062,[1]Sheet3!C317:C916)</f>
        <v>45218</v>
      </c>
      <c r="C464" t="str">
        <f>_xlfn.XLOOKUP(A464,A463:A1062,[1]Sheet3!D317:D916)</f>
        <v>CUST72297</v>
      </c>
      <c r="D464" t="str">
        <f>_xlfn.XLOOKUP(A464,A463:A1062,[1]Sheet3!E317:E916)</f>
        <v>Nisha Bhat</v>
      </c>
      <c r="E464" s="5">
        <f>_xlfn.XLOOKUP(A464,A463:A1062,[1]Sheet3!G317:G916)</f>
        <v>53</v>
      </c>
      <c r="F464" t="str">
        <f>_xlfn.XLOOKUP('Retail Sales'!A318,'Retail Sales'!A317:A916,[1]Sheet3!H317:H916)</f>
        <v>Senior</v>
      </c>
      <c r="G464" t="str">
        <f>_xlfn.XLOOKUP(A464,A463:A1062,[1]Sheet3!J317:J916)</f>
        <v>Female</v>
      </c>
      <c r="H464" t="str">
        <f>_xlfn.XLOOKUP(A464,A463:A1062,[1]Sheet3!K317:K916)</f>
        <v>South</v>
      </c>
      <c r="I464" t="str">
        <f>_xlfn.XLOOKUP(A464,A463:A1062,[1]Sheet3!L317:L916)</f>
        <v>Bangalore</v>
      </c>
      <c r="J464" t="str">
        <f>_xlfn.XLOOKUP(A464,A463:A1062,[1]Sheet3!M317:M916)</f>
        <v>Furniture</v>
      </c>
      <c r="K464" t="str">
        <f>_xlfn.XLOOKUP('Retail Sales'!A318,'Retail Sales'!A317:A916,[1]Sheet3!N317:N916)</f>
        <v>Bed Frame</v>
      </c>
      <c r="L464" s="5">
        <f>_xlfn.XLOOKUP(A464,A463:A1062,[1]Sheet3!P317:P916)</f>
        <v>5</v>
      </c>
      <c r="M464" s="7">
        <f>_xlfn.XLOOKUP(A464,A463:A1062,[1]Sheet3!Q317:Q916)</f>
        <v>2374.77</v>
      </c>
      <c r="N464" s="9">
        <f>_xlfn.XLOOKUP(A464,A463:A1062,[1]Sheet3!S317:S916)</f>
        <v>0.28000000000000003</v>
      </c>
      <c r="O464" s="7">
        <f>_xlfn.XLOOKUP(A464,A463:A1062,[1]Sheet3!T317:T916)</f>
        <v>9688.23</v>
      </c>
      <c r="P464" s="7">
        <f>_xlfn.XLOOKUP(A464,A463:A1062,[1]Sheet3!U317:U916)</f>
        <v>2614.25</v>
      </c>
      <c r="Q464" s="11">
        <f>_xlfn.XLOOKUP(A464,A463:A1062,[1]Sheet3!V317:V916)</f>
        <v>0.26983773093743646</v>
      </c>
      <c r="R464" s="7">
        <f>_xlfn.XLOOKUP(A464,A463:A1062,[1]Sheet3!W317:W916)</f>
        <v>83.81</v>
      </c>
      <c r="S464" t="str">
        <f>_xlfn.XLOOKUP(A464,A463:A1062,[1]Sheet3!X317:X916)</f>
        <v>UPI</v>
      </c>
      <c r="T464" s="5">
        <f>_xlfn.XLOOKUP(A464,A463:A1062,[1]Sheet3!Z317:Z916)</f>
        <v>1</v>
      </c>
      <c r="U464" t="b">
        <f>_xlfn.XLOOKUP(A464,A463:A1062,[1]Sheet3!AA317:AA916)</f>
        <v>0</v>
      </c>
      <c r="V464" t="str">
        <f>_xlfn.XLOOKUP(A464,A463:A1062,[1]Sheet3!AC317:AC916)</f>
        <v>Delivered</v>
      </c>
      <c r="W464" s="5">
        <f>_xlfn.XLOOKUP(A464,A463:A1062,[1]Sheet3!AE317:AE916)</f>
        <v>6</v>
      </c>
    </row>
    <row r="465" spans="1:23" x14ac:dyDescent="0.35">
      <c r="A465" t="s">
        <v>196</v>
      </c>
      <c r="B465" s="1">
        <f>_xlfn.XLOOKUP(A465,A464:A1063,[1]Sheet3!C403:C1002)</f>
        <v>45219</v>
      </c>
      <c r="C465" t="str">
        <f>_xlfn.XLOOKUP(A465,A464:A1063,[1]Sheet3!D403:D1002)</f>
        <v>CUST59240</v>
      </c>
      <c r="D465" t="str">
        <f>_xlfn.XLOOKUP(A465,A464:A1063,[1]Sheet3!E403:E1002)</f>
        <v>Ananya Mehta</v>
      </c>
      <c r="E465" s="5">
        <f>_xlfn.XLOOKUP(A465,A464:A1063,[1]Sheet3!G403:G1002)</f>
        <v>47</v>
      </c>
      <c r="F465" t="str">
        <f>_xlfn.XLOOKUP('Retail Sales'!A404,'Retail Sales'!A403:A1002,[1]Sheet3!H403:H1002)</f>
        <v>Adult</v>
      </c>
      <c r="G465" t="str">
        <f>_xlfn.XLOOKUP(A465,A464:A1063,[1]Sheet3!J403:J1002)</f>
        <v>Male</v>
      </c>
      <c r="H465" t="str">
        <f>_xlfn.XLOOKUP(A465,A464:A1063,[1]Sheet3!K403:K1002)</f>
        <v>North</v>
      </c>
      <c r="I465" t="str">
        <f>_xlfn.XLOOKUP(A465,A464:A1063,[1]Sheet3!L403:L1002)</f>
        <v>Ludhiana</v>
      </c>
      <c r="J465" t="str">
        <f>_xlfn.XLOOKUP(A465,A464:A1063,[1]Sheet3!M403:M1002)</f>
        <v>Beauty</v>
      </c>
      <c r="K465" t="str">
        <f>_xlfn.XLOOKUP('Retail Sales'!A404,'Retail Sales'!A403:A1002,[1]Sheet3!N403:N1002)</f>
        <v>Shampoo</v>
      </c>
      <c r="L465" s="5">
        <f>_xlfn.XLOOKUP(A465,A464:A1063,[1]Sheet3!P403:P1002)</f>
        <v>3</v>
      </c>
      <c r="M465" s="7">
        <f>_xlfn.XLOOKUP(A465,A464:A1063,[1]Sheet3!Q403:Q1002)</f>
        <v>2099.98</v>
      </c>
      <c r="N465" s="9">
        <f>_xlfn.XLOOKUP(A465,A464:A1063,[1]Sheet3!S403:S1002)</f>
        <v>0.35</v>
      </c>
      <c r="O465" s="7">
        <f>_xlfn.XLOOKUP(A465,A464:A1063,[1]Sheet3!T403:T1002)</f>
        <v>4400.47</v>
      </c>
      <c r="P465" s="7">
        <f>_xlfn.XLOOKUP(A465,A464:A1063,[1]Sheet3!U403:U1002)</f>
        <v>2125.89</v>
      </c>
      <c r="Q465" s="11">
        <f>_xlfn.XLOOKUP(A465,A464:A1063,[1]Sheet3!V403:V1002)</f>
        <v>0.48310521376125726</v>
      </c>
      <c r="R465" s="7">
        <f>_xlfn.XLOOKUP(A465,A464:A1063,[1]Sheet3!W403:W1002)</f>
        <v>50.77</v>
      </c>
      <c r="S465" t="str">
        <f>_xlfn.XLOOKUP(A465,A464:A1063,[1]Sheet3!X403:X1002)</f>
        <v>Cash on Delivery</v>
      </c>
      <c r="T465" s="5">
        <f>_xlfn.XLOOKUP(A465,A464:A1063,[1]Sheet3!Z403:Z1002)</f>
        <v>3</v>
      </c>
      <c r="U465" t="b">
        <f>_xlfn.XLOOKUP(A465,A464:A1063,[1]Sheet3!AA403:AA1002)</f>
        <v>1</v>
      </c>
      <c r="V465" t="str">
        <f>_xlfn.XLOOKUP(A465,A464:A1063,[1]Sheet3!AC403:AC1002)</f>
        <v>Returned</v>
      </c>
      <c r="W465" s="5">
        <f>_xlfn.XLOOKUP(A465,A464:A1063,[1]Sheet3!AE403:AE1002)</f>
        <v>7</v>
      </c>
    </row>
    <row r="466" spans="1:23" x14ac:dyDescent="0.35">
      <c r="A466" t="s">
        <v>246</v>
      </c>
      <c r="B466" s="1">
        <f>_xlfn.XLOOKUP(A466,A465:A1064,[1]Sheet3!C353:C952)</f>
        <v>45221</v>
      </c>
      <c r="C466" t="str">
        <f>_xlfn.XLOOKUP(A466,A465:A1064,[1]Sheet3!D353:D952)</f>
        <v>CUST14537</v>
      </c>
      <c r="D466" t="str">
        <f>_xlfn.XLOOKUP(A466,A465:A1064,[1]Sheet3!E353:E952)</f>
        <v>Pooja Joshi</v>
      </c>
      <c r="E466" s="5">
        <f>_xlfn.XLOOKUP(A466,A465:A1064,[1]Sheet3!G353:G952)</f>
        <v>41</v>
      </c>
      <c r="F466" t="str">
        <f>_xlfn.XLOOKUP('Retail Sales'!A354,'Retail Sales'!A353:A952,[1]Sheet3!H353:H952)</f>
        <v>Adult</v>
      </c>
      <c r="G466" t="str">
        <f>_xlfn.XLOOKUP(A466,A465:A1064,[1]Sheet3!J353:J952)</f>
        <v>Other</v>
      </c>
      <c r="H466" t="str">
        <f>_xlfn.XLOOKUP(A466,A465:A1064,[1]Sheet3!K353:K952)</f>
        <v>North</v>
      </c>
      <c r="I466" t="str">
        <f>_xlfn.XLOOKUP(A466,A465:A1064,[1]Sheet3!L353:L952)</f>
        <v>Amritsar</v>
      </c>
      <c r="J466" t="str">
        <f>_xlfn.XLOOKUP(A466,A465:A1064,[1]Sheet3!M353:M952)</f>
        <v>Beauty</v>
      </c>
      <c r="K466" t="str">
        <f>_xlfn.XLOOKUP('Retail Sales'!A354,'Retail Sales'!A353:A952,[1]Sheet3!N353:N952)</f>
        <v>Hair Oil</v>
      </c>
      <c r="L466" s="5">
        <f>_xlfn.XLOOKUP(A466,A465:A1064,[1]Sheet3!P353:P952)</f>
        <v>10</v>
      </c>
      <c r="M466" s="7">
        <f>_xlfn.XLOOKUP(A466,A465:A1064,[1]Sheet3!Q353:Q952)</f>
        <v>850.71</v>
      </c>
      <c r="N466" s="9">
        <f>_xlfn.XLOOKUP(A466,A465:A1064,[1]Sheet3!S353:S952)</f>
        <v>0.4</v>
      </c>
      <c r="O466" s="7">
        <f>_xlfn.XLOOKUP(A466,A465:A1064,[1]Sheet3!T353:T952)</f>
        <v>5762.75</v>
      </c>
      <c r="P466" s="7">
        <f>_xlfn.XLOOKUP(A466,A465:A1064,[1]Sheet3!U353:U952)</f>
        <v>2735.24</v>
      </c>
      <c r="Q466" s="11">
        <f>_xlfn.XLOOKUP(A466,A465:A1064,[1]Sheet3!V353:V952)</f>
        <v>0.47464144722571683</v>
      </c>
      <c r="R466" s="7">
        <f>_xlfn.XLOOKUP(A466,A465:A1064,[1]Sheet3!W353:W952)</f>
        <v>38.04</v>
      </c>
      <c r="S466" t="str">
        <f>_xlfn.XLOOKUP(A466,A465:A1064,[1]Sheet3!X353:X952)</f>
        <v>Cash on Delivery</v>
      </c>
      <c r="T466" s="5">
        <f>_xlfn.XLOOKUP(A466,A465:A1064,[1]Sheet3!Z353:Z952)</f>
        <v>4</v>
      </c>
      <c r="U466" t="b">
        <f>_xlfn.XLOOKUP(A466,A465:A1064,[1]Sheet3!AA353:AA952)</f>
        <v>0</v>
      </c>
      <c r="V466" t="str">
        <f>_xlfn.XLOOKUP(A466,A465:A1064,[1]Sheet3!AC353:AC952)</f>
        <v>Delivered</v>
      </c>
      <c r="W466" s="5">
        <f>_xlfn.XLOOKUP(A466,A465:A1064,[1]Sheet3!AE353:AE952)</f>
        <v>6</v>
      </c>
    </row>
    <row r="467" spans="1:23" x14ac:dyDescent="0.35">
      <c r="A467" t="s">
        <v>164</v>
      </c>
      <c r="B467" s="1">
        <f>_xlfn.XLOOKUP(A467,A466:A1065,[1]Sheet3!C435:C1034)</f>
        <v>45228</v>
      </c>
      <c r="C467" t="str">
        <f>_xlfn.XLOOKUP(A467,A466:A1065,[1]Sheet3!D435:D1034)</f>
        <v>CUST88608</v>
      </c>
      <c r="D467" t="str">
        <f>_xlfn.XLOOKUP(A467,A466:A1065,[1]Sheet3!E435:E1034)</f>
        <v>Nikhil Nair</v>
      </c>
      <c r="E467" s="5">
        <f>_xlfn.XLOOKUP(A467,A466:A1065,[1]Sheet3!G435:G1034)</f>
        <v>50</v>
      </c>
      <c r="F467" t="str">
        <f>_xlfn.XLOOKUP('Retail Sales'!A436,'Retail Sales'!A435:A1034,[1]Sheet3!H435:H1034)</f>
        <v>Adult</v>
      </c>
      <c r="G467" t="str">
        <f>_xlfn.XLOOKUP(A467,A466:A1065,[1]Sheet3!J435:J1034)</f>
        <v>Male</v>
      </c>
      <c r="H467" t="str">
        <f>_xlfn.XLOOKUP(A467,A466:A1065,[1]Sheet3!K435:K1034)</f>
        <v>South</v>
      </c>
      <c r="I467" t="str">
        <f>_xlfn.XLOOKUP(A467,A466:A1065,[1]Sheet3!L435:L1034)</f>
        <v>Hyderabad</v>
      </c>
      <c r="J467" t="str">
        <f>_xlfn.XLOOKUP(A467,A466:A1065,[1]Sheet3!M435:M1034)</f>
        <v>Beauty</v>
      </c>
      <c r="K467" t="str">
        <f>_xlfn.XLOOKUP('Retail Sales'!A436,'Retail Sales'!A435:A1034,[1]Sheet3!N435:N1034)</f>
        <v>Sunscreen</v>
      </c>
      <c r="L467" s="5">
        <f>_xlfn.XLOOKUP(A467,A466:A1065,[1]Sheet3!P435:P1034)</f>
        <v>2</v>
      </c>
      <c r="M467" s="7">
        <f>_xlfn.XLOOKUP(A467,A466:A1065,[1]Sheet3!Q435:Q1034)</f>
        <v>1820.95</v>
      </c>
      <c r="N467" s="9">
        <f>_xlfn.XLOOKUP(A467,A466:A1065,[1]Sheet3!S435:S1034)</f>
        <v>0.15</v>
      </c>
      <c r="O467" s="7">
        <f>_xlfn.XLOOKUP(A467,A466:A1065,[1]Sheet3!T435:T1034)</f>
        <v>2961.7</v>
      </c>
      <c r="P467" s="7">
        <f>_xlfn.XLOOKUP(A467,A466:A1065,[1]Sheet3!U435:U1034)</f>
        <v>1317.61</v>
      </c>
      <c r="Q467" s="11">
        <f>_xlfn.XLOOKUP(A467,A466:A1065,[1]Sheet3!V435:V1034)</f>
        <v>0.4448830063814701</v>
      </c>
      <c r="R467" s="7">
        <f>_xlfn.XLOOKUP(A467,A466:A1065,[1]Sheet3!W435:W1034)</f>
        <v>69.89</v>
      </c>
      <c r="S467" t="str">
        <f>_xlfn.XLOOKUP(A467,A466:A1065,[1]Sheet3!X435:X1034)</f>
        <v>Net Banking</v>
      </c>
      <c r="T467" s="5">
        <f>_xlfn.XLOOKUP(A467,A466:A1065,[1]Sheet3!Z435:Z1034)</f>
        <v>4</v>
      </c>
      <c r="U467" t="b">
        <f>_xlfn.XLOOKUP(A467,A466:A1065,[1]Sheet3!AA435:AA1034)</f>
        <v>0</v>
      </c>
      <c r="V467" t="str">
        <f>_xlfn.XLOOKUP(A467,A466:A1065,[1]Sheet3!AC435:AC1034)</f>
        <v>Delivered</v>
      </c>
      <c r="W467" s="5">
        <f>_xlfn.XLOOKUP(A467,A466:A1065,[1]Sheet3!AE435:AE1034)</f>
        <v>5</v>
      </c>
    </row>
    <row r="468" spans="1:23" x14ac:dyDescent="0.35">
      <c r="A468" t="s">
        <v>531</v>
      </c>
      <c r="B468" s="1">
        <f>_xlfn.XLOOKUP(A468,A467:A1066,[1]Sheet3!C68:C667)</f>
        <v>45234</v>
      </c>
      <c r="C468" t="str">
        <f>_xlfn.XLOOKUP(A468,A467:A1066,[1]Sheet3!D68:D667)</f>
        <v>CUST43818</v>
      </c>
      <c r="D468" t="str">
        <f>_xlfn.XLOOKUP(A468,A467:A1066,[1]Sheet3!E68:E667)</f>
        <v>Arjun Bhat</v>
      </c>
      <c r="E468" s="5">
        <f>_xlfn.XLOOKUP(A468,A467:A1066,[1]Sheet3!G68:G667)</f>
        <v>30</v>
      </c>
      <c r="F468" t="str">
        <f>_xlfn.XLOOKUP('Retail Sales'!A69,'Retail Sales'!A68:A667,[1]Sheet3!H68:H667)</f>
        <v>Young Adult</v>
      </c>
      <c r="G468" t="str">
        <f>_xlfn.XLOOKUP(A468,A467:A1066,[1]Sheet3!J68:J667)</f>
        <v>Male</v>
      </c>
      <c r="H468" t="str">
        <f>_xlfn.XLOOKUP(A468,A467:A1066,[1]Sheet3!K68:K667)</f>
        <v>South</v>
      </c>
      <c r="I468" t="str">
        <f>_xlfn.XLOOKUP(A468,A467:A1066,[1]Sheet3!L68:L667)</f>
        <v>Kochi</v>
      </c>
      <c r="J468" t="str">
        <f>_xlfn.XLOOKUP(A468,A467:A1066,[1]Sheet3!M68:M667)</f>
        <v>Clothing</v>
      </c>
      <c r="K468" t="str">
        <f>_xlfn.XLOOKUP('Retail Sales'!A69,'Retail Sales'!A68:A667,[1]Sheet3!N68:N667)</f>
        <v>Saree</v>
      </c>
      <c r="L468" s="5">
        <f>_xlfn.XLOOKUP(A468,A467:A1066,[1]Sheet3!P68:P667)</f>
        <v>7</v>
      </c>
      <c r="M468" s="7">
        <f>_xlfn.XLOOKUP(A468,A467:A1066,[1]Sheet3!Q68:Q667)</f>
        <v>2102.17</v>
      </c>
      <c r="N468" s="9">
        <f>_xlfn.XLOOKUP(A468,A467:A1066,[1]Sheet3!S68:S667)</f>
        <v>0.13</v>
      </c>
      <c r="O468" s="7">
        <f>_xlfn.XLOOKUP(A468,A467:A1066,[1]Sheet3!T68:T667)</f>
        <v>11565.64</v>
      </c>
      <c r="P468" s="7">
        <f>_xlfn.XLOOKUP(A468,A467:A1066,[1]Sheet3!U68:U667)</f>
        <v>3358.13</v>
      </c>
      <c r="Q468" s="11">
        <f>_xlfn.XLOOKUP(A468,A467:A1066,[1]Sheet3!V68:V667)</f>
        <v>0.29035401413151374</v>
      </c>
      <c r="R468" s="7">
        <f>_xlfn.XLOOKUP(A468,A467:A1066,[1]Sheet3!W68:W667)</f>
        <v>62.02</v>
      </c>
      <c r="S468" t="str">
        <f>_xlfn.XLOOKUP(A468,A467:A1066,[1]Sheet3!X68:X667)</f>
        <v>Net Banking</v>
      </c>
      <c r="T468" s="5">
        <f>_xlfn.XLOOKUP(A468,A467:A1066,[1]Sheet3!Z68:Z667)</f>
        <v>3</v>
      </c>
      <c r="U468" t="b">
        <f>_xlfn.XLOOKUP(A468,A467:A1066,[1]Sheet3!AA68:AA667)</f>
        <v>0</v>
      </c>
      <c r="V468" t="str">
        <f>_xlfn.XLOOKUP(A468,A467:A1066,[1]Sheet3!AC68:AC667)</f>
        <v>Shipped</v>
      </c>
      <c r="W468" s="5">
        <f>_xlfn.XLOOKUP(A468,A467:A1066,[1]Sheet3!AE68:AE667)</f>
        <v>8</v>
      </c>
    </row>
    <row r="469" spans="1:23" x14ac:dyDescent="0.35">
      <c r="A469" t="s">
        <v>581</v>
      </c>
      <c r="B469" s="1">
        <f>_xlfn.XLOOKUP(A469,A468:A1067,[1]Sheet3!C18:C617)</f>
        <v>45236</v>
      </c>
      <c r="C469" t="str">
        <f>_xlfn.XLOOKUP(A469,A468:A1067,[1]Sheet3!D18:D617)</f>
        <v>CUST88256</v>
      </c>
      <c r="D469" t="str">
        <f>_xlfn.XLOOKUP(A469,A468:A1067,[1]Sheet3!E18:E617)</f>
        <v>Shreya Singh</v>
      </c>
      <c r="E469" s="5">
        <f>_xlfn.XLOOKUP(A469,A468:A1067,[1]Sheet3!G18:G617)</f>
        <v>15</v>
      </c>
      <c r="F469" t="str">
        <f>_xlfn.XLOOKUP('Retail Sales'!A19,'Retail Sales'!A18:A617,[1]Sheet3!H18:H617)</f>
        <v>Teen</v>
      </c>
      <c r="G469" t="str">
        <f>_xlfn.XLOOKUP(A469,A468:A1067,[1]Sheet3!J18:J617)</f>
        <v>Male</v>
      </c>
      <c r="H469" t="str">
        <f>_xlfn.XLOOKUP(A469,A468:A1067,[1]Sheet3!K18:K617)</f>
        <v>East</v>
      </c>
      <c r="I469" t="str">
        <f>_xlfn.XLOOKUP(A469,A468:A1067,[1]Sheet3!L18:L617)</f>
        <v>Guwahati</v>
      </c>
      <c r="J469" t="str">
        <f>_xlfn.XLOOKUP(A469,A468:A1067,[1]Sheet3!M18:M617)</f>
        <v>Electronics</v>
      </c>
      <c r="K469" t="str">
        <f>_xlfn.XLOOKUP('Retail Sales'!A19,'Retail Sales'!A18:A617,[1]Sheet3!N18:N617)</f>
        <v>Tablet</v>
      </c>
      <c r="L469" s="5">
        <f>_xlfn.XLOOKUP(A469,A468:A1067,[1]Sheet3!P18:P617)</f>
        <v>8</v>
      </c>
      <c r="M469" s="7">
        <f>_xlfn.XLOOKUP(A469,A468:A1067,[1]Sheet3!Q18:Q617)</f>
        <v>73558.44</v>
      </c>
      <c r="N469" s="9">
        <f>_xlfn.XLOOKUP(A469,A468:A1067,[1]Sheet3!S18:S617)</f>
        <v>0.4</v>
      </c>
      <c r="O469" s="7">
        <f>_xlfn.XLOOKUP(A469,A468:A1067,[1]Sheet3!T18:T617)</f>
        <v>315130.44</v>
      </c>
      <c r="P469" s="7">
        <f>_xlfn.XLOOKUP(A469,A468:A1067,[1]Sheet3!U18:U617)</f>
        <v>53808.65</v>
      </c>
      <c r="Q469" s="11">
        <f>_xlfn.XLOOKUP(A469,A468:A1067,[1]Sheet3!V18:V617)</f>
        <v>0.17075040418183657</v>
      </c>
      <c r="R469" s="7">
        <f>_xlfn.XLOOKUP(A469,A468:A1067,[1]Sheet3!W18:W617)</f>
        <v>82.71</v>
      </c>
      <c r="S469" t="str">
        <f>_xlfn.XLOOKUP(A469,A468:A1067,[1]Sheet3!X18:X617)</f>
        <v>UPI</v>
      </c>
      <c r="T469" s="5">
        <f>_xlfn.XLOOKUP(A469,A468:A1067,[1]Sheet3!Z18:Z617)</f>
        <v>3</v>
      </c>
      <c r="U469" t="b">
        <f>_xlfn.XLOOKUP(A469,A468:A1067,[1]Sheet3!AA18:AA617)</f>
        <v>0</v>
      </c>
      <c r="V469" t="str">
        <f>_xlfn.XLOOKUP(A469,A468:A1067,[1]Sheet3!AC18:AC617)</f>
        <v>Delivered</v>
      </c>
      <c r="W469" s="5">
        <f>_xlfn.XLOOKUP(A469,A468:A1067,[1]Sheet3!AE18:AE617)</f>
        <v>6</v>
      </c>
    </row>
    <row r="470" spans="1:23" x14ac:dyDescent="0.35">
      <c r="A470" t="s">
        <v>373</v>
      </c>
      <c r="B470" s="1">
        <f>_xlfn.XLOOKUP(A470,A469:A1068,[1]Sheet3!C226:C825)</f>
        <v>45238</v>
      </c>
      <c r="C470" t="str">
        <f>_xlfn.XLOOKUP(A470,A469:A1068,[1]Sheet3!D226:D825)</f>
        <v>CUST28855</v>
      </c>
      <c r="D470" t="str">
        <f>_xlfn.XLOOKUP(A470,A469:A1068,[1]Sheet3!E226:E825)</f>
        <v>Kavya Kumar</v>
      </c>
      <c r="E470" s="5">
        <f>_xlfn.XLOOKUP(A470,A469:A1068,[1]Sheet3!G226:G825)</f>
        <v>26</v>
      </c>
      <c r="F470" t="str">
        <f>_xlfn.XLOOKUP('Retail Sales'!A227,'Retail Sales'!A226:A825,[1]Sheet3!H226:H825)</f>
        <v>Young Adult</v>
      </c>
      <c r="G470" t="str">
        <f>_xlfn.XLOOKUP(A470,A469:A1068,[1]Sheet3!J226:J825)</f>
        <v>Female</v>
      </c>
      <c r="H470" t="str">
        <f>_xlfn.XLOOKUP(A470,A469:A1068,[1]Sheet3!K226:K825)</f>
        <v>South</v>
      </c>
      <c r="I470" t="str">
        <f>_xlfn.XLOOKUP(A470,A469:A1068,[1]Sheet3!L226:L825)</f>
        <v>Chennai</v>
      </c>
      <c r="J470" t="str">
        <f>_xlfn.XLOOKUP(A470,A469:A1068,[1]Sheet3!M226:M825)</f>
        <v>Groceries</v>
      </c>
      <c r="K470" t="str">
        <f>_xlfn.XLOOKUP('Retail Sales'!A227,'Retail Sales'!A226:A825,[1]Sheet3!N226:N825)</f>
        <v>Cooking Oil</v>
      </c>
      <c r="L470" s="5">
        <f>_xlfn.XLOOKUP(A470,A469:A1068,[1]Sheet3!P226:P825)</f>
        <v>9</v>
      </c>
      <c r="M470" s="7">
        <f>_xlfn.XLOOKUP(A470,A469:A1068,[1]Sheet3!Q226:Q825)</f>
        <v>165.39</v>
      </c>
      <c r="N470" s="9">
        <f>_xlfn.XLOOKUP(A470,A469:A1068,[1]Sheet3!S226:S825)</f>
        <v>0.22</v>
      </c>
      <c r="O470" s="7">
        <f>_xlfn.XLOOKUP(A470,A469:A1068,[1]Sheet3!T226:T825)</f>
        <v>1080.19</v>
      </c>
      <c r="P470" s="7">
        <f>_xlfn.XLOOKUP(A470,A469:A1068,[1]Sheet3!U226:U825)</f>
        <v>98.81</v>
      </c>
      <c r="Q470" s="11">
        <f>_xlfn.XLOOKUP(A470,A469:A1068,[1]Sheet3!V226:V825)</f>
        <v>9.1474647978596349E-2</v>
      </c>
      <c r="R470" s="7">
        <f>_xlfn.XLOOKUP(A470,A469:A1068,[1]Sheet3!W226:W825)</f>
        <v>71.09</v>
      </c>
      <c r="S470" t="str">
        <f>_xlfn.XLOOKUP(A470,A469:A1068,[1]Sheet3!X226:X825)</f>
        <v>Cash on Delivery</v>
      </c>
      <c r="T470" s="5">
        <f>_xlfn.XLOOKUP(A470,A469:A1068,[1]Sheet3!Z226:Z825)</f>
        <v>3</v>
      </c>
      <c r="U470" t="b">
        <f>_xlfn.XLOOKUP(A470,A469:A1068,[1]Sheet3!AA226:AA825)</f>
        <v>0</v>
      </c>
      <c r="V470" t="str">
        <f>_xlfn.XLOOKUP(A470,A469:A1068,[1]Sheet3!AC226:AC825)</f>
        <v>Delivered</v>
      </c>
      <c r="W470" s="5">
        <f>_xlfn.XLOOKUP(A470,A469:A1068,[1]Sheet3!AE226:AE825)</f>
        <v>6</v>
      </c>
    </row>
    <row r="471" spans="1:23" x14ac:dyDescent="0.35">
      <c r="A471" t="s">
        <v>338</v>
      </c>
      <c r="B471" s="1">
        <f>_xlfn.XLOOKUP(A471,A470:A1069,[1]Sheet3!C261:C860)</f>
        <v>45246</v>
      </c>
      <c r="C471" t="str">
        <f>_xlfn.XLOOKUP(A471,A470:A1069,[1]Sheet3!D261:D860)</f>
        <v>CUST06690</v>
      </c>
      <c r="D471" t="str">
        <f>_xlfn.XLOOKUP(A471,A470:A1069,[1]Sheet3!E261:E860)</f>
        <v>Sunita Iyer</v>
      </c>
      <c r="E471" s="5">
        <f>_xlfn.XLOOKUP(A471,A470:A1069,[1]Sheet3!G261:G860)</f>
        <v>28</v>
      </c>
      <c r="F471" t="str">
        <f>_xlfn.XLOOKUP('Retail Sales'!A262,'Retail Sales'!A261:A860,[1]Sheet3!H261:H860)</f>
        <v>Young Adult</v>
      </c>
      <c r="G471" t="str">
        <f>_xlfn.XLOOKUP(A471,A470:A1069,[1]Sheet3!J261:J860)</f>
        <v>Other</v>
      </c>
      <c r="H471" t="str">
        <f>_xlfn.XLOOKUP(A471,A470:A1069,[1]Sheet3!K261:K860)</f>
        <v>West</v>
      </c>
      <c r="I471" t="str">
        <f>_xlfn.XLOOKUP(A471,A470:A1069,[1]Sheet3!L261:L860)</f>
        <v>Ahmedabad</v>
      </c>
      <c r="J471" t="str">
        <f>_xlfn.XLOOKUP(A471,A470:A1069,[1]Sheet3!M261:M860)</f>
        <v>Clothing</v>
      </c>
      <c r="K471" t="str">
        <f>_xlfn.XLOOKUP('Retail Sales'!A262,'Retail Sales'!A261:A860,[1]Sheet3!N261:N860)</f>
        <v>Saree</v>
      </c>
      <c r="L471" s="5">
        <f>_xlfn.XLOOKUP(A471,A470:A1069,[1]Sheet3!P261:P860)</f>
        <v>8</v>
      </c>
      <c r="M471" s="7">
        <f>_xlfn.XLOOKUP(A471,A470:A1069,[1]Sheet3!Q261:Q860)</f>
        <v>1471.86</v>
      </c>
      <c r="N471" s="9">
        <f>_xlfn.XLOOKUP(A471,A470:A1069,[1]Sheet3!S261:S860)</f>
        <v>0.27</v>
      </c>
      <c r="O471" s="7">
        <f>_xlfn.XLOOKUP(A471,A470:A1069,[1]Sheet3!T261:T860)</f>
        <v>8376.83</v>
      </c>
      <c r="P471" s="7">
        <f>_xlfn.XLOOKUP(A471,A470:A1069,[1]Sheet3!U261:U860)</f>
        <v>3013.79</v>
      </c>
      <c r="Q471" s="11">
        <f>_xlfn.XLOOKUP(A471,A470:A1069,[1]Sheet3!V261:V860)</f>
        <v>0.35977690844866139</v>
      </c>
      <c r="R471" s="7">
        <f>_xlfn.XLOOKUP(A471,A470:A1069,[1]Sheet3!W261:W860)</f>
        <v>87.43</v>
      </c>
      <c r="S471" t="str">
        <f>_xlfn.XLOOKUP(A471,A470:A1069,[1]Sheet3!X261:X860)</f>
        <v>Credit Card</v>
      </c>
      <c r="T471" s="5">
        <f>_xlfn.XLOOKUP(A471,A470:A1069,[1]Sheet3!Z261:Z860)</f>
        <v>3</v>
      </c>
      <c r="U471" t="b">
        <f>_xlfn.XLOOKUP(A471,A470:A1069,[1]Sheet3!AA261:AA860)</f>
        <v>0</v>
      </c>
      <c r="V471" t="str">
        <f>_xlfn.XLOOKUP(A471,A470:A1069,[1]Sheet3!AC261:AC860)</f>
        <v>Delivered</v>
      </c>
      <c r="W471" s="5">
        <f>_xlfn.XLOOKUP(A471,A470:A1069,[1]Sheet3!AE261:AE860)</f>
        <v>7</v>
      </c>
    </row>
    <row r="472" spans="1:23" x14ac:dyDescent="0.35">
      <c r="A472" t="s">
        <v>522</v>
      </c>
      <c r="B472" s="1">
        <f>_xlfn.XLOOKUP(A472,A471:A1070,[1]Sheet3!C77:C676)</f>
        <v>45247</v>
      </c>
      <c r="C472" t="str">
        <f>_xlfn.XLOOKUP(A472,A471:A1070,[1]Sheet3!D77:D676)</f>
        <v>CUST21469</v>
      </c>
      <c r="D472" t="str">
        <f>_xlfn.XLOOKUP(A472,A471:A1070,[1]Sheet3!E77:E676)</f>
        <v>Shreya Nair</v>
      </c>
      <c r="E472" s="5">
        <f>_xlfn.XLOOKUP(A472,A471:A1070,[1]Sheet3!G77:G676)</f>
        <v>43</v>
      </c>
      <c r="F472" t="str">
        <f>_xlfn.XLOOKUP('Retail Sales'!A78,'Retail Sales'!A77:A676,[1]Sheet3!H77:H676)</f>
        <v>Adult</v>
      </c>
      <c r="G472" t="str">
        <f>_xlfn.XLOOKUP(A472,A471:A1070,[1]Sheet3!J77:J676)</f>
        <v>Other</v>
      </c>
      <c r="H472" t="str">
        <f>_xlfn.XLOOKUP(A472,A471:A1070,[1]Sheet3!K77:K676)</f>
        <v>North</v>
      </c>
      <c r="I472" t="str">
        <f>_xlfn.XLOOKUP(A472,A471:A1070,[1]Sheet3!L77:L676)</f>
        <v>Amritsar</v>
      </c>
      <c r="J472" t="str">
        <f>_xlfn.XLOOKUP(A472,A471:A1070,[1]Sheet3!M77:M676)</f>
        <v>Sports</v>
      </c>
      <c r="K472" t="str">
        <f>_xlfn.XLOOKUP('Retail Sales'!A78,'Retail Sales'!A77:A676,[1]Sheet3!N77:N676)</f>
        <v>Football</v>
      </c>
      <c r="L472" s="5">
        <f>_xlfn.XLOOKUP(A472,A471:A1070,[1]Sheet3!P77:P676)</f>
        <v>4</v>
      </c>
      <c r="M472" s="7">
        <f>_xlfn.XLOOKUP(A472,A471:A1070,[1]Sheet3!Q77:Q676)</f>
        <v>3010.43</v>
      </c>
      <c r="N472" s="9">
        <f>_xlfn.XLOOKUP(A472,A471:A1070,[1]Sheet3!S77:S676)</f>
        <v>0.27</v>
      </c>
      <c r="O472" s="7">
        <f>_xlfn.XLOOKUP(A472,A471:A1070,[1]Sheet3!T77:T676)</f>
        <v>8396.7900000000009</v>
      </c>
      <c r="P472" s="7">
        <f>_xlfn.XLOOKUP(A472,A471:A1070,[1]Sheet3!U77:U676)</f>
        <v>1584.03</v>
      </c>
      <c r="Q472" s="11">
        <f>_xlfn.XLOOKUP(A472,A471:A1070,[1]Sheet3!V77:V676)</f>
        <v>0.188647090138017</v>
      </c>
      <c r="R472" s="7">
        <f>_xlfn.XLOOKUP(A472,A471:A1070,[1]Sheet3!W77:W676)</f>
        <v>51.24</v>
      </c>
      <c r="S472" t="str">
        <f>_xlfn.XLOOKUP(A472,A471:A1070,[1]Sheet3!X77:X676)</f>
        <v>Cash on Delivery</v>
      </c>
      <c r="T472" s="5">
        <f>_xlfn.XLOOKUP(A472,A471:A1070,[1]Sheet3!Z77:Z676)</f>
        <v>3</v>
      </c>
      <c r="U472" t="b">
        <f>_xlfn.XLOOKUP(A472,A471:A1070,[1]Sheet3!AA77:AA676)</f>
        <v>0</v>
      </c>
      <c r="V472" t="str">
        <f>_xlfn.XLOOKUP(A472,A471:A1070,[1]Sheet3!AC77:AC676)</f>
        <v>Delivered</v>
      </c>
      <c r="W472" s="5">
        <f>_xlfn.XLOOKUP(A472,A471:A1070,[1]Sheet3!AE77:AE676)</f>
        <v>5</v>
      </c>
    </row>
    <row r="473" spans="1:23" x14ac:dyDescent="0.35">
      <c r="A473" t="s">
        <v>374</v>
      </c>
      <c r="B473" s="1">
        <f>_xlfn.XLOOKUP(A473,A472:A1071,[1]Sheet3!C225:C824)</f>
        <v>45248</v>
      </c>
      <c r="C473" t="str">
        <f>_xlfn.XLOOKUP(A473,A472:A1071,[1]Sheet3!D225:D824)</f>
        <v>CUST30266</v>
      </c>
      <c r="D473" t="str">
        <f>_xlfn.XLOOKUP(A473,A472:A1071,[1]Sheet3!E225:E824)</f>
        <v>Deepa Bose</v>
      </c>
      <c r="E473" s="5">
        <f>_xlfn.XLOOKUP(A473,A472:A1071,[1]Sheet3!G225:G824)</f>
        <v>34</v>
      </c>
      <c r="F473" t="str">
        <f>_xlfn.XLOOKUP('Retail Sales'!A226,'Retail Sales'!A225:A824,[1]Sheet3!H225:H824)</f>
        <v>Young Adult</v>
      </c>
      <c r="G473" t="str">
        <f>_xlfn.XLOOKUP(A473,A472:A1071,[1]Sheet3!J225:J824)</f>
        <v>Female</v>
      </c>
      <c r="H473" t="str">
        <f>_xlfn.XLOOKUP(A473,A472:A1071,[1]Sheet3!K225:K824)</f>
        <v>West</v>
      </c>
      <c r="I473" t="str">
        <f>_xlfn.XLOOKUP(A473,A472:A1071,[1]Sheet3!L225:L824)</f>
        <v>Surat</v>
      </c>
      <c r="J473" t="str">
        <f>_xlfn.XLOOKUP(A473,A472:A1071,[1]Sheet3!M225:M824)</f>
        <v>Sports</v>
      </c>
      <c r="K473" t="str">
        <f>_xlfn.XLOOKUP('Retail Sales'!A226,'Retail Sales'!A225:A824,[1]Sheet3!N225:N824)</f>
        <v>Yoga Mat</v>
      </c>
      <c r="L473" s="5">
        <f>_xlfn.XLOOKUP(A473,A472:A1071,[1]Sheet3!P225:P824)</f>
        <v>3</v>
      </c>
      <c r="M473" s="7">
        <f>_xlfn.XLOOKUP(A473,A472:A1071,[1]Sheet3!Q225:Q824)</f>
        <v>14108.02</v>
      </c>
      <c r="N473" s="9">
        <f>_xlfn.XLOOKUP(A473,A472:A1071,[1]Sheet3!S225:S824)</f>
        <v>0.12</v>
      </c>
      <c r="O473" s="7">
        <f>_xlfn.XLOOKUP(A473,A472:A1071,[1]Sheet3!T225:T824)</f>
        <v>36649.85</v>
      </c>
      <c r="P473" s="7">
        <f>_xlfn.XLOOKUP(A473,A472:A1071,[1]Sheet3!U225:U824)</f>
        <v>6203.2</v>
      </c>
      <c r="Q473" s="11">
        <f>_xlfn.XLOOKUP(A473,A472:A1071,[1]Sheet3!V225:V824)</f>
        <v>0.16925580868680226</v>
      </c>
      <c r="R473" s="7">
        <f>_xlfn.XLOOKUP(A473,A472:A1071,[1]Sheet3!W225:W824)</f>
        <v>56.58</v>
      </c>
      <c r="S473" t="str">
        <f>_xlfn.XLOOKUP(A473,A472:A1071,[1]Sheet3!X225:X824)</f>
        <v>EMI</v>
      </c>
      <c r="T473" s="5">
        <f>_xlfn.XLOOKUP(A473,A472:A1071,[1]Sheet3!Z225:Z824)</f>
        <v>2</v>
      </c>
      <c r="U473" t="b">
        <f>_xlfn.XLOOKUP(A473,A472:A1071,[1]Sheet3!AA225:AA824)</f>
        <v>0</v>
      </c>
      <c r="V473" t="str">
        <f>_xlfn.XLOOKUP(A473,A472:A1071,[1]Sheet3!AC225:AC824)</f>
        <v>Delivered</v>
      </c>
      <c r="W473" s="5">
        <f>_xlfn.XLOOKUP(A473,A472:A1071,[1]Sheet3!AE225:AE824)</f>
        <v>10</v>
      </c>
    </row>
    <row r="474" spans="1:23" x14ac:dyDescent="0.35">
      <c r="A474" t="s">
        <v>83</v>
      </c>
      <c r="B474" s="1">
        <f>_xlfn.XLOOKUP(A474,A473:A1072,[1]Sheet3!C516:C1115)</f>
        <v>45255</v>
      </c>
      <c r="C474" t="str">
        <f>_xlfn.XLOOKUP(A474,A473:A1072,[1]Sheet3!D516:D1115)</f>
        <v>CUST49836</v>
      </c>
      <c r="D474" t="str">
        <f>_xlfn.XLOOKUP(A474,A473:A1072,[1]Sheet3!E516:E1115)</f>
        <v>Amit Bose</v>
      </c>
      <c r="E474" s="5">
        <f>_xlfn.XLOOKUP(A474,A473:A1072,[1]Sheet3!G516:G1115)</f>
        <v>32</v>
      </c>
      <c r="F474" t="str">
        <f>_xlfn.XLOOKUP('Retail Sales'!A517,'Retail Sales'!A516:A1115,[1]Sheet3!H516:H1115)</f>
        <v>Young Adult</v>
      </c>
      <c r="G474" t="str">
        <f>_xlfn.XLOOKUP(A474,A473:A1072,[1]Sheet3!J516:J1115)</f>
        <v>Other</v>
      </c>
      <c r="H474" t="str">
        <f>_xlfn.XLOOKUP(A474,A473:A1072,[1]Sheet3!K516:K1115)</f>
        <v>Central</v>
      </c>
      <c r="I474" t="str">
        <f>_xlfn.XLOOKUP(A474,A473:A1072,[1]Sheet3!L516:L1115)</f>
        <v>Raipur</v>
      </c>
      <c r="J474" t="str">
        <f>_xlfn.XLOOKUP(A474,A473:A1072,[1]Sheet3!M516:M1115)</f>
        <v>Clothing</v>
      </c>
      <c r="K474" t="str">
        <f>_xlfn.XLOOKUP('Retail Sales'!A517,'Retail Sales'!A516:A1115,[1]Sheet3!N516:N1115)</f>
        <v>Saree</v>
      </c>
      <c r="L474" s="5">
        <f>_xlfn.XLOOKUP(A474,A473:A1072,[1]Sheet3!P516:P1115)</f>
        <v>4</v>
      </c>
      <c r="M474" s="7">
        <f>_xlfn.XLOOKUP(A474,A473:A1072,[1]Sheet3!Q516:Q1115)</f>
        <v>2037.61</v>
      </c>
      <c r="N474" s="9">
        <f>_xlfn.XLOOKUP(A474,A473:A1072,[1]Sheet3!S516:S1115)</f>
        <v>0.09</v>
      </c>
      <c r="O474" s="7">
        <f>_xlfn.XLOOKUP(A474,A473:A1072,[1]Sheet3!T516:T1115)</f>
        <v>7459.65</v>
      </c>
      <c r="P474" s="7">
        <f>_xlfn.XLOOKUP(A474,A473:A1072,[1]Sheet3!U516:U1115)</f>
        <v>2991.98</v>
      </c>
      <c r="Q474" s="11">
        <f>_xlfn.XLOOKUP(A474,A473:A1072,[1]Sheet3!V516:V1115)</f>
        <v>0.40108852291997615</v>
      </c>
      <c r="R474" s="7">
        <f>_xlfn.XLOOKUP(A474,A473:A1072,[1]Sheet3!W516:W1115)</f>
        <v>28.18</v>
      </c>
      <c r="S474" t="str">
        <f>_xlfn.XLOOKUP(A474,A473:A1072,[1]Sheet3!X516:X1115)</f>
        <v>Cash on Delivery</v>
      </c>
      <c r="T474" s="5">
        <f>_xlfn.XLOOKUP(A474,A473:A1072,[1]Sheet3!Z516:Z1115)</f>
        <v>1</v>
      </c>
      <c r="U474" t="b">
        <f>_xlfn.XLOOKUP(A474,A473:A1072,[1]Sheet3!AA516:AA1115)</f>
        <v>1</v>
      </c>
      <c r="V474" t="str">
        <f>_xlfn.XLOOKUP(A474,A473:A1072,[1]Sheet3!AC516:AC1115)</f>
        <v>Returned</v>
      </c>
      <c r="W474" s="5">
        <f>_xlfn.XLOOKUP(A474,A473:A1072,[1]Sheet3!AE516:AE1115)</f>
        <v>7</v>
      </c>
    </row>
    <row r="475" spans="1:23" x14ac:dyDescent="0.35">
      <c r="A475" t="s">
        <v>260</v>
      </c>
      <c r="B475" s="1">
        <f>_xlfn.XLOOKUP(A475,A474:A1073,[1]Sheet3!C339:C938)</f>
        <v>45256</v>
      </c>
      <c r="C475" t="str">
        <f>_xlfn.XLOOKUP(A475,A474:A1073,[1]Sheet3!D339:D938)</f>
        <v>CUST29713</v>
      </c>
      <c r="D475" t="str">
        <f>_xlfn.XLOOKUP(A475,A474:A1073,[1]Sheet3!E339:E938)</f>
        <v>Rahul Gupta</v>
      </c>
      <c r="E475" s="5">
        <f>_xlfn.XLOOKUP(A475,A474:A1073,[1]Sheet3!G339:G938)</f>
        <v>37</v>
      </c>
      <c r="F475" t="str">
        <f>_xlfn.XLOOKUP('Retail Sales'!A340,'Retail Sales'!A339:A938,[1]Sheet3!H339:H938)</f>
        <v>Adult</v>
      </c>
      <c r="G475" t="str">
        <f>_xlfn.XLOOKUP(A475,A474:A1073,[1]Sheet3!J339:J938)</f>
        <v>Male</v>
      </c>
      <c r="H475" t="str">
        <f>_xlfn.XLOOKUP(A475,A474:A1073,[1]Sheet3!K339:K938)</f>
        <v>West</v>
      </c>
      <c r="I475" t="str">
        <f>_xlfn.XLOOKUP(A475,A474:A1073,[1]Sheet3!L339:L938)</f>
        <v>Mumbai</v>
      </c>
      <c r="J475" t="str">
        <f>_xlfn.XLOOKUP(A475,A474:A1073,[1]Sheet3!M339:M938)</f>
        <v>Books</v>
      </c>
      <c r="K475" t="str">
        <f>_xlfn.XLOOKUP('Retail Sales'!A340,'Retail Sales'!A339:A938,[1]Sheet3!N339:N938)</f>
        <v>Cook Book</v>
      </c>
      <c r="L475" s="5">
        <f>_xlfn.XLOOKUP(A475,A474:A1073,[1]Sheet3!P339:P938)</f>
        <v>10</v>
      </c>
      <c r="M475" s="7">
        <f>_xlfn.XLOOKUP(A475,A474:A1073,[1]Sheet3!Q339:Q938)</f>
        <v>666.25</v>
      </c>
      <c r="N475" s="9">
        <f>_xlfn.XLOOKUP(A475,A474:A1073,[1]Sheet3!S339:S938)</f>
        <v>7.0000000000000007E-2</v>
      </c>
      <c r="O475" s="7">
        <f>_xlfn.XLOOKUP(A475,A474:A1073,[1]Sheet3!T339:T938)</f>
        <v>5098.3999999999996</v>
      </c>
      <c r="P475" s="7">
        <f>_xlfn.XLOOKUP(A475,A474:A1073,[1]Sheet3!U339:U938)</f>
        <v>1728.64</v>
      </c>
      <c r="Q475" s="11">
        <f>_xlfn.XLOOKUP(A475,A474:A1073,[1]Sheet3!V339:V938)</f>
        <v>0.33905538992625139</v>
      </c>
      <c r="R475" s="7">
        <f>_xlfn.XLOOKUP(A475,A474:A1073,[1]Sheet3!W339:W938)</f>
        <v>55.61</v>
      </c>
      <c r="S475" t="str">
        <f>_xlfn.XLOOKUP(A475,A474:A1073,[1]Sheet3!X339:X938)</f>
        <v>UPI</v>
      </c>
      <c r="T475" s="5">
        <f>_xlfn.XLOOKUP(A475,A474:A1073,[1]Sheet3!Z339:Z938)</f>
        <v>3</v>
      </c>
      <c r="U475" t="b">
        <f>_xlfn.XLOOKUP(A475,A474:A1073,[1]Sheet3!AA339:AA938)</f>
        <v>0</v>
      </c>
      <c r="V475" t="str">
        <f>_xlfn.XLOOKUP(A475,A474:A1073,[1]Sheet3!AC339:AC938)</f>
        <v>Delivered</v>
      </c>
      <c r="W475" s="5">
        <f>_xlfn.XLOOKUP(A475,A474:A1073,[1]Sheet3!AE339:AE938)</f>
        <v>8</v>
      </c>
    </row>
    <row r="476" spans="1:23" x14ac:dyDescent="0.35">
      <c r="A476" t="s">
        <v>401</v>
      </c>
      <c r="B476" s="1">
        <f>_xlfn.XLOOKUP(A476,A475:A1074,[1]Sheet3!C198:C797)</f>
        <v>45256</v>
      </c>
      <c r="C476" t="str">
        <f>_xlfn.XLOOKUP(A476,A475:A1074,[1]Sheet3!D198:D797)</f>
        <v>CUST82100</v>
      </c>
      <c r="D476" t="str">
        <f>_xlfn.XLOOKUP(A476,A475:A1074,[1]Sheet3!E198:E797)</f>
        <v>Pooja Kapoor</v>
      </c>
      <c r="E476" s="5">
        <f>_xlfn.XLOOKUP(A476,A475:A1074,[1]Sheet3!G198:G797)</f>
        <v>34.294220665499125</v>
      </c>
      <c r="F476" t="str">
        <f>_xlfn.XLOOKUP('Retail Sales'!A199,'Retail Sales'!A198:A797,[1]Sheet3!H198:H797)</f>
        <v>Young Adult</v>
      </c>
      <c r="G476" t="str">
        <f>_xlfn.XLOOKUP(A476,A475:A1074,[1]Sheet3!J198:J797)</f>
        <v>Female</v>
      </c>
      <c r="H476" t="str">
        <f>_xlfn.XLOOKUP(A476,A475:A1074,[1]Sheet3!K198:K797)</f>
        <v>West</v>
      </c>
      <c r="I476" t="str">
        <f>_xlfn.XLOOKUP(A476,A475:A1074,[1]Sheet3!L198:L797)</f>
        <v>Surat</v>
      </c>
      <c r="J476" t="str">
        <f>_xlfn.XLOOKUP(A476,A475:A1074,[1]Sheet3!M198:M797)</f>
        <v>Sports</v>
      </c>
      <c r="K476" t="str">
        <f>_xlfn.XLOOKUP('Retail Sales'!A199,'Retail Sales'!A198:A797,[1]Sheet3!N198:N797)</f>
        <v>Football</v>
      </c>
      <c r="L476" s="5">
        <f>_xlfn.XLOOKUP(A476,A475:A1074,[1]Sheet3!P198:P797)</f>
        <v>3</v>
      </c>
      <c r="M476" s="7">
        <f>_xlfn.XLOOKUP(A476,A475:A1074,[1]Sheet3!Q198:Q797)</f>
        <v>11118.32</v>
      </c>
      <c r="N476" s="9">
        <f>_xlfn.XLOOKUP(A476,A475:A1074,[1]Sheet3!S198:S797)</f>
        <v>0.3</v>
      </c>
      <c r="O476" s="7">
        <f>_xlfn.XLOOKUP(A476,A475:A1074,[1]Sheet3!T198:T797)</f>
        <v>22974.82</v>
      </c>
      <c r="P476" s="7">
        <f>_xlfn.XLOOKUP(A476,A475:A1074,[1]Sheet3!U198:U797)</f>
        <v>4866.53</v>
      </c>
      <c r="Q476" s="11">
        <f>_xlfn.XLOOKUP(A476,A475:A1074,[1]Sheet3!V198:V797)</f>
        <v>0.21182015789459938</v>
      </c>
      <c r="R476" s="7">
        <f>_xlfn.XLOOKUP(A476,A475:A1074,[1]Sheet3!W198:W797)</f>
        <v>53.21</v>
      </c>
      <c r="S476" t="str">
        <f>_xlfn.XLOOKUP(A476,A475:A1074,[1]Sheet3!X198:X797)</f>
        <v>Net Banking</v>
      </c>
      <c r="T476" s="5">
        <f>_xlfn.XLOOKUP(A476,A475:A1074,[1]Sheet3!Z198:Z797)</f>
        <v>4</v>
      </c>
      <c r="U476" t="b">
        <f>_xlfn.XLOOKUP(A476,A475:A1074,[1]Sheet3!AA198:AA797)</f>
        <v>1</v>
      </c>
      <c r="V476" t="str">
        <f>_xlfn.XLOOKUP(A476,A475:A1074,[1]Sheet3!AC198:AC797)</f>
        <v>Returned</v>
      </c>
      <c r="W476" s="5">
        <f>_xlfn.XLOOKUP(A476,A475:A1074,[1]Sheet3!AE198:AE797)</f>
        <v>9</v>
      </c>
    </row>
    <row r="477" spans="1:23" x14ac:dyDescent="0.35">
      <c r="A477" t="s">
        <v>461</v>
      </c>
      <c r="B477" s="1">
        <f>_xlfn.XLOOKUP(A477,A476:A1075,[1]Sheet3!C138:C737)</f>
        <v>45261</v>
      </c>
      <c r="C477" t="str">
        <f>_xlfn.XLOOKUP(A477,A476:A1075,[1]Sheet3!D138:D737)</f>
        <v>CUST44030</v>
      </c>
      <c r="D477" t="str">
        <f>_xlfn.XLOOKUP(A477,A476:A1075,[1]Sheet3!E138:E737)</f>
        <v>Aditya Iyer</v>
      </c>
      <c r="E477" s="5">
        <f>_xlfn.XLOOKUP(A477,A476:A1075,[1]Sheet3!G138:G737)</f>
        <v>34.294220665499125</v>
      </c>
      <c r="F477" t="str">
        <f>_xlfn.XLOOKUP('Retail Sales'!A139,'Retail Sales'!A138:A737,[1]Sheet3!H138:H737)</f>
        <v>Young Adult</v>
      </c>
      <c r="G477" t="str">
        <f>_xlfn.XLOOKUP(A477,A476:A1075,[1]Sheet3!J138:J737)</f>
        <v>Male</v>
      </c>
      <c r="H477" t="str">
        <f>_xlfn.XLOOKUP(A477,A476:A1075,[1]Sheet3!K138:K737)</f>
        <v>West</v>
      </c>
      <c r="I477" t="str">
        <f>_xlfn.XLOOKUP(A477,A476:A1075,[1]Sheet3!L138:L737)</f>
        <v>Mumbai</v>
      </c>
      <c r="J477" t="str">
        <f>_xlfn.XLOOKUP(A477,A476:A1075,[1]Sheet3!M138:M737)</f>
        <v>Clothing</v>
      </c>
      <c r="K477" t="str">
        <f>_xlfn.XLOOKUP('Retail Sales'!A139,'Retail Sales'!A138:A737,[1]Sheet3!N138:N737)</f>
        <v>Jeans</v>
      </c>
      <c r="L477" s="5">
        <f>_xlfn.XLOOKUP(A477,A476:A1075,[1]Sheet3!P138:P737)</f>
        <v>3</v>
      </c>
      <c r="M477" s="7">
        <f>_xlfn.XLOOKUP(A477,A476:A1075,[1]Sheet3!Q138:Q737)</f>
        <v>3608.42</v>
      </c>
      <c r="N477" s="9">
        <f>_xlfn.XLOOKUP(A477,A476:A1075,[1]Sheet3!S138:S737)</f>
        <v>0.28999999999999998</v>
      </c>
      <c r="O477" s="7">
        <f>_xlfn.XLOOKUP(A477,A476:A1075,[1]Sheet3!T138:T737)</f>
        <v>6927.13</v>
      </c>
      <c r="P477" s="7">
        <f>_xlfn.XLOOKUP(A477,A476:A1075,[1]Sheet3!U138:U737)</f>
        <v>1997.74</v>
      </c>
      <c r="Q477" s="11">
        <f>_xlfn.XLOOKUP(A477,A476:A1075,[1]Sheet3!V138:V737)</f>
        <v>0.28839360600999259</v>
      </c>
      <c r="R477" s="7">
        <f>_xlfn.XLOOKUP(A477,A476:A1075,[1]Sheet3!W138:W737)</f>
        <v>54.98</v>
      </c>
      <c r="S477" t="str">
        <f>_xlfn.XLOOKUP(A477,A476:A1075,[1]Sheet3!X138:X737)</f>
        <v>Cash on Delivery</v>
      </c>
      <c r="T477" s="5">
        <f>_xlfn.XLOOKUP(A477,A476:A1075,[1]Sheet3!Z138:Z737)</f>
        <v>5</v>
      </c>
      <c r="U477" t="b">
        <f>_xlfn.XLOOKUP(A477,A476:A1075,[1]Sheet3!AA138:AA737)</f>
        <v>0</v>
      </c>
      <c r="V477" t="str">
        <f>_xlfn.XLOOKUP(A477,A476:A1075,[1]Sheet3!AC138:AC737)</f>
        <v>Delivered</v>
      </c>
      <c r="W477" s="5">
        <f>_xlfn.XLOOKUP(A477,A476:A1075,[1]Sheet3!AE138:AE737)</f>
        <v>9</v>
      </c>
    </row>
    <row r="478" spans="1:23" x14ac:dyDescent="0.35">
      <c r="A478" t="s">
        <v>407</v>
      </c>
      <c r="B478" s="1">
        <f>_xlfn.XLOOKUP(A478,A477:A1076,[1]Sheet3!C192:C791)</f>
        <v>45262</v>
      </c>
      <c r="C478" t="str">
        <f>_xlfn.XLOOKUP(A478,A477:A1076,[1]Sheet3!D192:D791)</f>
        <v>CUST44114</v>
      </c>
      <c r="D478" t="str">
        <f>_xlfn.XLOOKUP(A478,A477:A1076,[1]Sheet3!E192:E791)</f>
        <v>Aditya Mehta</v>
      </c>
      <c r="E478" s="5">
        <f>_xlfn.XLOOKUP(A478,A477:A1076,[1]Sheet3!G192:G791)</f>
        <v>36</v>
      </c>
      <c r="F478" t="str">
        <f>_xlfn.XLOOKUP('Retail Sales'!A193,'Retail Sales'!A192:A791,[1]Sheet3!H192:H791)</f>
        <v>Adult</v>
      </c>
      <c r="G478" t="str">
        <f>_xlfn.XLOOKUP(A478,A477:A1076,[1]Sheet3!J192:J791)</f>
        <v>Female</v>
      </c>
      <c r="H478" t="str">
        <f>_xlfn.XLOOKUP(A478,A477:A1076,[1]Sheet3!K192:K791)</f>
        <v>North</v>
      </c>
      <c r="I478" t="str">
        <f>_xlfn.XLOOKUP(A478,A477:A1076,[1]Sheet3!L192:L791)</f>
        <v>Ludhiana</v>
      </c>
      <c r="J478" t="str">
        <f>_xlfn.XLOOKUP(A478,A477:A1076,[1]Sheet3!M192:M791)</f>
        <v>Sports</v>
      </c>
      <c r="K478" t="str">
        <f>_xlfn.XLOOKUP('Retail Sales'!A193,'Retail Sales'!A192:A791,[1]Sheet3!N192:N791)</f>
        <v>Cricket Bat</v>
      </c>
      <c r="L478" s="5">
        <f>_xlfn.XLOOKUP(A478,A477:A1076,[1]Sheet3!P192:P791)</f>
        <v>7.0954861111111107</v>
      </c>
      <c r="M478" s="7">
        <f>_xlfn.XLOOKUP(A478,A477:A1076,[1]Sheet3!Q192:Q791)</f>
        <v>11000.34</v>
      </c>
      <c r="N478" s="9">
        <f>_xlfn.XLOOKUP(A478,A477:A1076,[1]Sheet3!S192:S791)</f>
        <v>0.04</v>
      </c>
      <c r="O478" s="7">
        <f>_xlfn.XLOOKUP(A478,A477:A1076,[1]Sheet3!T192:T791)</f>
        <v>9272.7099999999991</v>
      </c>
      <c r="P478" s="7">
        <f>_xlfn.XLOOKUP(A478,A477:A1076,[1]Sheet3!U192:U791)</f>
        <v>1339.4</v>
      </c>
      <c r="Q478" s="11">
        <f>_xlfn.XLOOKUP(A478,A477:A1076,[1]Sheet3!V192:V791)</f>
        <v>0.14444536710411521</v>
      </c>
      <c r="R478" s="7">
        <f>_xlfn.XLOOKUP(A478,A477:A1076,[1]Sheet3!W192:W791)</f>
        <v>62.5</v>
      </c>
      <c r="S478" t="str">
        <f>_xlfn.XLOOKUP(A478,A477:A1076,[1]Sheet3!X192:X791)</f>
        <v>Net Banking</v>
      </c>
      <c r="T478" s="5">
        <f>_xlfn.XLOOKUP(A478,A477:A1076,[1]Sheet3!Z192:Z791)</f>
        <v>1</v>
      </c>
      <c r="U478" t="b">
        <f>_xlfn.XLOOKUP(A478,A477:A1076,[1]Sheet3!AA192:AA791)</f>
        <v>0</v>
      </c>
      <c r="V478" t="str">
        <f>_xlfn.XLOOKUP(A478,A477:A1076,[1]Sheet3!AC192:AC791)</f>
        <v>Cancelled</v>
      </c>
      <c r="W478" s="5">
        <f>_xlfn.XLOOKUP(A478,A477:A1076,[1]Sheet3!AE192:AE791)</f>
        <v>2</v>
      </c>
    </row>
    <row r="479" spans="1:23" x14ac:dyDescent="0.35">
      <c r="A479" t="s">
        <v>156</v>
      </c>
      <c r="B479" s="1">
        <f>_xlfn.XLOOKUP(A479,A478:A1077,[1]Sheet3!C443:C1042)</f>
        <v>45270</v>
      </c>
      <c r="C479" t="str">
        <f>_xlfn.XLOOKUP(A479,A478:A1077,[1]Sheet3!D443:D1042)</f>
        <v>CUST05689</v>
      </c>
      <c r="D479" t="str">
        <f>_xlfn.XLOOKUP(A479,A478:A1077,[1]Sheet3!E443:E1042)</f>
        <v>Ananya Bhat</v>
      </c>
      <c r="E479" s="5">
        <f>_xlfn.XLOOKUP(A479,A478:A1077,[1]Sheet3!G443:G1042)</f>
        <v>30</v>
      </c>
      <c r="F479" t="str">
        <f>_xlfn.XLOOKUP('Retail Sales'!A444,'Retail Sales'!A443:A1042,[1]Sheet3!H443:H1042)</f>
        <v>Young Adult</v>
      </c>
      <c r="G479" t="str">
        <f>_xlfn.XLOOKUP(A479,A478:A1077,[1]Sheet3!J443:J1042)</f>
        <v>Male</v>
      </c>
      <c r="H479" t="str">
        <f>_xlfn.XLOOKUP(A479,A478:A1077,[1]Sheet3!K443:K1042)</f>
        <v>North</v>
      </c>
      <c r="I479" t="str">
        <f>_xlfn.XLOOKUP(A479,A478:A1077,[1]Sheet3!L443:L1042)</f>
        <v>Ludhiana</v>
      </c>
      <c r="J479" t="str">
        <f>_xlfn.XLOOKUP(A479,A478:A1077,[1]Sheet3!M443:M1042)</f>
        <v>Groceries</v>
      </c>
      <c r="K479" t="str">
        <f>_xlfn.XLOOKUP('Retail Sales'!A444,'Retail Sales'!A443:A1042,[1]Sheet3!N443:N1042)</f>
        <v>Cooking Oil</v>
      </c>
      <c r="L479" s="5">
        <f>_xlfn.XLOOKUP(A479,A478:A1077,[1]Sheet3!P443:P1042)</f>
        <v>9</v>
      </c>
      <c r="M479" s="7">
        <f>_xlfn.XLOOKUP(A479,A478:A1077,[1]Sheet3!Q443:Q1042)</f>
        <v>407.05</v>
      </c>
      <c r="N479" s="9">
        <f>_xlfn.XLOOKUP(A479,A478:A1077,[1]Sheet3!S443:S1042)</f>
        <v>0.3</v>
      </c>
      <c r="O479" s="7">
        <f>_xlfn.XLOOKUP(A479,A478:A1077,[1]Sheet3!T443:T1042)</f>
        <v>1997.66</v>
      </c>
      <c r="P479" s="7">
        <f>_xlfn.XLOOKUP(A479,A478:A1077,[1]Sheet3!U443:U1042)</f>
        <v>139.6</v>
      </c>
      <c r="Q479" s="11">
        <f>_xlfn.XLOOKUP(A479,A478:A1077,[1]Sheet3!V443:V1042)</f>
        <v>6.9881761661143529E-2</v>
      </c>
      <c r="R479" s="7">
        <f>_xlfn.XLOOKUP(A479,A478:A1077,[1]Sheet3!W443:W1042)</f>
        <v>72.88</v>
      </c>
      <c r="S479" t="str">
        <f>_xlfn.XLOOKUP(A479,A478:A1077,[1]Sheet3!X443:X1042)</f>
        <v>Net Banking</v>
      </c>
      <c r="T479" s="5">
        <f>_xlfn.XLOOKUP(A479,A478:A1077,[1]Sheet3!Z443:Z1042)</f>
        <v>4</v>
      </c>
      <c r="U479" t="b">
        <f>_xlfn.XLOOKUP(A479,A478:A1077,[1]Sheet3!AA443:AA1042)</f>
        <v>0</v>
      </c>
      <c r="V479" t="str">
        <f>_xlfn.XLOOKUP(A479,A478:A1077,[1]Sheet3!AC443:AC1042)</f>
        <v>Cancelled</v>
      </c>
      <c r="W479" s="5">
        <f>_xlfn.XLOOKUP(A479,A478:A1077,[1]Sheet3!AE443:AE1042)</f>
        <v>6</v>
      </c>
    </row>
    <row r="480" spans="1:23" x14ac:dyDescent="0.35">
      <c r="A480" t="s">
        <v>433</v>
      </c>
      <c r="B480" s="1">
        <f>_xlfn.XLOOKUP(A480,A479:A1078,[1]Sheet3!C166:C765)</f>
        <v>45271</v>
      </c>
      <c r="C480" t="str">
        <f>_xlfn.XLOOKUP(A480,A479:A1078,[1]Sheet3!D166:D765)</f>
        <v>CUST18271</v>
      </c>
      <c r="D480" t="str">
        <f>_xlfn.XLOOKUP(A480,A479:A1078,[1]Sheet3!E166:E765)</f>
        <v>Pooja Chatterjee</v>
      </c>
      <c r="E480" s="5">
        <f>_xlfn.XLOOKUP(A480,A479:A1078,[1]Sheet3!G166:G765)</f>
        <v>34.294220665499125</v>
      </c>
      <c r="F480" t="str">
        <f>_xlfn.XLOOKUP('Retail Sales'!A167,'Retail Sales'!A166:A765,[1]Sheet3!H166:H765)</f>
        <v>Young Adult</v>
      </c>
      <c r="G480" t="str">
        <f>_xlfn.XLOOKUP(A480,A479:A1078,[1]Sheet3!J166:J765)</f>
        <v>Male</v>
      </c>
      <c r="H480" t="str">
        <f>_xlfn.XLOOKUP(A480,A479:A1078,[1]Sheet3!K166:K765)</f>
        <v>West</v>
      </c>
      <c r="I480" t="str">
        <f>_xlfn.XLOOKUP(A480,A479:A1078,[1]Sheet3!L166:L765)</f>
        <v>Pune</v>
      </c>
      <c r="J480" t="str">
        <f>_xlfn.XLOOKUP(A480,A479:A1078,[1]Sheet3!M166:M765)</f>
        <v>Clothing</v>
      </c>
      <c r="K480" t="str">
        <f>_xlfn.XLOOKUP('Retail Sales'!A167,'Retail Sales'!A166:A765,[1]Sheet3!N166:N765)</f>
        <v>Jeans</v>
      </c>
      <c r="L480" s="5">
        <f>_xlfn.XLOOKUP(A480,A479:A1078,[1]Sheet3!P166:P765)</f>
        <v>3</v>
      </c>
      <c r="M480" s="7">
        <f>_xlfn.XLOOKUP(A480,A479:A1078,[1]Sheet3!Q166:Q765)</f>
        <v>1850.1</v>
      </c>
      <c r="N480" s="9">
        <f>_xlfn.XLOOKUP(A480,A479:A1078,[1]Sheet3!S166:S765)</f>
        <v>0.03</v>
      </c>
      <c r="O480" s="7">
        <f>_xlfn.XLOOKUP(A480,A479:A1078,[1]Sheet3!T166:T765)</f>
        <v>4811.57</v>
      </c>
      <c r="P480" s="7">
        <f>_xlfn.XLOOKUP(A480,A479:A1078,[1]Sheet3!U166:U765)</f>
        <v>1286.23</v>
      </c>
      <c r="Q480" s="11">
        <f>_xlfn.XLOOKUP(A480,A479:A1078,[1]Sheet3!V166:V765)</f>
        <v>0.26732023019513385</v>
      </c>
      <c r="R480" s="7">
        <f>_xlfn.XLOOKUP(A480,A479:A1078,[1]Sheet3!W166:W765)</f>
        <v>78.13</v>
      </c>
      <c r="S480" t="str">
        <f>_xlfn.XLOOKUP(A480,A479:A1078,[1]Sheet3!X166:X765)</f>
        <v>EMI</v>
      </c>
      <c r="T480" s="5">
        <f>_xlfn.XLOOKUP(A480,A479:A1078,[1]Sheet3!Z166:Z765)</f>
        <v>2</v>
      </c>
      <c r="U480" t="b">
        <f>_xlfn.XLOOKUP(A480,A479:A1078,[1]Sheet3!AA166:AA765)</f>
        <v>0</v>
      </c>
      <c r="V480" t="str">
        <f>_xlfn.XLOOKUP(A480,A479:A1078,[1]Sheet3!AC166:AC765)</f>
        <v>Delivered</v>
      </c>
      <c r="W480" s="5">
        <f>_xlfn.XLOOKUP(A480,A479:A1078,[1]Sheet3!AE166:AE765)</f>
        <v>10</v>
      </c>
    </row>
    <row r="481" spans="1:23" x14ac:dyDescent="0.35">
      <c r="A481" t="s">
        <v>29</v>
      </c>
      <c r="B481" s="1">
        <f>_xlfn.XLOOKUP(A481,A480:A1079,[1]Sheet3!C570:C1169)</f>
        <v>45276</v>
      </c>
      <c r="C481" t="str">
        <f>_xlfn.XLOOKUP(A481,A480:A1079,[1]Sheet3!D570:D1169)</f>
        <v>CUST29727</v>
      </c>
      <c r="D481" t="str">
        <f>_xlfn.XLOOKUP(A481,A480:A1079,[1]Sheet3!E570:E1169)</f>
        <v>Amit Kumar</v>
      </c>
      <c r="E481" s="5">
        <f>_xlfn.XLOOKUP(A481,A480:A1079,[1]Sheet3!G570:G1169)</f>
        <v>29</v>
      </c>
      <c r="F481" t="str">
        <f>_xlfn.XLOOKUP('Retail Sales'!A571,'Retail Sales'!A570:A1169,[1]Sheet3!H570:H1169)</f>
        <v>Young Adult</v>
      </c>
      <c r="G481" t="str">
        <f>_xlfn.XLOOKUP(A481,A480:A1079,[1]Sheet3!J570:J1169)</f>
        <v>Male</v>
      </c>
      <c r="H481" t="str">
        <f>_xlfn.XLOOKUP(A481,A480:A1079,[1]Sheet3!K570:K1169)</f>
        <v>South</v>
      </c>
      <c r="I481" t="str">
        <f>_xlfn.XLOOKUP(A481,A480:A1079,[1]Sheet3!L570:L1169)</f>
        <v>Chennai</v>
      </c>
      <c r="J481" t="str">
        <f>_xlfn.XLOOKUP(A481,A480:A1079,[1]Sheet3!M570:M1169)</f>
        <v>Furniture</v>
      </c>
      <c r="K481" t="str">
        <f>_xlfn.XLOOKUP('Retail Sales'!A571,'Retail Sales'!A570:A1169,[1]Sheet3!N570:N1169)</f>
        <v>Desk</v>
      </c>
      <c r="L481" s="5">
        <f>_xlfn.XLOOKUP(A481,A480:A1079,[1]Sheet3!P570:P1169)</f>
        <v>9</v>
      </c>
      <c r="M481" s="7">
        <f>_xlfn.XLOOKUP(A481,A480:A1079,[1]Sheet3!Q570:Q1169)</f>
        <v>14900.48</v>
      </c>
      <c r="N481" s="9">
        <f>_xlfn.XLOOKUP(A481,A480:A1079,[1]Sheet3!S570:S1169)</f>
        <v>0.2</v>
      </c>
      <c r="O481" s="7">
        <f>_xlfn.XLOOKUP(A481,A480:A1079,[1]Sheet3!T570:T1169)</f>
        <v>103163.26</v>
      </c>
      <c r="P481" s="7">
        <f>_xlfn.XLOOKUP(A481,A480:A1079,[1]Sheet3!U570:U1169)</f>
        <v>31355.08</v>
      </c>
      <c r="Q481" s="11">
        <f>_xlfn.XLOOKUP(A481,A480:A1079,[1]Sheet3!V570:V1169)</f>
        <v>0.30393649832314334</v>
      </c>
      <c r="R481" s="7">
        <f>_xlfn.XLOOKUP(A481,A480:A1079,[1]Sheet3!W570:W1169)</f>
        <v>45.89</v>
      </c>
      <c r="S481" t="str">
        <f>_xlfn.XLOOKUP(A481,A480:A1079,[1]Sheet3!X570:X1169)</f>
        <v>Debit Card</v>
      </c>
      <c r="T481" s="5">
        <f>_xlfn.XLOOKUP(A481,A480:A1079,[1]Sheet3!Z570:Z1169)</f>
        <v>4</v>
      </c>
      <c r="U481" t="b">
        <f>_xlfn.XLOOKUP(A481,A480:A1079,[1]Sheet3!AA570:AA1169)</f>
        <v>0</v>
      </c>
      <c r="V481" t="str">
        <f>_xlfn.XLOOKUP(A481,A480:A1079,[1]Sheet3!AC570:AC1169)</f>
        <v>Delivered</v>
      </c>
      <c r="W481" s="5">
        <f>_xlfn.XLOOKUP(A481,A480:A1079,[1]Sheet3!AE570:AE1169)</f>
        <v>9</v>
      </c>
    </row>
    <row r="482" spans="1:23" x14ac:dyDescent="0.35">
      <c r="A482" t="s">
        <v>485</v>
      </c>
      <c r="B482" s="1">
        <f>_xlfn.XLOOKUP(A482,A481:A1080,[1]Sheet3!C114:C713)</f>
        <v>45276</v>
      </c>
      <c r="C482" t="str">
        <f>_xlfn.XLOOKUP(A482,A481:A1080,[1]Sheet3!D114:D713)</f>
        <v>CUST26677</v>
      </c>
      <c r="D482" t="str">
        <f>_xlfn.XLOOKUP(A482,A481:A1080,[1]Sheet3!E114:E713)</f>
        <v>Rahul Chatterjee</v>
      </c>
      <c r="E482" s="5">
        <f>_xlfn.XLOOKUP(A482,A481:A1080,[1]Sheet3!G114:G713)</f>
        <v>45</v>
      </c>
      <c r="F482" t="str">
        <f>_xlfn.XLOOKUP('Retail Sales'!A115,'Retail Sales'!A114:A713,[1]Sheet3!H114:H713)</f>
        <v>Adult</v>
      </c>
      <c r="G482" t="str">
        <f>_xlfn.XLOOKUP(A482,A481:A1080,[1]Sheet3!J114:J713)</f>
        <v>Female</v>
      </c>
      <c r="H482" t="str">
        <f>_xlfn.XLOOKUP(A482,A481:A1080,[1]Sheet3!K114:K713)</f>
        <v>Central</v>
      </c>
      <c r="I482" t="str">
        <f>_xlfn.XLOOKUP(A482,A481:A1080,[1]Sheet3!L114:L713)</f>
        <v>Raipur</v>
      </c>
      <c r="J482" t="str">
        <f>_xlfn.XLOOKUP(A482,A481:A1080,[1]Sheet3!M114:M713)</f>
        <v>Groceries</v>
      </c>
      <c r="K482" t="str">
        <f>_xlfn.XLOOKUP('Retail Sales'!A115,'Retail Sales'!A114:A713,[1]Sheet3!N114:N713)</f>
        <v>Tea</v>
      </c>
      <c r="L482" s="5">
        <f>_xlfn.XLOOKUP(A482,A481:A1080,[1]Sheet3!P114:P713)</f>
        <v>9</v>
      </c>
      <c r="M482" s="7">
        <f>_xlfn.XLOOKUP(A482,A481:A1080,[1]Sheet3!Q114:Q713)</f>
        <v>312.52999999999997</v>
      </c>
      <c r="N482" s="9">
        <f>_xlfn.XLOOKUP(A482,A481:A1080,[1]Sheet3!S114:S713)</f>
        <v>0.35</v>
      </c>
      <c r="O482" s="7">
        <f>_xlfn.XLOOKUP(A482,A481:A1080,[1]Sheet3!T114:T713)</f>
        <v>1437</v>
      </c>
      <c r="P482" s="7">
        <f>_xlfn.XLOOKUP(A482,A481:A1080,[1]Sheet3!U114:U713)</f>
        <v>155.72999999999999</v>
      </c>
      <c r="Q482" s="11">
        <f>_xlfn.XLOOKUP(A482,A481:A1080,[1]Sheet3!V114:V713)</f>
        <v>0.10837160751565761</v>
      </c>
      <c r="R482" s="7">
        <f>_xlfn.XLOOKUP(A482,A481:A1080,[1]Sheet3!W114:W713)</f>
        <v>48.28</v>
      </c>
      <c r="S482" t="str">
        <f>_xlfn.XLOOKUP(A482,A481:A1080,[1]Sheet3!X114:X713)</f>
        <v>Cash on Delivery</v>
      </c>
      <c r="T482" s="5">
        <f>_xlfn.XLOOKUP(A482,A481:A1080,[1]Sheet3!Z114:Z713)</f>
        <v>4</v>
      </c>
      <c r="U482" t="b">
        <f>_xlfn.XLOOKUP(A482,A481:A1080,[1]Sheet3!AA114:AA713)</f>
        <v>0</v>
      </c>
      <c r="V482" t="str">
        <f>_xlfn.XLOOKUP(A482,A481:A1080,[1]Sheet3!AC114:AC713)</f>
        <v>Shipped</v>
      </c>
      <c r="W482" s="5">
        <f>_xlfn.XLOOKUP(A482,A481:A1080,[1]Sheet3!AE114:AE713)</f>
        <v>5</v>
      </c>
    </row>
    <row r="483" spans="1:23" x14ac:dyDescent="0.35">
      <c r="A483" t="s">
        <v>3</v>
      </c>
      <c r="B483" s="1">
        <f>_xlfn.XLOOKUP(A483,A482:A1081,[1]Sheet3!C596:C1195)</f>
        <v>45280</v>
      </c>
      <c r="C483" t="str">
        <f>_xlfn.XLOOKUP(A483,A482:A1081,[1]Sheet3!D596:D1195)</f>
        <v>CUST44606</v>
      </c>
      <c r="D483" t="str">
        <f>_xlfn.XLOOKUP(A483,A482:A1081,[1]Sheet3!E596:E1195)</f>
        <v>Nisha Mehta</v>
      </c>
      <c r="E483" s="5">
        <f>_xlfn.XLOOKUP(A483,A482:A1081,[1]Sheet3!G596:G1195)</f>
        <v>59</v>
      </c>
      <c r="F483" t="str">
        <f>_xlfn.XLOOKUP('Retail Sales'!A597,'Retail Sales'!A596:A1195,[1]Sheet3!H596:H1195)</f>
        <v>Senior</v>
      </c>
      <c r="G483" t="str">
        <f>_xlfn.XLOOKUP(A483,A482:A1081,[1]Sheet3!J596:J1195)</f>
        <v>Other</v>
      </c>
      <c r="H483" t="str">
        <f>_xlfn.XLOOKUP(A483,A482:A1081,[1]Sheet3!K596:K1195)</f>
        <v>East</v>
      </c>
      <c r="I483" t="str">
        <f>_xlfn.XLOOKUP(A483,A482:A1081,[1]Sheet3!L596:L1195)</f>
        <v>Kolkata</v>
      </c>
      <c r="J483" t="str">
        <f>_xlfn.XLOOKUP(A483,A482:A1081,[1]Sheet3!M596:M1195)</f>
        <v>Beauty</v>
      </c>
      <c r="K483" t="str">
        <f>_xlfn.XLOOKUP('Retail Sales'!A597,'Retail Sales'!A596:A1195,[1]Sheet3!N596:N1195)</f>
        <v>Face Cream</v>
      </c>
      <c r="L483" s="5">
        <f>_xlfn.XLOOKUP(A483,A482:A1081,[1]Sheet3!P596:P1195)</f>
        <v>4</v>
      </c>
      <c r="M483" s="7">
        <f>_xlfn.XLOOKUP(A483,A482:A1081,[1]Sheet3!Q596:Q1195)</f>
        <v>1670.09</v>
      </c>
      <c r="N483" s="9">
        <f>_xlfn.XLOOKUP(A483,A482:A1081,[1]Sheet3!S596:S1195)</f>
        <v>0.39</v>
      </c>
      <c r="O483" s="7">
        <f>_xlfn.XLOOKUP(A483,A482:A1081,[1]Sheet3!T596:T1195)</f>
        <v>3402.85</v>
      </c>
      <c r="P483" s="7">
        <f>_xlfn.XLOOKUP(A483,A482:A1081,[1]Sheet3!U596:U1195)</f>
        <v>1861.74</v>
      </c>
      <c r="Q483" s="11">
        <f>_xlfn.XLOOKUP(A483,A482:A1081,[1]Sheet3!V596:V1195)</f>
        <v>0.54711197966410507</v>
      </c>
      <c r="R483" s="7">
        <f>_xlfn.XLOOKUP(A483,A482:A1081,[1]Sheet3!W596:W1195)</f>
        <v>94.95</v>
      </c>
      <c r="S483" t="str">
        <f>_xlfn.XLOOKUP(A483,A482:A1081,[1]Sheet3!X596:X1195)</f>
        <v>UPI</v>
      </c>
      <c r="T483" s="5">
        <f>_xlfn.XLOOKUP(A483,A482:A1081,[1]Sheet3!Z596:Z1195)</f>
        <v>1</v>
      </c>
      <c r="U483" t="b">
        <f>_xlfn.XLOOKUP(A483,A482:A1081,[1]Sheet3!AA596:AA1195)</f>
        <v>1</v>
      </c>
      <c r="V483" t="str">
        <f>_xlfn.XLOOKUP(A483,A482:A1081,[1]Sheet3!AC596:AC1195)</f>
        <v>Returned</v>
      </c>
      <c r="W483" s="5">
        <f>_xlfn.XLOOKUP(A483,A482:A1081,[1]Sheet3!AE596:AE1195)</f>
        <v>6</v>
      </c>
    </row>
    <row r="484" spans="1:23" x14ac:dyDescent="0.35">
      <c r="A484" t="s">
        <v>78</v>
      </c>
      <c r="B484" s="1">
        <f>_xlfn.XLOOKUP(A484,A483:A1082,[1]Sheet3!C521:C1120)</f>
        <v>45280</v>
      </c>
      <c r="C484" t="str">
        <f>_xlfn.XLOOKUP(A484,A483:A1082,[1]Sheet3!D521:D1120)</f>
        <v>CUST97209</v>
      </c>
      <c r="D484" t="str">
        <f>_xlfn.XLOOKUP(A484,A483:A1082,[1]Sheet3!E521:E1120)</f>
        <v>Karan Iyer</v>
      </c>
      <c r="E484" s="5">
        <f>_xlfn.XLOOKUP(A484,A483:A1082,[1]Sheet3!G521:G1120)</f>
        <v>36</v>
      </c>
      <c r="F484" t="str">
        <f>_xlfn.XLOOKUP('Retail Sales'!A522,'Retail Sales'!A521:A1120,[1]Sheet3!H521:H1120)</f>
        <v>Adult</v>
      </c>
      <c r="G484" t="str">
        <f>_xlfn.XLOOKUP(A484,A483:A1082,[1]Sheet3!J521:J1120)</f>
        <v>Female</v>
      </c>
      <c r="H484" t="str">
        <f>_xlfn.XLOOKUP(A484,A483:A1082,[1]Sheet3!K521:K1120)</f>
        <v>South</v>
      </c>
      <c r="I484" t="str">
        <f>_xlfn.XLOOKUP(A484,A483:A1082,[1]Sheet3!L521:L1120)</f>
        <v>Bangalore</v>
      </c>
      <c r="J484" t="str">
        <f>_xlfn.XLOOKUP(A484,A483:A1082,[1]Sheet3!M521:M1120)</f>
        <v>Sports</v>
      </c>
      <c r="K484" t="str">
        <f>_xlfn.XLOOKUP('Retail Sales'!A522,'Retail Sales'!A521:A1120,[1]Sheet3!N521:N1120)</f>
        <v>Cricket Bat</v>
      </c>
      <c r="L484" s="5">
        <f>_xlfn.XLOOKUP(A484,A483:A1082,[1]Sheet3!P521:P1120)</f>
        <v>5</v>
      </c>
      <c r="M484" s="7">
        <f>_xlfn.XLOOKUP(A484,A483:A1082,[1]Sheet3!Q521:Q1120)</f>
        <v>11277.04</v>
      </c>
      <c r="N484" s="9">
        <f>_xlfn.XLOOKUP(A484,A483:A1082,[1]Sheet3!S521:S1120)</f>
        <v>0.03</v>
      </c>
      <c r="O484" s="7">
        <f>_xlfn.XLOOKUP(A484,A483:A1082,[1]Sheet3!T521:T1120)</f>
        <v>47607.55</v>
      </c>
      <c r="P484" s="7">
        <f>_xlfn.XLOOKUP(A484,A483:A1082,[1]Sheet3!U521:U1120)</f>
        <v>14946.09</v>
      </c>
      <c r="Q484" s="11">
        <f>_xlfn.XLOOKUP(A484,A483:A1082,[1]Sheet3!V521:V1120)</f>
        <v>0.31394369170436198</v>
      </c>
      <c r="R484" s="7">
        <f>_xlfn.XLOOKUP(A484,A483:A1082,[1]Sheet3!W521:W1120)</f>
        <v>96.43</v>
      </c>
      <c r="S484" t="str">
        <f>_xlfn.XLOOKUP(A484,A483:A1082,[1]Sheet3!X521:X1120)</f>
        <v>EMI</v>
      </c>
      <c r="T484" s="5">
        <f>_xlfn.XLOOKUP(A484,A483:A1082,[1]Sheet3!Z521:Z1120)</f>
        <v>2</v>
      </c>
      <c r="U484" t="b">
        <f>_xlfn.XLOOKUP(A484,A483:A1082,[1]Sheet3!AA521:AA1120)</f>
        <v>0</v>
      </c>
      <c r="V484" t="str">
        <f>_xlfn.XLOOKUP(A484,A483:A1082,[1]Sheet3!AC521:AC1120)</f>
        <v>Shipped</v>
      </c>
      <c r="W484" s="5">
        <f>_xlfn.XLOOKUP(A484,A483:A1082,[1]Sheet3!AE521:AE1120)</f>
        <v>8</v>
      </c>
    </row>
    <row r="485" spans="1:23" x14ac:dyDescent="0.35">
      <c r="A485" t="s">
        <v>553</v>
      </c>
      <c r="B485" s="1">
        <f>_xlfn.XLOOKUP(A485,A484:A1083,[1]Sheet3!C46:C645)</f>
        <v>45283</v>
      </c>
      <c r="C485" t="str">
        <f>_xlfn.XLOOKUP(A485,A484:A1083,[1]Sheet3!D46:D645)</f>
        <v>CUST53286</v>
      </c>
      <c r="D485" t="str">
        <f>_xlfn.XLOOKUP(A485,A484:A1083,[1]Sheet3!E46:E645)</f>
        <v>Kavya Verma</v>
      </c>
      <c r="E485" s="5">
        <f>_xlfn.XLOOKUP(A485,A484:A1083,[1]Sheet3!G46:G645)</f>
        <v>34</v>
      </c>
      <c r="F485" t="str">
        <f>_xlfn.XLOOKUP('Retail Sales'!A47,'Retail Sales'!A46:A645,[1]Sheet3!H46:H645)</f>
        <v>Young Adult</v>
      </c>
      <c r="G485" t="str">
        <f>_xlfn.XLOOKUP(A485,A484:A1083,[1]Sheet3!J46:J645)</f>
        <v>Male</v>
      </c>
      <c r="H485" t="str">
        <f>_xlfn.XLOOKUP(A485,A484:A1083,[1]Sheet3!K46:K645)</f>
        <v>East</v>
      </c>
      <c r="I485" t="str">
        <f>_xlfn.XLOOKUP(A485,A484:A1083,[1]Sheet3!L46:L645)</f>
        <v>Patna</v>
      </c>
      <c r="J485" t="str">
        <f>_xlfn.XLOOKUP(A485,A484:A1083,[1]Sheet3!M46:M645)</f>
        <v>Beauty</v>
      </c>
      <c r="K485" t="str">
        <f>_xlfn.XLOOKUP('Retail Sales'!A47,'Retail Sales'!A46:A645,[1]Sheet3!N46:N645)</f>
        <v>Face Cream</v>
      </c>
      <c r="L485" s="5">
        <f>_xlfn.XLOOKUP(A485,A484:A1083,[1]Sheet3!P46:P645)</f>
        <v>5</v>
      </c>
      <c r="M485" s="7">
        <f>_xlfn.XLOOKUP(A485,A484:A1083,[1]Sheet3!Q46:Q645)</f>
        <v>2497.1</v>
      </c>
      <c r="N485" s="9">
        <f>_xlfn.XLOOKUP(A485,A484:A1083,[1]Sheet3!S46:S645)</f>
        <v>0.37</v>
      </c>
      <c r="O485" s="7">
        <f>_xlfn.XLOOKUP(A485,A484:A1083,[1]Sheet3!T46:T645)</f>
        <v>6596.23</v>
      </c>
      <c r="P485" s="7">
        <f>_xlfn.XLOOKUP(A485,A484:A1083,[1]Sheet3!U46:U645)</f>
        <v>2649.2</v>
      </c>
      <c r="Q485" s="11">
        <f>_xlfn.XLOOKUP(A485,A484:A1083,[1]Sheet3!V46:V645)</f>
        <v>0.40162335152048972</v>
      </c>
      <c r="R485" s="7">
        <f>_xlfn.XLOOKUP(A485,A484:A1083,[1]Sheet3!W46:W645)</f>
        <v>61.27</v>
      </c>
      <c r="S485" t="str">
        <f>_xlfn.XLOOKUP(A485,A484:A1083,[1]Sheet3!X46:X645)</f>
        <v>Cash on Delivery</v>
      </c>
      <c r="T485" s="5">
        <f>_xlfn.XLOOKUP(A485,A484:A1083,[1]Sheet3!Z46:Z645)</f>
        <v>1</v>
      </c>
      <c r="U485" t="b">
        <f>_xlfn.XLOOKUP(A485,A484:A1083,[1]Sheet3!AA46:AA645)</f>
        <v>0</v>
      </c>
      <c r="V485" t="str">
        <f>_xlfn.XLOOKUP(A485,A484:A1083,[1]Sheet3!AC46:AC645)</f>
        <v>Shipped</v>
      </c>
      <c r="W485" s="5">
        <f>_xlfn.XLOOKUP(A485,A484:A1083,[1]Sheet3!AE46:AE645)</f>
        <v>5</v>
      </c>
    </row>
    <row r="486" spans="1:23" x14ac:dyDescent="0.35">
      <c r="A486" t="s">
        <v>455</v>
      </c>
      <c r="B486" s="1">
        <f>_xlfn.XLOOKUP(A486,A485:A1084,[1]Sheet3!C144:C743)</f>
        <v>45289</v>
      </c>
      <c r="C486" t="str">
        <f>_xlfn.XLOOKUP(A486,A485:A1084,[1]Sheet3!D144:D743)</f>
        <v>CUST03410</v>
      </c>
      <c r="D486" t="str">
        <f>_xlfn.XLOOKUP(A486,A485:A1084,[1]Sheet3!E144:E743)</f>
        <v>Sunita Das</v>
      </c>
      <c r="E486" s="5">
        <f>_xlfn.XLOOKUP(A486,A485:A1084,[1]Sheet3!G144:G743)</f>
        <v>34.294220665499125</v>
      </c>
      <c r="F486" t="str">
        <f>_xlfn.XLOOKUP('Retail Sales'!A145,'Retail Sales'!A144:A743,[1]Sheet3!H144:H743)</f>
        <v>Young Adult</v>
      </c>
      <c r="G486" t="str">
        <f>_xlfn.XLOOKUP(A486,A485:A1084,[1]Sheet3!J144:J743)</f>
        <v>Female</v>
      </c>
      <c r="H486" t="str">
        <f>_xlfn.XLOOKUP(A486,A485:A1084,[1]Sheet3!K144:K743)</f>
        <v>East</v>
      </c>
      <c r="I486" t="str">
        <f>_xlfn.XLOOKUP(A486,A485:A1084,[1]Sheet3!L144:L743)</f>
        <v>Patna</v>
      </c>
      <c r="J486" t="str">
        <f>_xlfn.XLOOKUP(A486,A485:A1084,[1]Sheet3!M144:M743)</f>
        <v>Electronics</v>
      </c>
      <c r="K486" t="str">
        <f>_xlfn.XLOOKUP('Retail Sales'!A145,'Retail Sales'!A144:A743,[1]Sheet3!N144:N743)</f>
        <v>Smartphone</v>
      </c>
      <c r="L486" s="5">
        <f>_xlfn.XLOOKUP(A486,A485:A1084,[1]Sheet3!P144:P743)</f>
        <v>9</v>
      </c>
      <c r="M486" s="7">
        <f>_xlfn.XLOOKUP(A486,A485:A1084,[1]Sheet3!Q144:Q743)</f>
        <v>30674.09</v>
      </c>
      <c r="N486" s="9">
        <f>_xlfn.XLOOKUP(A486,A485:A1084,[1]Sheet3!S144:S743)</f>
        <v>0.39</v>
      </c>
      <c r="O486" s="7">
        <f>_xlfn.XLOOKUP(A486,A485:A1084,[1]Sheet3!T144:T743)</f>
        <v>159421.60999999999</v>
      </c>
      <c r="P486" s="7">
        <f>_xlfn.XLOOKUP(A486,A485:A1084,[1]Sheet3!U144:U743)</f>
        <v>15597.31</v>
      </c>
      <c r="Q486" s="11">
        <f>_xlfn.XLOOKUP(A486,A485:A1084,[1]Sheet3!V144:V743)</f>
        <v>9.7836861640024836E-2</v>
      </c>
      <c r="R486" s="7">
        <f>_xlfn.XLOOKUP(A486,A485:A1084,[1]Sheet3!W144:W743)</f>
        <v>76.430000000000007</v>
      </c>
      <c r="S486" t="str">
        <f>_xlfn.XLOOKUP(A486,A485:A1084,[1]Sheet3!X144:X743)</f>
        <v>Cash on Delivery</v>
      </c>
      <c r="T486" s="5">
        <f>_xlfn.XLOOKUP(A486,A485:A1084,[1]Sheet3!Z144:Z743)</f>
        <v>3</v>
      </c>
      <c r="U486" t="b">
        <f>_xlfn.XLOOKUP(A486,A485:A1084,[1]Sheet3!AA144:AA743)</f>
        <v>0</v>
      </c>
      <c r="V486" t="str">
        <f>_xlfn.XLOOKUP(A486,A485:A1084,[1]Sheet3!AC144:AC743)</f>
        <v>Delivered</v>
      </c>
      <c r="W486" s="5">
        <f>_xlfn.XLOOKUP(A486,A485:A1084,[1]Sheet3!AE144:AE743)</f>
        <v>2</v>
      </c>
    </row>
    <row r="487" spans="1:23" x14ac:dyDescent="0.35">
      <c r="A487" t="s">
        <v>128</v>
      </c>
      <c r="B487" s="1">
        <f>_xlfn.XLOOKUP(A487,A486:A1085,[1]Sheet3!C471:C1070)</f>
        <v>45290</v>
      </c>
      <c r="C487" t="str">
        <f>_xlfn.XLOOKUP(A487,A486:A1085,[1]Sheet3!D471:D1070)</f>
        <v>CUST23969</v>
      </c>
      <c r="D487" t="str">
        <f>_xlfn.XLOOKUP(A487,A486:A1085,[1]Sheet3!E471:E1070)</f>
        <v>Rahul Mehta</v>
      </c>
      <c r="E487" s="5">
        <f>_xlfn.XLOOKUP(A487,A486:A1085,[1]Sheet3!G471:G1070)</f>
        <v>27</v>
      </c>
      <c r="F487" t="str">
        <f>_xlfn.XLOOKUP('Retail Sales'!A472,'Retail Sales'!A471:A1070,[1]Sheet3!H471:H1070)</f>
        <v>Young Adult</v>
      </c>
      <c r="G487" t="str">
        <f>_xlfn.XLOOKUP(A487,A486:A1085,[1]Sheet3!J471:J1070)</f>
        <v>Male</v>
      </c>
      <c r="H487" t="str">
        <f>_xlfn.XLOOKUP(A487,A486:A1085,[1]Sheet3!K471:K1070)</f>
        <v>Central</v>
      </c>
      <c r="I487" t="str">
        <f>_xlfn.XLOOKUP(A487,A486:A1085,[1]Sheet3!L471:L1070)</f>
        <v>Raipur</v>
      </c>
      <c r="J487" t="str">
        <f>_xlfn.XLOOKUP(A487,A486:A1085,[1]Sheet3!M471:M1070)</f>
        <v>Books</v>
      </c>
      <c r="K487" t="str">
        <f>_xlfn.XLOOKUP('Retail Sales'!A472,'Retail Sales'!A471:A1070,[1]Sheet3!N471:N1070)</f>
        <v>Textbook</v>
      </c>
      <c r="L487" s="5">
        <f>_xlfn.XLOOKUP(A487,A486:A1085,[1]Sheet3!P471:P1070)</f>
        <v>9</v>
      </c>
      <c r="M487" s="7">
        <f>_xlfn.XLOOKUP(A487,A486:A1085,[1]Sheet3!Q471:Q1070)</f>
        <v>609.86</v>
      </c>
      <c r="N487" s="9">
        <f>_xlfn.XLOOKUP(A487,A486:A1085,[1]Sheet3!S471:S1070)</f>
        <v>0.14000000000000001</v>
      </c>
      <c r="O487" s="7">
        <f>_xlfn.XLOOKUP(A487,A486:A1085,[1]Sheet3!T471:T1070)</f>
        <v>3554.23</v>
      </c>
      <c r="P487" s="7">
        <f>_xlfn.XLOOKUP(A487,A486:A1085,[1]Sheet3!U471:U1070)</f>
        <v>1923.48</v>
      </c>
      <c r="Q487" s="11">
        <f>_xlfn.XLOOKUP(A487,A486:A1085,[1]Sheet3!V471:V1070)</f>
        <v>0.54118050885845881</v>
      </c>
      <c r="R487" s="7">
        <f>_xlfn.XLOOKUP(A487,A486:A1085,[1]Sheet3!W471:W1070)</f>
        <v>54.96</v>
      </c>
      <c r="S487" t="str">
        <f>_xlfn.XLOOKUP(A487,A486:A1085,[1]Sheet3!X471:X1070)</f>
        <v>EMI</v>
      </c>
      <c r="T487" s="5">
        <f>_xlfn.XLOOKUP(A487,A486:A1085,[1]Sheet3!Z471:Z1070)</f>
        <v>3</v>
      </c>
      <c r="U487" t="b">
        <f>_xlfn.XLOOKUP(A487,A486:A1085,[1]Sheet3!AA471:AA1070)</f>
        <v>0</v>
      </c>
      <c r="V487" t="str">
        <f>_xlfn.XLOOKUP(A487,A486:A1085,[1]Sheet3!AC471:AC1070)</f>
        <v>Shipped</v>
      </c>
      <c r="W487" s="5">
        <f>_xlfn.XLOOKUP(A487,A486:A1085,[1]Sheet3!AE471:AE1070)</f>
        <v>1</v>
      </c>
    </row>
    <row r="488" spans="1:23" x14ac:dyDescent="0.35">
      <c r="A488" t="s">
        <v>422</v>
      </c>
      <c r="B488" s="1">
        <f>_xlfn.XLOOKUP(A488,A487:A1086,[1]Sheet3!C177:C776)</f>
        <v>45291</v>
      </c>
      <c r="C488" t="str">
        <f>_xlfn.XLOOKUP(A488,A487:A1086,[1]Sheet3!D177:D776)</f>
        <v>CUST86469</v>
      </c>
      <c r="D488" t="str">
        <f>_xlfn.XLOOKUP(A488,A487:A1086,[1]Sheet3!E177:E776)</f>
        <v>Aarav Mehta</v>
      </c>
      <c r="E488" s="5">
        <f>_xlfn.XLOOKUP(A488,A487:A1086,[1]Sheet3!G177:G776)</f>
        <v>43</v>
      </c>
      <c r="F488" t="str">
        <f>_xlfn.XLOOKUP('Retail Sales'!A178,'Retail Sales'!A177:A776,[1]Sheet3!H177:H776)</f>
        <v>Adult</v>
      </c>
      <c r="G488" t="str">
        <f>_xlfn.XLOOKUP(A488,A487:A1086,[1]Sheet3!J177:J776)</f>
        <v>Other</v>
      </c>
      <c r="H488" t="str">
        <f>_xlfn.XLOOKUP(A488,A487:A1086,[1]Sheet3!K177:K776)</f>
        <v>South</v>
      </c>
      <c r="I488" t="str">
        <f>_xlfn.XLOOKUP(A488,A487:A1086,[1]Sheet3!L177:L776)</f>
        <v>Hyderabad</v>
      </c>
      <c r="J488" t="str">
        <f>_xlfn.XLOOKUP(A488,A487:A1086,[1]Sheet3!M177:M776)</f>
        <v>Beauty</v>
      </c>
      <c r="K488" t="str">
        <f>_xlfn.XLOOKUP('Retail Sales'!A178,'Retail Sales'!A177:A776,[1]Sheet3!N177:N776)</f>
        <v>Lipstick</v>
      </c>
      <c r="L488" s="5">
        <f>_xlfn.XLOOKUP(A488,A487:A1086,[1]Sheet3!P177:P776)</f>
        <v>7</v>
      </c>
      <c r="M488" s="7">
        <f>_xlfn.XLOOKUP(A488,A487:A1086,[1]Sheet3!Q177:Q776)</f>
        <v>1828.2</v>
      </c>
      <c r="N488" s="9">
        <f>_xlfn.XLOOKUP(A488,A487:A1086,[1]Sheet3!S177:S776)</f>
        <v>0.21</v>
      </c>
      <c r="O488" s="7">
        <f>_xlfn.XLOOKUP(A488,A487:A1086,[1]Sheet3!T177:T776)</f>
        <v>9118.6299999999992</v>
      </c>
      <c r="P488" s="7">
        <f>_xlfn.XLOOKUP(A488,A487:A1086,[1]Sheet3!U177:U776)</f>
        <v>3919.89</v>
      </c>
      <c r="Q488" s="11">
        <f>_xlfn.XLOOKUP(A488,A487:A1086,[1]Sheet3!V177:V776)</f>
        <v>0.42987707583266349</v>
      </c>
      <c r="R488" s="7">
        <f>_xlfn.XLOOKUP(A488,A487:A1086,[1]Sheet3!W177:W776)</f>
        <v>72.63</v>
      </c>
      <c r="S488" t="str">
        <f>_xlfn.XLOOKUP(A488,A487:A1086,[1]Sheet3!X177:X776)</f>
        <v>Credit Card</v>
      </c>
      <c r="T488" s="5">
        <f>_xlfn.XLOOKUP(A488,A487:A1086,[1]Sheet3!Z177:Z776)</f>
        <v>4</v>
      </c>
      <c r="U488" t="b">
        <f>_xlfn.XLOOKUP(A488,A487:A1086,[1]Sheet3!AA177:AA776)</f>
        <v>0</v>
      </c>
      <c r="V488" t="str">
        <f>_xlfn.XLOOKUP(A488,A487:A1086,[1]Sheet3!AC177:AC776)</f>
        <v>Delivered</v>
      </c>
      <c r="W488" s="5">
        <f>_xlfn.XLOOKUP(A488,A487:A1086,[1]Sheet3!AE177:AE776)</f>
        <v>1</v>
      </c>
    </row>
    <row r="489" spans="1:23" x14ac:dyDescent="0.35">
      <c r="A489" t="s">
        <v>459</v>
      </c>
      <c r="B489" s="1">
        <f>_xlfn.XLOOKUP(A489,A488:A1087,[1]Sheet3!C140:C739)</f>
        <v>45297</v>
      </c>
      <c r="C489" t="str">
        <f>_xlfn.XLOOKUP(A489,A488:A1087,[1]Sheet3!D140:D739)</f>
        <v>CUST51656</v>
      </c>
      <c r="D489" t="str">
        <f>_xlfn.XLOOKUP(A489,A488:A1087,[1]Sheet3!E140:E739)</f>
        <v>Kavya Singh</v>
      </c>
      <c r="E489" s="5">
        <f>_xlfn.XLOOKUP(A489,A488:A1087,[1]Sheet3!G140:G739)</f>
        <v>20</v>
      </c>
      <c r="F489" t="str">
        <f>_xlfn.XLOOKUP('Retail Sales'!A141,'Retail Sales'!A140:A739,[1]Sheet3!H140:H739)</f>
        <v>Young Adult</v>
      </c>
      <c r="G489" t="str">
        <f>_xlfn.XLOOKUP(A489,A488:A1087,[1]Sheet3!J140:J739)</f>
        <v>Other</v>
      </c>
      <c r="H489" t="str">
        <f>_xlfn.XLOOKUP(A489,A488:A1087,[1]Sheet3!K140:K739)</f>
        <v>West</v>
      </c>
      <c r="I489" t="str">
        <f>_xlfn.XLOOKUP(A489,A488:A1087,[1]Sheet3!L140:L739)</f>
        <v>Pune</v>
      </c>
      <c r="J489" t="str">
        <f>_xlfn.XLOOKUP(A489,A488:A1087,[1]Sheet3!M140:M739)</f>
        <v>Electronics</v>
      </c>
      <c r="K489" t="str">
        <f>_xlfn.XLOOKUP('Retail Sales'!A141,'Retail Sales'!A140:A739,[1]Sheet3!N140:N739)</f>
        <v>Laptop</v>
      </c>
      <c r="L489" s="5">
        <f>_xlfn.XLOOKUP(A489,A488:A1087,[1]Sheet3!P140:P739)</f>
        <v>3</v>
      </c>
      <c r="M489" s="7">
        <f>_xlfn.XLOOKUP(A489,A488:A1087,[1]Sheet3!Q140:Q739)</f>
        <v>42514.99</v>
      </c>
      <c r="N489" s="9">
        <f>_xlfn.XLOOKUP(A489,A488:A1087,[1]Sheet3!S140:S739)</f>
        <v>0.06</v>
      </c>
      <c r="O489" s="7">
        <f>_xlfn.XLOOKUP(A489,A488:A1087,[1]Sheet3!T140:T739)</f>
        <v>111205.03</v>
      </c>
      <c r="P489" s="7">
        <f>_xlfn.XLOOKUP(A489,A488:A1087,[1]Sheet3!U140:U739)</f>
        <v>13533.76</v>
      </c>
      <c r="Q489" s="11">
        <f>_xlfn.XLOOKUP(A489,A488:A1087,[1]Sheet3!V140:V739)</f>
        <v>0.12170096982123921</v>
      </c>
      <c r="R489" s="7">
        <f>_xlfn.XLOOKUP(A489,A488:A1087,[1]Sheet3!W140:W739)</f>
        <v>59.07</v>
      </c>
      <c r="S489" t="str">
        <f>_xlfn.XLOOKUP(A489,A488:A1087,[1]Sheet3!X140:X739)</f>
        <v>EMI</v>
      </c>
      <c r="T489" s="5">
        <f>_xlfn.XLOOKUP(A489,A488:A1087,[1]Sheet3!Z140:Z739)</f>
        <v>5</v>
      </c>
      <c r="U489" t="b">
        <f>_xlfn.XLOOKUP(A489,A488:A1087,[1]Sheet3!AA140:AA739)</f>
        <v>0</v>
      </c>
      <c r="V489" t="str">
        <f>_xlfn.XLOOKUP(A489,A488:A1087,[1]Sheet3!AC140:AC739)</f>
        <v>Cancelled</v>
      </c>
      <c r="W489" s="5">
        <f>_xlfn.XLOOKUP(A489,A488:A1087,[1]Sheet3!AE140:AE739)</f>
        <v>5</v>
      </c>
    </row>
    <row r="490" spans="1:23" x14ac:dyDescent="0.35">
      <c r="A490" t="s">
        <v>380</v>
      </c>
      <c r="B490" s="1">
        <f>_xlfn.XLOOKUP(A490,A489:A1088,[1]Sheet3!C219:C818)</f>
        <v>45300</v>
      </c>
      <c r="C490" t="str">
        <f>_xlfn.XLOOKUP(A490,A489:A1088,[1]Sheet3!D219:D818)</f>
        <v>CUST94721</v>
      </c>
      <c r="D490" t="str">
        <f>_xlfn.XLOOKUP(A490,A489:A1088,[1]Sheet3!E219:E818)</f>
        <v>Nisha Reddy</v>
      </c>
      <c r="E490" s="5">
        <f>_xlfn.XLOOKUP(A490,A489:A1088,[1]Sheet3!G219:G818)</f>
        <v>26</v>
      </c>
      <c r="F490" t="str">
        <f>_xlfn.XLOOKUP('Retail Sales'!A220,'Retail Sales'!A219:A818,[1]Sheet3!H219:H818)</f>
        <v>Young Adult</v>
      </c>
      <c r="G490" t="str">
        <f>_xlfn.XLOOKUP(A490,A489:A1088,[1]Sheet3!J219:J818)</f>
        <v>Male</v>
      </c>
      <c r="H490" t="str">
        <f>_xlfn.XLOOKUP(A490,A489:A1088,[1]Sheet3!K219:K818)</f>
        <v>North</v>
      </c>
      <c r="I490" t="str">
        <f>_xlfn.XLOOKUP(A490,A489:A1088,[1]Sheet3!L219:L818)</f>
        <v>Ludhiana</v>
      </c>
      <c r="J490" t="str">
        <f>_xlfn.XLOOKUP(A490,A489:A1088,[1]Sheet3!M219:M818)</f>
        <v>Electronics</v>
      </c>
      <c r="K490" t="str">
        <f>_xlfn.XLOOKUP('Retail Sales'!A220,'Retail Sales'!A219:A818,[1]Sheet3!N219:N818)</f>
        <v>Smartwatch</v>
      </c>
      <c r="L490" s="5">
        <f>_xlfn.XLOOKUP(A490,A489:A1088,[1]Sheet3!P219:P818)</f>
        <v>4</v>
      </c>
      <c r="M490" s="7">
        <f>_xlfn.XLOOKUP(A490,A489:A1088,[1]Sheet3!Q219:Q818)</f>
        <v>13215.16</v>
      </c>
      <c r="N490" s="9">
        <f>_xlfn.XLOOKUP(A490,A489:A1088,[1]Sheet3!S219:S818)</f>
        <v>0.15</v>
      </c>
      <c r="O490" s="7">
        <f>_xlfn.XLOOKUP(A490,A489:A1088,[1]Sheet3!T219:T818)</f>
        <v>41177.25</v>
      </c>
      <c r="P490" s="7">
        <f>_xlfn.XLOOKUP(A490,A489:A1088,[1]Sheet3!U219:U818)</f>
        <v>3874.92</v>
      </c>
      <c r="Q490" s="11">
        <f>_xlfn.XLOOKUP(A490,A489:A1088,[1]Sheet3!V219:V818)</f>
        <v>9.4103418756716392E-2</v>
      </c>
      <c r="R490" s="7">
        <f>_xlfn.XLOOKUP(A490,A489:A1088,[1]Sheet3!W219:W818)</f>
        <v>36.17</v>
      </c>
      <c r="S490" t="str">
        <f>_xlfn.XLOOKUP(A490,A489:A1088,[1]Sheet3!X219:X818)</f>
        <v>Net Banking</v>
      </c>
      <c r="T490" s="5">
        <f>_xlfn.XLOOKUP(A490,A489:A1088,[1]Sheet3!Z219:Z818)</f>
        <v>2</v>
      </c>
      <c r="U490" t="b">
        <f>_xlfn.XLOOKUP(A490,A489:A1088,[1]Sheet3!AA219:AA818)</f>
        <v>0</v>
      </c>
      <c r="V490" t="str">
        <f>_xlfn.XLOOKUP(A490,A489:A1088,[1]Sheet3!AC219:AC818)</f>
        <v>Delivered</v>
      </c>
      <c r="W490" s="5">
        <f>_xlfn.XLOOKUP(A490,A489:A1088,[1]Sheet3!AE219:AE818)</f>
        <v>3</v>
      </c>
    </row>
    <row r="491" spans="1:23" x14ac:dyDescent="0.35">
      <c r="A491" t="s">
        <v>313</v>
      </c>
      <c r="B491" s="1">
        <f>_xlfn.XLOOKUP(A491,A490:A1089,[1]Sheet3!C286:C885)</f>
        <v>45303</v>
      </c>
      <c r="C491" t="str">
        <f>_xlfn.XLOOKUP(A491,A490:A1089,[1]Sheet3!D286:D885)</f>
        <v>CUST76705</v>
      </c>
      <c r="D491" t="str">
        <f>_xlfn.XLOOKUP(A491,A490:A1089,[1]Sheet3!E286:E885)</f>
        <v>Meera Das</v>
      </c>
      <c r="E491" s="5">
        <f>_xlfn.XLOOKUP(A491,A490:A1089,[1]Sheet3!G286:G885)</f>
        <v>42</v>
      </c>
      <c r="F491" t="str">
        <f>_xlfn.XLOOKUP('Retail Sales'!A287,'Retail Sales'!A286:A885,[1]Sheet3!H286:H885)</f>
        <v>Adult</v>
      </c>
      <c r="G491" t="str">
        <f>_xlfn.XLOOKUP(A491,A490:A1089,[1]Sheet3!J286:J885)</f>
        <v>Male</v>
      </c>
      <c r="H491" t="str">
        <f>_xlfn.XLOOKUP(A491,A490:A1089,[1]Sheet3!K286:K885)</f>
        <v>South</v>
      </c>
      <c r="I491" t="str">
        <f>_xlfn.XLOOKUP(A491,A490:A1089,[1]Sheet3!L286:L885)</f>
        <v>Chennai</v>
      </c>
      <c r="J491" t="str">
        <f>_xlfn.XLOOKUP(A491,A490:A1089,[1]Sheet3!M286:M885)</f>
        <v>Beauty</v>
      </c>
      <c r="K491" t="str">
        <f>_xlfn.XLOOKUP('Retail Sales'!A287,'Retail Sales'!A286:A885,[1]Sheet3!N286:N885)</f>
        <v>Sunscreen</v>
      </c>
      <c r="L491" s="5">
        <f>_xlfn.XLOOKUP(A491,A490:A1089,[1]Sheet3!P286:P885)</f>
        <v>1</v>
      </c>
      <c r="M491" s="7">
        <f>_xlfn.XLOOKUP(A491,A490:A1089,[1]Sheet3!Q286:Q885)</f>
        <v>2339.83</v>
      </c>
      <c r="N491" s="9">
        <f>_xlfn.XLOOKUP(A491,A490:A1089,[1]Sheet3!S286:S885)</f>
        <v>0.03</v>
      </c>
      <c r="O491" s="7">
        <f>_xlfn.XLOOKUP(A491,A490:A1089,[1]Sheet3!T286:T885)</f>
        <v>2319.17</v>
      </c>
      <c r="P491" s="7">
        <f>_xlfn.XLOOKUP(A491,A490:A1089,[1]Sheet3!U286:U885)</f>
        <v>1351.82</v>
      </c>
      <c r="Q491" s="11">
        <f>_xlfn.XLOOKUP(A491,A490:A1089,[1]Sheet3!V286:V885)</f>
        <v>0.58288956825071037</v>
      </c>
      <c r="R491" s="7">
        <f>_xlfn.XLOOKUP(A491,A490:A1089,[1]Sheet3!W286:W885)</f>
        <v>88.12</v>
      </c>
      <c r="S491" t="str">
        <f>_xlfn.XLOOKUP(A491,A490:A1089,[1]Sheet3!X286:X885)</f>
        <v>Net Banking</v>
      </c>
      <c r="T491" s="5">
        <f>_xlfn.XLOOKUP(A491,A490:A1089,[1]Sheet3!Z286:Z885)</f>
        <v>3</v>
      </c>
      <c r="U491" t="b">
        <f>_xlfn.XLOOKUP(A491,A490:A1089,[1]Sheet3!AA286:AA885)</f>
        <v>0</v>
      </c>
      <c r="V491" t="str">
        <f>_xlfn.XLOOKUP(A491,A490:A1089,[1]Sheet3!AC286:AC885)</f>
        <v>Delivered</v>
      </c>
      <c r="W491" s="5">
        <f>_xlfn.XLOOKUP(A491,A490:A1089,[1]Sheet3!AE286:AE885)</f>
        <v>10</v>
      </c>
    </row>
    <row r="492" spans="1:23" x14ac:dyDescent="0.35">
      <c r="A492" t="s">
        <v>336</v>
      </c>
      <c r="B492" s="1">
        <f>_xlfn.XLOOKUP(A492,A491:A1090,[1]Sheet3!C263:C862)</f>
        <v>45304</v>
      </c>
      <c r="C492" t="str">
        <f>_xlfn.XLOOKUP(A492,A491:A1090,[1]Sheet3!D263:D862)</f>
        <v>CUST97545</v>
      </c>
      <c r="D492" t="str">
        <f>_xlfn.XLOOKUP(A492,A491:A1090,[1]Sheet3!E263:E862)</f>
        <v>Ritu Bose</v>
      </c>
      <c r="E492" s="5">
        <f>_xlfn.XLOOKUP(A492,A491:A1090,[1]Sheet3!G263:G862)</f>
        <v>25</v>
      </c>
      <c r="F492" t="str">
        <f>_xlfn.XLOOKUP('Retail Sales'!A264,'Retail Sales'!A263:A862,[1]Sheet3!H263:H862)</f>
        <v>Young Adult</v>
      </c>
      <c r="G492" t="str">
        <f>_xlfn.XLOOKUP(A492,A491:A1090,[1]Sheet3!J263:J862)</f>
        <v>Other</v>
      </c>
      <c r="H492" t="str">
        <f>_xlfn.XLOOKUP(A492,A491:A1090,[1]Sheet3!K263:K862)</f>
        <v>Central</v>
      </c>
      <c r="I492" t="str">
        <f>_xlfn.XLOOKUP(A492,A491:A1090,[1]Sheet3!L263:L862)</f>
        <v>Raipur</v>
      </c>
      <c r="J492" t="str">
        <f>_xlfn.XLOOKUP(A492,A491:A1090,[1]Sheet3!M263:M862)</f>
        <v>Books</v>
      </c>
      <c r="K492" t="str">
        <f>_xlfn.XLOOKUP('Retail Sales'!A264,'Retail Sales'!A263:A862,[1]Sheet3!N263:N862)</f>
        <v>Cook Book</v>
      </c>
      <c r="L492" s="5">
        <f>_xlfn.XLOOKUP(A492,A491:A1090,[1]Sheet3!P263:P862)</f>
        <v>2</v>
      </c>
      <c r="M492" s="7">
        <f>_xlfn.XLOOKUP(A492,A491:A1090,[1]Sheet3!Q263:Q862)</f>
        <v>365.34</v>
      </c>
      <c r="N492" s="9">
        <f>_xlfn.XLOOKUP(A492,A491:A1090,[1]Sheet3!S263:S862)</f>
        <v>0.09</v>
      </c>
      <c r="O492" s="7">
        <f>_xlfn.XLOOKUP(A492,A491:A1090,[1]Sheet3!T263:T862)</f>
        <v>599.16</v>
      </c>
      <c r="P492" s="7">
        <f>_xlfn.XLOOKUP(A492,A491:A1090,[1]Sheet3!U263:U862)</f>
        <v>276.45999999999998</v>
      </c>
      <c r="Q492" s="11">
        <f>_xlfn.XLOOKUP(A492,A491:A1090,[1]Sheet3!V263:V862)</f>
        <v>0.46141264436878293</v>
      </c>
      <c r="R492" s="7">
        <f>_xlfn.XLOOKUP(A492,A491:A1090,[1]Sheet3!W263:W862)</f>
        <v>52.27</v>
      </c>
      <c r="S492" t="str">
        <f>_xlfn.XLOOKUP(A492,A491:A1090,[1]Sheet3!X263:X862)</f>
        <v>UPI</v>
      </c>
      <c r="T492" s="5">
        <f>_xlfn.XLOOKUP(A492,A491:A1090,[1]Sheet3!Z263:Z862)</f>
        <v>2</v>
      </c>
      <c r="U492" t="b">
        <f>_xlfn.XLOOKUP(A492,A491:A1090,[1]Sheet3!AA263:AA862)</f>
        <v>0</v>
      </c>
      <c r="V492" t="str">
        <f>_xlfn.XLOOKUP(A492,A491:A1090,[1]Sheet3!AC263:AC862)</f>
        <v>Delivered</v>
      </c>
      <c r="W492" s="5">
        <f>_xlfn.XLOOKUP(A492,A491:A1090,[1]Sheet3!AE263:AE862)</f>
        <v>4</v>
      </c>
    </row>
    <row r="493" spans="1:23" x14ac:dyDescent="0.35">
      <c r="A493" t="s">
        <v>19</v>
      </c>
      <c r="B493" s="1">
        <f>_xlfn.XLOOKUP(A493,A492:A1091,[1]Sheet3!C580:C1179)</f>
        <v>45305</v>
      </c>
      <c r="C493" t="str">
        <f>_xlfn.XLOOKUP(A493,A492:A1091,[1]Sheet3!D580:D1179)</f>
        <v>CUST34808</v>
      </c>
      <c r="D493" t="str">
        <f>_xlfn.XLOOKUP(A493,A492:A1091,[1]Sheet3!E580:E1179)</f>
        <v>Ritu Shah</v>
      </c>
      <c r="E493" s="5">
        <f>_xlfn.XLOOKUP(A493,A492:A1091,[1]Sheet3!G580:G1179)</f>
        <v>36</v>
      </c>
      <c r="F493" t="str">
        <f>_xlfn.XLOOKUP('Retail Sales'!A581,'Retail Sales'!A580:A1179,[1]Sheet3!H580:H1179)</f>
        <v>Adult</v>
      </c>
      <c r="G493" t="str">
        <f>_xlfn.XLOOKUP(A493,A492:A1091,[1]Sheet3!J580:J1179)</f>
        <v>Male</v>
      </c>
      <c r="H493" t="str">
        <f>_xlfn.XLOOKUP(A493,A492:A1091,[1]Sheet3!K580:K1179)</f>
        <v>North</v>
      </c>
      <c r="I493" t="str">
        <f>_xlfn.XLOOKUP(A493,A492:A1091,[1]Sheet3!L580:L1179)</f>
        <v>Chandigarh</v>
      </c>
      <c r="J493" t="str">
        <f>_xlfn.XLOOKUP(A493,A492:A1091,[1]Sheet3!M580:M1179)</f>
        <v>Electronics</v>
      </c>
      <c r="K493" t="str">
        <f>_xlfn.XLOOKUP('Retail Sales'!A581,'Retail Sales'!A580:A1179,[1]Sheet3!N580:N1179)</f>
        <v>Smartwatch</v>
      </c>
      <c r="L493" s="5">
        <f>_xlfn.XLOOKUP(A493,A492:A1091,[1]Sheet3!P580:P1179)</f>
        <v>1</v>
      </c>
      <c r="M493" s="7">
        <f>_xlfn.XLOOKUP(A493,A492:A1091,[1]Sheet3!Q580:Q1179)</f>
        <v>16829.03</v>
      </c>
      <c r="N493" s="9">
        <f>_xlfn.XLOOKUP(A493,A492:A1091,[1]Sheet3!S580:S1179)</f>
        <v>0.04</v>
      </c>
      <c r="O493" s="7">
        <f>_xlfn.XLOOKUP(A493,A492:A1091,[1]Sheet3!T580:T1179)</f>
        <v>16558.810000000001</v>
      </c>
      <c r="P493" s="7">
        <f>_xlfn.XLOOKUP(A493,A492:A1091,[1]Sheet3!U580:U1179)</f>
        <v>2537.33</v>
      </c>
      <c r="Q493" s="11">
        <f>_xlfn.XLOOKUP(A493,A492:A1091,[1]Sheet3!V580:V1179)</f>
        <v>0.15323142182318655</v>
      </c>
      <c r="R493" s="7">
        <f>_xlfn.XLOOKUP(A493,A492:A1091,[1]Sheet3!W580:W1179)</f>
        <v>43.96</v>
      </c>
      <c r="S493" t="str">
        <f>_xlfn.XLOOKUP(A493,A492:A1091,[1]Sheet3!X580:X1179)</f>
        <v>Credit Card</v>
      </c>
      <c r="T493" s="5">
        <f>_xlfn.XLOOKUP(A493,A492:A1091,[1]Sheet3!Z580:Z1179)</f>
        <v>1</v>
      </c>
      <c r="U493" t="b">
        <f>_xlfn.XLOOKUP(A493,A492:A1091,[1]Sheet3!AA580:AA1179)</f>
        <v>1</v>
      </c>
      <c r="V493" t="str">
        <f>_xlfn.XLOOKUP(A493,A492:A1091,[1]Sheet3!AC580:AC1179)</f>
        <v>Returned</v>
      </c>
      <c r="W493" s="5">
        <f>_xlfn.XLOOKUP(A493,A492:A1091,[1]Sheet3!AE580:AE1179)</f>
        <v>9</v>
      </c>
    </row>
    <row r="494" spans="1:23" x14ac:dyDescent="0.35">
      <c r="A494" t="s">
        <v>498</v>
      </c>
      <c r="B494" s="1">
        <f>_xlfn.XLOOKUP(A494,A493:A1092,[1]Sheet3!C101:C700)</f>
        <v>45306</v>
      </c>
      <c r="C494" t="str">
        <f>_xlfn.XLOOKUP(A494,A493:A1092,[1]Sheet3!D101:D700)</f>
        <v>CUST62905</v>
      </c>
      <c r="D494" t="str">
        <f>_xlfn.XLOOKUP(A494,A493:A1092,[1]Sheet3!E101:E700)</f>
        <v>Vikram Iyer</v>
      </c>
      <c r="E494" s="5">
        <f>_xlfn.XLOOKUP(A494,A493:A1092,[1]Sheet3!G101:G700)</f>
        <v>41</v>
      </c>
      <c r="F494" t="str">
        <f>_xlfn.XLOOKUP('Retail Sales'!A102,'Retail Sales'!A101:A700,[1]Sheet3!H101:H700)</f>
        <v>Adult</v>
      </c>
      <c r="G494" t="str">
        <f>_xlfn.XLOOKUP(A494,A493:A1092,[1]Sheet3!J101:J700)</f>
        <v>Other</v>
      </c>
      <c r="H494" t="str">
        <f>_xlfn.XLOOKUP(A494,A493:A1092,[1]Sheet3!K101:K700)</f>
        <v>Central</v>
      </c>
      <c r="I494" t="str">
        <f>_xlfn.XLOOKUP(A494,A493:A1092,[1]Sheet3!L101:L700)</f>
        <v>Raipur</v>
      </c>
      <c r="J494" t="str">
        <f>_xlfn.XLOOKUP(A494,A493:A1092,[1]Sheet3!M101:M700)</f>
        <v>Clothing</v>
      </c>
      <c r="K494" t="str">
        <f>_xlfn.XLOOKUP('Retail Sales'!A102,'Retail Sales'!A101:A700,[1]Sheet3!N101:N700)</f>
        <v>Saree</v>
      </c>
      <c r="L494" s="5">
        <f>_xlfn.XLOOKUP(A494,A493:A1092,[1]Sheet3!P101:P700)</f>
        <v>6</v>
      </c>
      <c r="M494" s="7">
        <f>_xlfn.XLOOKUP(A494,A493:A1092,[1]Sheet3!Q101:Q700)</f>
        <v>3871.22</v>
      </c>
      <c r="N494" s="9">
        <f>_xlfn.XLOOKUP(A494,A493:A1092,[1]Sheet3!S101:S700)</f>
        <v>0.33</v>
      </c>
      <c r="O494" s="7">
        <f>_xlfn.XLOOKUP(A494,A493:A1092,[1]Sheet3!T101:T700)</f>
        <v>16031.48</v>
      </c>
      <c r="P494" s="7">
        <f>_xlfn.XLOOKUP(A494,A493:A1092,[1]Sheet3!U101:U700)</f>
        <v>5072.13</v>
      </c>
      <c r="Q494" s="11">
        <f>_xlfn.XLOOKUP(A494,A493:A1092,[1]Sheet3!V101:V700)</f>
        <v>0.31638563626065719</v>
      </c>
      <c r="R494" s="7">
        <f>_xlfn.XLOOKUP(A494,A493:A1092,[1]Sheet3!W101:W700)</f>
        <v>43.12</v>
      </c>
      <c r="S494" t="str">
        <f>_xlfn.XLOOKUP(A494,A493:A1092,[1]Sheet3!X101:X700)</f>
        <v>Debit Card</v>
      </c>
      <c r="T494" s="5">
        <f>_xlfn.XLOOKUP(A494,A493:A1092,[1]Sheet3!Z101:Z700)</f>
        <v>4</v>
      </c>
      <c r="U494" t="b">
        <f>_xlfn.XLOOKUP(A494,A493:A1092,[1]Sheet3!AA101:AA700)</f>
        <v>0</v>
      </c>
      <c r="V494" t="str">
        <f>_xlfn.XLOOKUP(A494,A493:A1092,[1]Sheet3!AC101:AC700)</f>
        <v>Delivered</v>
      </c>
      <c r="W494" s="5">
        <f>_xlfn.XLOOKUP(A494,A493:A1092,[1]Sheet3!AE101:AE700)</f>
        <v>3</v>
      </c>
    </row>
    <row r="495" spans="1:23" x14ac:dyDescent="0.35">
      <c r="A495" t="s">
        <v>354</v>
      </c>
      <c r="B495" s="1">
        <f>_xlfn.XLOOKUP(A495,A494:A1093,[1]Sheet3!C245:C844)</f>
        <v>45310</v>
      </c>
      <c r="C495" t="str">
        <f>_xlfn.XLOOKUP(A495,A494:A1093,[1]Sheet3!D245:D844)</f>
        <v>CUST23737</v>
      </c>
      <c r="D495" t="str">
        <f>_xlfn.XLOOKUP(A495,A494:A1093,[1]Sheet3!E245:E844)</f>
        <v>Karan Kumar</v>
      </c>
      <c r="E495" s="5">
        <f>_xlfn.XLOOKUP(A495,A494:A1093,[1]Sheet3!G245:G844)</f>
        <v>42</v>
      </c>
      <c r="F495" t="str">
        <f>_xlfn.XLOOKUP('Retail Sales'!A246,'Retail Sales'!A245:A844,[1]Sheet3!H245:H844)</f>
        <v>Adult</v>
      </c>
      <c r="G495" t="str">
        <f>_xlfn.XLOOKUP(A495,A494:A1093,[1]Sheet3!J245:J844)</f>
        <v>Male</v>
      </c>
      <c r="H495" t="str">
        <f>_xlfn.XLOOKUP(A495,A494:A1093,[1]Sheet3!K245:K844)</f>
        <v>West</v>
      </c>
      <c r="I495" t="str">
        <f>_xlfn.XLOOKUP(A495,A494:A1093,[1]Sheet3!L245:L844)</f>
        <v>Surat</v>
      </c>
      <c r="J495" t="str">
        <f>_xlfn.XLOOKUP(A495,A494:A1093,[1]Sheet3!M245:M844)</f>
        <v>Electronics</v>
      </c>
      <c r="K495" t="str">
        <f>_xlfn.XLOOKUP('Retail Sales'!A246,'Retail Sales'!A245:A844,[1]Sheet3!N245:N844)</f>
        <v>Laptop</v>
      </c>
      <c r="L495" s="5">
        <f>_xlfn.XLOOKUP(A495,A494:A1093,[1]Sheet3!P245:P844)</f>
        <v>2</v>
      </c>
      <c r="M495" s="7">
        <f>_xlfn.XLOOKUP(A495,A494:A1093,[1]Sheet3!Q245:Q844)</f>
        <v>46140.78</v>
      </c>
      <c r="N495" s="9">
        <f>_xlfn.XLOOKUP(A495,A494:A1093,[1]Sheet3!S245:S844)</f>
        <v>0.19793402777777783</v>
      </c>
      <c r="O495" s="7">
        <f>_xlfn.XLOOKUP(A495,A494:A1093,[1]Sheet3!T245:T844)</f>
        <v>86042.12</v>
      </c>
      <c r="P495" s="7">
        <f>_xlfn.XLOOKUP(A495,A494:A1093,[1]Sheet3!U245:U844)</f>
        <v>11876.13</v>
      </c>
      <c r="Q495" s="11">
        <f>_xlfn.XLOOKUP(A495,A494:A1093,[1]Sheet3!V245:V844)</f>
        <v>0.13802693378545297</v>
      </c>
      <c r="R495" s="7">
        <f>_xlfn.XLOOKUP(A495,A494:A1093,[1]Sheet3!W245:W844)</f>
        <v>85.6</v>
      </c>
      <c r="S495" t="str">
        <f>_xlfn.XLOOKUP(A495,A494:A1093,[1]Sheet3!X245:X844)</f>
        <v>Debit Card</v>
      </c>
      <c r="T495" s="5">
        <f>_xlfn.XLOOKUP(A495,A494:A1093,[1]Sheet3!Z245:Z844)</f>
        <v>1</v>
      </c>
      <c r="U495" t="b">
        <f>_xlfn.XLOOKUP(A495,A494:A1093,[1]Sheet3!AA245:AA844)</f>
        <v>0</v>
      </c>
      <c r="V495" t="str">
        <f>_xlfn.XLOOKUP(A495,A494:A1093,[1]Sheet3!AC245:AC844)</f>
        <v>Delivered</v>
      </c>
      <c r="W495" s="5">
        <f>_xlfn.XLOOKUP(A495,A494:A1093,[1]Sheet3!AE245:AE844)</f>
        <v>6</v>
      </c>
    </row>
    <row r="496" spans="1:23" x14ac:dyDescent="0.35">
      <c r="A496" t="s">
        <v>585</v>
      </c>
      <c r="B496" s="1">
        <f>_xlfn.XLOOKUP(A496,A495:A1094,[1]Sheet3!C14:C613)</f>
        <v>45312</v>
      </c>
      <c r="C496" t="str">
        <f>_xlfn.XLOOKUP(A496,A495:A1094,[1]Sheet3!D14:D613)</f>
        <v>CUST83946</v>
      </c>
      <c r="D496" t="str">
        <f>_xlfn.XLOOKUP(A496,A495:A1094,[1]Sheet3!E14:E613)</f>
        <v>Karan Bose</v>
      </c>
      <c r="E496" s="5">
        <f>_xlfn.XLOOKUP(A496,A495:A1094,[1]Sheet3!G14:G613)</f>
        <v>29</v>
      </c>
      <c r="F496" t="str">
        <f>_xlfn.XLOOKUP('Retail Sales'!A15,'Retail Sales'!A14:A613,[1]Sheet3!H14:H613)</f>
        <v>Young Adult</v>
      </c>
      <c r="G496" t="str">
        <f>_xlfn.XLOOKUP(A496,A495:A1094,[1]Sheet3!J14:J613)</f>
        <v>Female</v>
      </c>
      <c r="H496" t="str">
        <f>_xlfn.XLOOKUP(A496,A495:A1094,[1]Sheet3!K14:K613)</f>
        <v>West</v>
      </c>
      <c r="I496" t="str">
        <f>_xlfn.XLOOKUP(A496,A495:A1094,[1]Sheet3!L14:L613)</f>
        <v>Pune</v>
      </c>
      <c r="J496" t="str">
        <f>_xlfn.XLOOKUP(A496,A495:A1094,[1]Sheet3!M14:M613)</f>
        <v>Books</v>
      </c>
      <c r="K496" t="str">
        <f>_xlfn.XLOOKUP('Retail Sales'!A15,'Retail Sales'!A14:A613,[1]Sheet3!N14:N613)</f>
        <v>Cook Book</v>
      </c>
      <c r="L496" s="5">
        <f>_xlfn.XLOOKUP(A496,A495:A1094,[1]Sheet3!P14:P613)</f>
        <v>10</v>
      </c>
      <c r="M496" s="7">
        <f>_xlfn.XLOOKUP(A496,A495:A1094,[1]Sheet3!Q14:Q613)</f>
        <v>1492.28</v>
      </c>
      <c r="N496" s="9">
        <f>_xlfn.XLOOKUP(A496,A495:A1094,[1]Sheet3!S14:S613)</f>
        <v>0.38</v>
      </c>
      <c r="O496" s="7">
        <f>_xlfn.XLOOKUP(A496,A495:A1094,[1]Sheet3!T14:T613)</f>
        <v>9315.19</v>
      </c>
      <c r="P496" s="7">
        <f>_xlfn.XLOOKUP(A496,A495:A1094,[1]Sheet3!U14:U613)</f>
        <v>4336.3100000000004</v>
      </c>
      <c r="Q496" s="11">
        <f>_xlfn.XLOOKUP(A496,A495:A1094,[1]Sheet3!V14:V613)</f>
        <v>0.46550956019147222</v>
      </c>
      <c r="R496" s="7">
        <f>_xlfn.XLOOKUP(A496,A495:A1094,[1]Sheet3!W14:W613)</f>
        <v>66.67</v>
      </c>
      <c r="S496" t="str">
        <f>_xlfn.XLOOKUP(A496,A495:A1094,[1]Sheet3!X14:X613)</f>
        <v>Debit Card</v>
      </c>
      <c r="T496" s="5">
        <f>_xlfn.XLOOKUP(A496,A495:A1094,[1]Sheet3!Z14:Z613)</f>
        <v>3</v>
      </c>
      <c r="U496" t="b">
        <f>_xlfn.XLOOKUP(A496,A495:A1094,[1]Sheet3!AA14:AA613)</f>
        <v>1</v>
      </c>
      <c r="V496" t="str">
        <f>_xlfn.XLOOKUP(A496,A495:A1094,[1]Sheet3!AC14:AC613)</f>
        <v>Returned</v>
      </c>
      <c r="W496" s="5">
        <f>_xlfn.XLOOKUP(A496,A495:A1094,[1]Sheet3!AE14:AE613)</f>
        <v>5</v>
      </c>
    </row>
    <row r="497" spans="1:23" x14ac:dyDescent="0.35">
      <c r="A497" t="s">
        <v>118</v>
      </c>
      <c r="B497" s="1">
        <f>_xlfn.XLOOKUP(A497,A496:A1095,[1]Sheet3!C481:C1080)</f>
        <v>45313</v>
      </c>
      <c r="C497" t="str">
        <f>_xlfn.XLOOKUP(A497,A496:A1095,[1]Sheet3!D481:D1080)</f>
        <v>CUST83939</v>
      </c>
      <c r="D497" t="str">
        <f>_xlfn.XLOOKUP(A497,A496:A1095,[1]Sheet3!E481:E1080)</f>
        <v>Priya Bose</v>
      </c>
      <c r="E497" s="5">
        <f>_xlfn.XLOOKUP(A497,A496:A1095,[1]Sheet3!G481:G1080)</f>
        <v>49</v>
      </c>
      <c r="F497" t="str">
        <f>_xlfn.XLOOKUP('Retail Sales'!A482,'Retail Sales'!A481:A1080,[1]Sheet3!H481:H1080)</f>
        <v>Adult</v>
      </c>
      <c r="G497" t="str">
        <f>_xlfn.XLOOKUP(A497,A496:A1095,[1]Sheet3!J481:J1080)</f>
        <v>Male</v>
      </c>
      <c r="H497" t="str">
        <f>_xlfn.XLOOKUP(A497,A496:A1095,[1]Sheet3!K481:K1080)</f>
        <v>Central</v>
      </c>
      <c r="I497" t="str">
        <f>_xlfn.XLOOKUP(A497,A496:A1095,[1]Sheet3!L481:L1080)</f>
        <v>Indore</v>
      </c>
      <c r="J497" t="str">
        <f>_xlfn.XLOOKUP(A497,A496:A1095,[1]Sheet3!M481:M1080)</f>
        <v>Sports</v>
      </c>
      <c r="K497" t="str">
        <f>_xlfn.XLOOKUP('Retail Sales'!A482,'Retail Sales'!A481:A1080,[1]Sheet3!N481:N1080)</f>
        <v>Tennis Racket</v>
      </c>
      <c r="L497" s="5">
        <f>_xlfn.XLOOKUP(A497,A496:A1095,[1]Sheet3!P481:P1080)</f>
        <v>2</v>
      </c>
      <c r="M497" s="7">
        <f>_xlfn.XLOOKUP(A497,A496:A1095,[1]Sheet3!Q481:Q1080)</f>
        <v>11637.71</v>
      </c>
      <c r="N497" s="9">
        <f>_xlfn.XLOOKUP(A497,A496:A1095,[1]Sheet3!S481:S1080)</f>
        <v>0.03</v>
      </c>
      <c r="O497" s="7">
        <f>_xlfn.XLOOKUP(A497,A496:A1095,[1]Sheet3!T481:T1080)</f>
        <v>20228.5</v>
      </c>
      <c r="P497" s="7">
        <f>_xlfn.XLOOKUP(A497,A496:A1095,[1]Sheet3!U481:U1080)</f>
        <v>3894.99</v>
      </c>
      <c r="Q497" s="11">
        <f>_xlfn.XLOOKUP(A497,A496:A1095,[1]Sheet3!V481:V1080)</f>
        <v>0.19254962058481845</v>
      </c>
      <c r="R497" s="7">
        <f>_xlfn.XLOOKUP(A497,A496:A1095,[1]Sheet3!W481:W1080)</f>
        <v>49.76</v>
      </c>
      <c r="S497" t="str">
        <f>_xlfn.XLOOKUP(A497,A496:A1095,[1]Sheet3!X481:X1080)</f>
        <v>EMI</v>
      </c>
      <c r="T497" s="5">
        <f>_xlfn.XLOOKUP(A497,A496:A1095,[1]Sheet3!Z481:Z1080)</f>
        <v>4</v>
      </c>
      <c r="U497" t="b">
        <f>_xlfn.XLOOKUP(A497,A496:A1095,[1]Sheet3!AA481:AA1080)</f>
        <v>1</v>
      </c>
      <c r="V497" t="str">
        <f>_xlfn.XLOOKUP(A497,A496:A1095,[1]Sheet3!AC481:AC1080)</f>
        <v>Returned</v>
      </c>
      <c r="W497" s="5">
        <f>_xlfn.XLOOKUP(A497,A496:A1095,[1]Sheet3!AE481:AE1080)</f>
        <v>6</v>
      </c>
    </row>
    <row r="498" spans="1:23" x14ac:dyDescent="0.35">
      <c r="A498" t="s">
        <v>565</v>
      </c>
      <c r="B498" s="1">
        <f>_xlfn.XLOOKUP(A498,A497:A1096,[1]Sheet3!C34:C633)</f>
        <v>45314</v>
      </c>
      <c r="C498" t="str">
        <f>_xlfn.XLOOKUP(A498,A497:A1096,[1]Sheet3!D34:D633)</f>
        <v>CUST58923</v>
      </c>
      <c r="D498" t="str">
        <f>_xlfn.XLOOKUP(A498,A497:A1096,[1]Sheet3!E34:E633)</f>
        <v>Deepa Pillai</v>
      </c>
      <c r="E498" s="5">
        <f>_xlfn.XLOOKUP(A498,A497:A1096,[1]Sheet3!G34:G633)</f>
        <v>20</v>
      </c>
      <c r="F498" t="str">
        <f>_xlfn.XLOOKUP('Retail Sales'!A35,'Retail Sales'!A34:A633,[1]Sheet3!H34:H633)</f>
        <v>Young Adult</v>
      </c>
      <c r="G498" t="str">
        <f>_xlfn.XLOOKUP(A498,A497:A1096,[1]Sheet3!J34:J633)</f>
        <v>Male</v>
      </c>
      <c r="H498" t="str">
        <f>_xlfn.XLOOKUP(A498,A497:A1096,[1]Sheet3!K34:K633)</f>
        <v>East</v>
      </c>
      <c r="I498" t="str">
        <f>_xlfn.XLOOKUP(A498,A497:A1096,[1]Sheet3!L34:L633)</f>
        <v>Guwahati</v>
      </c>
      <c r="J498" t="str">
        <f>_xlfn.XLOOKUP(A498,A497:A1096,[1]Sheet3!M34:M633)</f>
        <v>Electronics</v>
      </c>
      <c r="K498" t="str">
        <f>_xlfn.XLOOKUP('Retail Sales'!A35,'Retail Sales'!A34:A633,[1]Sheet3!N34:N633)</f>
        <v>Headphones</v>
      </c>
      <c r="L498" s="5">
        <f>_xlfn.XLOOKUP(A498,A497:A1096,[1]Sheet3!P34:P633)</f>
        <v>3</v>
      </c>
      <c r="M498" s="7">
        <f>_xlfn.XLOOKUP(A498,A497:A1096,[1]Sheet3!Q34:Q633)</f>
        <v>64874.09</v>
      </c>
      <c r="N498" s="9">
        <f>_xlfn.XLOOKUP(A498,A497:A1096,[1]Sheet3!S34:S633)</f>
        <v>0.02</v>
      </c>
      <c r="O498" s="7">
        <f>_xlfn.XLOOKUP(A498,A497:A1096,[1]Sheet3!T34:T633)</f>
        <v>177754.39</v>
      </c>
      <c r="P498" s="7">
        <f>_xlfn.XLOOKUP(A498,A497:A1096,[1]Sheet3!U34:U633)</f>
        <v>20320.939999999999</v>
      </c>
      <c r="Q498" s="11">
        <f>_xlfn.XLOOKUP(A498,A497:A1096,[1]Sheet3!V34:V633)</f>
        <v>0.11432032705352592</v>
      </c>
      <c r="R498" s="7">
        <f>_xlfn.XLOOKUP(A498,A497:A1096,[1]Sheet3!W34:W633)</f>
        <v>79.56</v>
      </c>
      <c r="S498" t="str">
        <f>_xlfn.XLOOKUP(A498,A497:A1096,[1]Sheet3!X34:X633)</f>
        <v>UPI</v>
      </c>
      <c r="T498" s="5">
        <f>_xlfn.XLOOKUP(A498,A497:A1096,[1]Sheet3!Z34:Z633)</f>
        <v>1</v>
      </c>
      <c r="U498" t="b">
        <f>_xlfn.XLOOKUP(A498,A497:A1096,[1]Sheet3!AA34:AA633)</f>
        <v>0</v>
      </c>
      <c r="V498" t="str">
        <f>_xlfn.XLOOKUP(A498,A497:A1096,[1]Sheet3!AC34:AC633)</f>
        <v>Delivered</v>
      </c>
      <c r="W498" s="5">
        <f>_xlfn.XLOOKUP(A498,A497:A1096,[1]Sheet3!AE34:AE633)</f>
        <v>7</v>
      </c>
    </row>
    <row r="499" spans="1:23" x14ac:dyDescent="0.35">
      <c r="A499" t="s">
        <v>110</v>
      </c>
      <c r="B499" s="1">
        <f>_xlfn.XLOOKUP(A499,A498:A1097,[1]Sheet3!C489:C1088)</f>
        <v>45320</v>
      </c>
      <c r="C499" t="str">
        <f>_xlfn.XLOOKUP(A499,A498:A1097,[1]Sheet3!D489:D1088)</f>
        <v>CUST36372</v>
      </c>
      <c r="D499" t="str">
        <f>_xlfn.XLOOKUP(A499,A498:A1097,[1]Sheet3!E489:E1088)</f>
        <v>Vikram Gupta</v>
      </c>
      <c r="E499" s="5">
        <f>_xlfn.XLOOKUP(A499,A498:A1097,[1]Sheet3!G489:G1088)</f>
        <v>26</v>
      </c>
      <c r="F499" t="str">
        <f>_xlfn.XLOOKUP('Retail Sales'!A490,'Retail Sales'!A489:A1088,[1]Sheet3!H489:H1088)</f>
        <v>Young Adult</v>
      </c>
      <c r="G499" t="str">
        <f>_xlfn.XLOOKUP(A499,A498:A1097,[1]Sheet3!J489:J1088)</f>
        <v>Other</v>
      </c>
      <c r="H499" t="str">
        <f>_xlfn.XLOOKUP(A499,A498:A1097,[1]Sheet3!K489:K1088)</f>
        <v>North</v>
      </c>
      <c r="I499" t="str">
        <f>_xlfn.XLOOKUP(A499,A498:A1097,[1]Sheet3!L489:L1088)</f>
        <v>Amritsar</v>
      </c>
      <c r="J499" t="str">
        <f>_xlfn.XLOOKUP(A499,A498:A1097,[1]Sheet3!M489:M1088)</f>
        <v>Beauty</v>
      </c>
      <c r="K499" t="str">
        <f>_xlfn.XLOOKUP('Retail Sales'!A490,'Retail Sales'!A489:A1088,[1]Sheet3!N489:N1088)</f>
        <v>Sunscreen</v>
      </c>
      <c r="L499" s="5">
        <f>_xlfn.XLOOKUP(A499,A498:A1097,[1]Sheet3!P489:P1088)</f>
        <v>4</v>
      </c>
      <c r="M499" s="7">
        <f>_xlfn.XLOOKUP(A499,A498:A1097,[1]Sheet3!Q489:Q1088)</f>
        <v>1120.04</v>
      </c>
      <c r="N499" s="9">
        <f>_xlfn.XLOOKUP(A499,A498:A1097,[1]Sheet3!S489:S1088)</f>
        <v>0</v>
      </c>
      <c r="O499" s="7">
        <f>_xlfn.XLOOKUP(A499,A498:A1097,[1]Sheet3!T489:T1088)</f>
        <v>4784.7</v>
      </c>
      <c r="P499" s="7">
        <f>_xlfn.XLOOKUP(A499,A498:A1097,[1]Sheet3!U489:U1088)</f>
        <v>1051.2</v>
      </c>
      <c r="Q499" s="11">
        <f>_xlfn.XLOOKUP(A499,A498:A1097,[1]Sheet3!V489:V1088)</f>
        <v>0.21970029468932223</v>
      </c>
      <c r="R499" s="7">
        <f>_xlfn.XLOOKUP(A499,A498:A1097,[1]Sheet3!W489:W1088)</f>
        <v>70.2</v>
      </c>
      <c r="S499" t="str">
        <f>_xlfn.XLOOKUP(A499,A498:A1097,[1]Sheet3!X489:X1088)</f>
        <v>Credit Card</v>
      </c>
      <c r="T499" s="5">
        <f>_xlfn.XLOOKUP(A499,A498:A1097,[1]Sheet3!Z489:Z1088)</f>
        <v>5</v>
      </c>
      <c r="U499" t="b">
        <f>_xlfn.XLOOKUP(A499,A498:A1097,[1]Sheet3!AA489:AA1088)</f>
        <v>0</v>
      </c>
      <c r="V499" t="str">
        <f>_xlfn.XLOOKUP(A499,A498:A1097,[1]Sheet3!AC489:AC1088)</f>
        <v>Delivered</v>
      </c>
      <c r="W499" s="5">
        <f>_xlfn.XLOOKUP(A499,A498:A1097,[1]Sheet3!AE489:AE1088)</f>
        <v>6</v>
      </c>
    </row>
    <row r="500" spans="1:23" x14ac:dyDescent="0.35">
      <c r="A500" t="s">
        <v>35</v>
      </c>
      <c r="B500" s="1">
        <f>_xlfn.XLOOKUP(A500,A499:A1098,[1]Sheet3!C564:C1163)</f>
        <v>45323</v>
      </c>
      <c r="C500" t="str">
        <f>_xlfn.XLOOKUP(A500,A499:A1098,[1]Sheet3!D564:D1163)</f>
        <v>CUST60633</v>
      </c>
      <c r="D500" t="str">
        <f>_xlfn.XLOOKUP(A500,A499:A1098,[1]Sheet3!E564:E1163)</f>
        <v>Priya Mehta</v>
      </c>
      <c r="E500" s="5">
        <f>_xlfn.XLOOKUP(A500,A499:A1098,[1]Sheet3!G564:G1163)</f>
        <v>28</v>
      </c>
      <c r="F500" t="str">
        <f>_xlfn.XLOOKUP('Retail Sales'!A565,'Retail Sales'!A564:A1163,[1]Sheet3!H564:H1163)</f>
        <v>Young Adult</v>
      </c>
      <c r="G500" t="str">
        <f>_xlfn.XLOOKUP(A500,A499:A1098,[1]Sheet3!J564:J1163)</f>
        <v>Male</v>
      </c>
      <c r="H500" t="str">
        <f>_xlfn.XLOOKUP(A500,A499:A1098,[1]Sheet3!K564:K1163)</f>
        <v>East</v>
      </c>
      <c r="I500" t="str">
        <f>_xlfn.XLOOKUP(A500,A499:A1098,[1]Sheet3!L564:L1163)</f>
        <v>Kolkata</v>
      </c>
      <c r="J500" t="str">
        <f>_xlfn.XLOOKUP(A500,A499:A1098,[1]Sheet3!M564:M1163)</f>
        <v>Clothing</v>
      </c>
      <c r="K500" t="str">
        <f>_xlfn.XLOOKUP('Retail Sales'!A565,'Retail Sales'!A564:A1163,[1]Sheet3!N564:N1163)</f>
        <v>Dress</v>
      </c>
      <c r="L500" s="5">
        <f>_xlfn.XLOOKUP(A500,A499:A1098,[1]Sheet3!P564:P1163)</f>
        <v>6</v>
      </c>
      <c r="M500" s="7">
        <f>_xlfn.XLOOKUP(A500,A499:A1098,[1]Sheet3!Q564:Q1163)</f>
        <v>604.17999999999995</v>
      </c>
      <c r="N500" s="9">
        <f>_xlfn.XLOOKUP(A500,A499:A1098,[1]Sheet3!S564:S1163)</f>
        <v>0.2</v>
      </c>
      <c r="O500" s="7">
        <f>_xlfn.XLOOKUP(A500,A499:A1098,[1]Sheet3!T564:T1163)</f>
        <v>2790.47</v>
      </c>
      <c r="P500" s="7">
        <f>_xlfn.XLOOKUP(A500,A499:A1098,[1]Sheet3!U564:U1163)</f>
        <v>661.77</v>
      </c>
      <c r="Q500" s="11">
        <f>_xlfn.XLOOKUP(A500,A499:A1098,[1]Sheet3!V564:V1163)</f>
        <v>0.23715359778101897</v>
      </c>
      <c r="R500" s="7">
        <f>_xlfn.XLOOKUP(A500,A499:A1098,[1]Sheet3!W564:W1163)</f>
        <v>84.73</v>
      </c>
      <c r="S500" t="str">
        <f>_xlfn.XLOOKUP(A500,A499:A1098,[1]Sheet3!X564:X1163)</f>
        <v>Debit Card</v>
      </c>
      <c r="T500" s="5">
        <f>_xlfn.XLOOKUP(A500,A499:A1098,[1]Sheet3!Z564:Z1163)</f>
        <v>5</v>
      </c>
      <c r="U500" t="b">
        <f>_xlfn.XLOOKUP(A500,A499:A1098,[1]Sheet3!AA564:AA1163)</f>
        <v>0</v>
      </c>
      <c r="V500" t="str">
        <f>_xlfn.XLOOKUP(A500,A499:A1098,[1]Sheet3!AC564:AC1163)</f>
        <v>Delivered</v>
      </c>
      <c r="W500" s="5">
        <f>_xlfn.XLOOKUP(A500,A499:A1098,[1]Sheet3!AE564:AE1163)</f>
        <v>2</v>
      </c>
    </row>
    <row r="501" spans="1:23" x14ac:dyDescent="0.35">
      <c r="A501" t="s">
        <v>51</v>
      </c>
      <c r="B501" s="1">
        <f>_xlfn.XLOOKUP(A501,A500:A1099,[1]Sheet3!C548:C1147)</f>
        <v>45323</v>
      </c>
      <c r="C501" t="str">
        <f>_xlfn.XLOOKUP(A501,A500:A1099,[1]Sheet3!D548:D1147)</f>
        <v>CUST02308</v>
      </c>
      <c r="D501" t="str">
        <f>_xlfn.XLOOKUP(A501,A500:A1099,[1]Sheet3!E548:E1147)</f>
        <v>Rahul Sharma</v>
      </c>
      <c r="E501" s="5">
        <f>_xlfn.XLOOKUP(A501,A500:A1099,[1]Sheet3!G548:G1147)</f>
        <v>21</v>
      </c>
      <c r="F501" t="str">
        <f>_xlfn.XLOOKUP('Retail Sales'!A549,'Retail Sales'!A548:A1147,[1]Sheet3!H548:H1147)</f>
        <v>Young Adult</v>
      </c>
      <c r="G501" t="str">
        <f>_xlfn.XLOOKUP(A501,A500:A1099,[1]Sheet3!J548:J1147)</f>
        <v>Female</v>
      </c>
      <c r="H501" t="str">
        <f>_xlfn.XLOOKUP(A501,A500:A1099,[1]Sheet3!K548:K1147)</f>
        <v>South</v>
      </c>
      <c r="I501" t="str">
        <f>_xlfn.XLOOKUP(A501,A500:A1099,[1]Sheet3!L548:L1147)</f>
        <v>Hyderabad</v>
      </c>
      <c r="J501" t="str">
        <f>_xlfn.XLOOKUP(A501,A500:A1099,[1]Sheet3!M548:M1147)</f>
        <v>Electronics</v>
      </c>
      <c r="K501" t="str">
        <f>_xlfn.XLOOKUP('Retail Sales'!A549,'Retail Sales'!A548:A1147,[1]Sheet3!N548:N1147)</f>
        <v>Smartwatch</v>
      </c>
      <c r="L501" s="5">
        <f>_xlfn.XLOOKUP(A501,A500:A1099,[1]Sheet3!P548:P1147)</f>
        <v>6</v>
      </c>
      <c r="M501" s="7">
        <f>_xlfn.XLOOKUP(A501,A500:A1099,[1]Sheet3!Q548:Q1147)</f>
        <v>71178.539999999994</v>
      </c>
      <c r="N501" s="9">
        <f>_xlfn.XLOOKUP(A501,A500:A1099,[1]Sheet3!S548:S1147)</f>
        <v>0.11</v>
      </c>
      <c r="O501" s="7">
        <f>_xlfn.XLOOKUP(A501,A500:A1099,[1]Sheet3!T548:T1147)</f>
        <v>482509.98</v>
      </c>
      <c r="P501" s="7">
        <f>_xlfn.XLOOKUP(A501,A500:A1099,[1]Sheet3!U548:U1147)</f>
        <v>50570.5</v>
      </c>
      <c r="Q501" s="11">
        <f>_xlfn.XLOOKUP(A501,A500:A1099,[1]Sheet3!V548:V1147)</f>
        <v>0.10480715860011849</v>
      </c>
      <c r="R501" s="7">
        <f>_xlfn.XLOOKUP(A501,A500:A1099,[1]Sheet3!W548:W1147)</f>
        <v>74.900000000000006</v>
      </c>
      <c r="S501" t="str">
        <f>_xlfn.XLOOKUP(A501,A500:A1099,[1]Sheet3!X548:X1147)</f>
        <v>UPI</v>
      </c>
      <c r="T501" s="5">
        <f>_xlfn.XLOOKUP(A501,A500:A1099,[1]Sheet3!Z548:Z1147)</f>
        <v>3</v>
      </c>
      <c r="U501" t="b">
        <f>_xlfn.XLOOKUP(A501,A500:A1099,[1]Sheet3!AA548:AA1147)</f>
        <v>0</v>
      </c>
      <c r="V501" t="str">
        <f>_xlfn.XLOOKUP(A501,A500:A1099,[1]Sheet3!AC548:AC1147)</f>
        <v>Delivered</v>
      </c>
      <c r="W501" s="5">
        <f>_xlfn.XLOOKUP(A501,A500:A1099,[1]Sheet3!AE548:AE1147)</f>
        <v>2</v>
      </c>
    </row>
    <row r="502" spans="1:23" x14ac:dyDescent="0.35">
      <c r="A502" t="s">
        <v>411</v>
      </c>
      <c r="B502" s="1">
        <f>_xlfn.XLOOKUP(A502,A501:A1100,[1]Sheet3!C188:C787)</f>
        <v>45327</v>
      </c>
      <c r="C502" t="str">
        <f>_xlfn.XLOOKUP(A502,A501:A1100,[1]Sheet3!D188:D787)</f>
        <v>CUST47815</v>
      </c>
      <c r="D502" t="str">
        <f>_xlfn.XLOOKUP(A502,A501:A1100,[1]Sheet3!E188:E787)</f>
        <v>Aditya Shah</v>
      </c>
      <c r="E502" s="5">
        <f>_xlfn.XLOOKUP(A502,A501:A1100,[1]Sheet3!G188:G787)</f>
        <v>34.294220665499125</v>
      </c>
      <c r="F502" t="str">
        <f>_xlfn.XLOOKUP('Retail Sales'!A189,'Retail Sales'!A188:A787,[1]Sheet3!H188:H787)</f>
        <v>Young Adult</v>
      </c>
      <c r="G502" t="str">
        <f>_xlfn.XLOOKUP(A502,A501:A1100,[1]Sheet3!J188:J787)</f>
        <v>Female</v>
      </c>
      <c r="H502" t="str">
        <f>_xlfn.XLOOKUP(A502,A501:A1100,[1]Sheet3!K188:K787)</f>
        <v>North</v>
      </c>
      <c r="I502" t="str">
        <f>_xlfn.XLOOKUP(A502,A501:A1100,[1]Sheet3!L188:L787)</f>
        <v>Delhi</v>
      </c>
      <c r="J502" t="str">
        <f>_xlfn.XLOOKUP(A502,A501:A1100,[1]Sheet3!M188:M787)</f>
        <v>Sports</v>
      </c>
      <c r="K502" t="str">
        <f>_xlfn.XLOOKUP('Retail Sales'!A189,'Retail Sales'!A188:A787,[1]Sheet3!N188:N787)</f>
        <v>Tennis Racket</v>
      </c>
      <c r="L502" s="5">
        <f>_xlfn.XLOOKUP(A502,A501:A1100,[1]Sheet3!P188:P787)</f>
        <v>2</v>
      </c>
      <c r="M502" s="7">
        <f>_xlfn.XLOOKUP(A502,A501:A1100,[1]Sheet3!Q188:Q787)</f>
        <v>9159.84</v>
      </c>
      <c r="N502" s="9">
        <f>_xlfn.XLOOKUP(A502,A501:A1100,[1]Sheet3!S188:S787)</f>
        <v>0.21</v>
      </c>
      <c r="O502" s="7">
        <f>_xlfn.XLOOKUP(A502,A501:A1100,[1]Sheet3!T188:T787)</f>
        <v>17159.150000000001</v>
      </c>
      <c r="P502" s="7">
        <f>_xlfn.XLOOKUP(A502,A501:A1100,[1]Sheet3!U188:U787)</f>
        <v>4525.93</v>
      </c>
      <c r="Q502" s="11">
        <f>_xlfn.XLOOKUP(A502,A501:A1100,[1]Sheet3!V188:V787)</f>
        <v>0.26376189962789531</v>
      </c>
      <c r="R502" s="7">
        <f>_xlfn.XLOOKUP(A502,A501:A1100,[1]Sheet3!W188:W787)</f>
        <v>58.04</v>
      </c>
      <c r="S502" t="str">
        <f>_xlfn.XLOOKUP(A502,A501:A1100,[1]Sheet3!X188:X787)</f>
        <v>EMI</v>
      </c>
      <c r="T502" s="5">
        <f>_xlfn.XLOOKUP(A502,A501:A1100,[1]Sheet3!Z188:Z787)</f>
        <v>4</v>
      </c>
      <c r="U502" t="b">
        <f>_xlfn.XLOOKUP(A502,A501:A1100,[1]Sheet3!AA188:AA787)</f>
        <v>0</v>
      </c>
      <c r="V502" t="str">
        <f>_xlfn.XLOOKUP(A502,A501:A1100,[1]Sheet3!AC188:AC787)</f>
        <v>Delivered</v>
      </c>
      <c r="W502" s="5">
        <f>_xlfn.XLOOKUP(A502,A501:A1100,[1]Sheet3!AE188:AE787)</f>
        <v>4</v>
      </c>
    </row>
    <row r="503" spans="1:23" x14ac:dyDescent="0.35">
      <c r="A503" t="s">
        <v>437</v>
      </c>
      <c r="B503" s="1">
        <f>_xlfn.XLOOKUP(A503,A502:A1101,[1]Sheet3!C162:C761)</f>
        <v>45330</v>
      </c>
      <c r="C503" t="str">
        <f>_xlfn.XLOOKUP(A503,A502:A1101,[1]Sheet3!D162:D761)</f>
        <v>CUST58295</v>
      </c>
      <c r="D503" t="str">
        <f>_xlfn.XLOOKUP(A503,A502:A1101,[1]Sheet3!E162:E761)</f>
        <v>Sunita Iyer</v>
      </c>
      <c r="E503" s="5">
        <f>_xlfn.XLOOKUP(A503,A502:A1101,[1]Sheet3!G162:G761)</f>
        <v>38</v>
      </c>
      <c r="F503" t="str">
        <f>_xlfn.XLOOKUP('Retail Sales'!A163,'Retail Sales'!A162:A761,[1]Sheet3!H162:H761)</f>
        <v>Adult</v>
      </c>
      <c r="G503" t="str">
        <f>_xlfn.XLOOKUP(A503,A502:A1101,[1]Sheet3!J162:J761)</f>
        <v>Male</v>
      </c>
      <c r="H503" t="str">
        <f>_xlfn.XLOOKUP(A503,A502:A1101,[1]Sheet3!K162:K761)</f>
        <v>East</v>
      </c>
      <c r="I503" t="str">
        <f>_xlfn.XLOOKUP(A503,A502:A1101,[1]Sheet3!L162:L761)</f>
        <v>Kolkata</v>
      </c>
      <c r="J503" t="str">
        <f>_xlfn.XLOOKUP(A503,A502:A1101,[1]Sheet3!M162:M761)</f>
        <v>Electronics</v>
      </c>
      <c r="K503" t="str">
        <f>_xlfn.XLOOKUP('Retail Sales'!A163,'Retail Sales'!A162:A761,[1]Sheet3!N162:N761)</f>
        <v>Smartwatch</v>
      </c>
      <c r="L503" s="5">
        <f>_xlfn.XLOOKUP(A503,A502:A1101,[1]Sheet3!P162:P761)</f>
        <v>4</v>
      </c>
      <c r="M503" s="7">
        <f>_xlfn.XLOOKUP(A503,A502:A1101,[1]Sheet3!Q162:Q761)</f>
        <v>15346.11</v>
      </c>
      <c r="N503" s="9">
        <f>_xlfn.XLOOKUP(A503,A502:A1101,[1]Sheet3!S162:S761)</f>
        <v>0.06</v>
      </c>
      <c r="O503" s="7">
        <f>_xlfn.XLOOKUP(A503,A502:A1101,[1]Sheet3!T162:T761)</f>
        <v>67060.7</v>
      </c>
      <c r="P503" s="7">
        <f>_xlfn.XLOOKUP(A503,A502:A1101,[1]Sheet3!U162:U761)</f>
        <v>9998.89</v>
      </c>
      <c r="Q503" s="11">
        <f>_xlfn.XLOOKUP(A503,A502:A1101,[1]Sheet3!V162:V761)</f>
        <v>0.14910208214349088</v>
      </c>
      <c r="R503" s="7">
        <f>_xlfn.XLOOKUP(A503,A502:A1101,[1]Sheet3!W162:W761)</f>
        <v>93.55</v>
      </c>
      <c r="S503" t="str">
        <f>_xlfn.XLOOKUP(A503,A502:A1101,[1]Sheet3!X162:X761)</f>
        <v>Cash on Delivery</v>
      </c>
      <c r="T503" s="5">
        <f>_xlfn.XLOOKUP(A503,A502:A1101,[1]Sheet3!Z162:Z761)</f>
        <v>2</v>
      </c>
      <c r="U503" t="b">
        <f>_xlfn.XLOOKUP(A503,A502:A1101,[1]Sheet3!AA162:AA761)</f>
        <v>0</v>
      </c>
      <c r="V503" t="str">
        <f>_xlfn.XLOOKUP(A503,A502:A1101,[1]Sheet3!AC162:AC761)</f>
        <v>Delivered</v>
      </c>
      <c r="W503" s="5">
        <f>_xlfn.XLOOKUP(A503,A502:A1101,[1]Sheet3!AE162:AE761)</f>
        <v>6</v>
      </c>
    </row>
    <row r="504" spans="1:23" x14ac:dyDescent="0.35">
      <c r="A504" t="s">
        <v>44</v>
      </c>
      <c r="B504" s="1">
        <f>_xlfn.XLOOKUP(A504,A503:A1102,[1]Sheet3!C555:C1154)</f>
        <v>45342</v>
      </c>
      <c r="C504" t="str">
        <f>_xlfn.XLOOKUP(A504,A503:A1102,[1]Sheet3!D555:D1154)</f>
        <v>CUST86909</v>
      </c>
      <c r="D504" t="str">
        <f>_xlfn.XLOOKUP(A504,A503:A1102,[1]Sheet3!E555:E1154)</f>
        <v>Amit Reddy</v>
      </c>
      <c r="E504" s="5">
        <f>_xlfn.XLOOKUP(A504,A503:A1102,[1]Sheet3!G555:G1154)</f>
        <v>44</v>
      </c>
      <c r="F504" t="str">
        <f>_xlfn.XLOOKUP('Retail Sales'!A556,'Retail Sales'!A555:A1154,[1]Sheet3!H555:H1154)</f>
        <v>Adult</v>
      </c>
      <c r="G504" t="str">
        <f>_xlfn.XLOOKUP(A504,A503:A1102,[1]Sheet3!J555:J1154)</f>
        <v>Female</v>
      </c>
      <c r="H504" t="str">
        <f>_xlfn.XLOOKUP(A504,A503:A1102,[1]Sheet3!K555:K1154)</f>
        <v>Central</v>
      </c>
      <c r="I504" t="str">
        <f>_xlfn.XLOOKUP(A504,A503:A1102,[1]Sheet3!L555:L1154)</f>
        <v>Nagpur</v>
      </c>
      <c r="J504" t="str">
        <f>_xlfn.XLOOKUP(A504,A503:A1102,[1]Sheet3!M555:M1154)</f>
        <v>Groceries</v>
      </c>
      <c r="K504" t="str">
        <f>_xlfn.XLOOKUP('Retail Sales'!A556,'Retail Sales'!A555:A1154,[1]Sheet3!N555:N1154)</f>
        <v>Rice (5kg)</v>
      </c>
      <c r="L504" s="5">
        <f>_xlfn.XLOOKUP(A504,A503:A1102,[1]Sheet3!P555:P1154)</f>
        <v>7</v>
      </c>
      <c r="M504" s="7">
        <f>_xlfn.XLOOKUP(A504,A503:A1102,[1]Sheet3!Q555:Q1154)</f>
        <v>447.52</v>
      </c>
      <c r="N504" s="9">
        <f>_xlfn.XLOOKUP(A504,A503:A1102,[1]Sheet3!S555:S1154)</f>
        <v>0.3</v>
      </c>
      <c r="O504" s="7">
        <f>_xlfn.XLOOKUP(A504,A503:A1102,[1]Sheet3!T555:T1154)</f>
        <v>2656.34</v>
      </c>
      <c r="P504" s="7">
        <f>_xlfn.XLOOKUP(A504,A503:A1102,[1]Sheet3!U555:U1154)</f>
        <v>182.91</v>
      </c>
      <c r="Q504" s="11">
        <f>_xlfn.XLOOKUP(A504,A503:A1102,[1]Sheet3!V555:V1154)</f>
        <v>6.8857902226371615E-2</v>
      </c>
      <c r="R504" s="7">
        <f>_xlfn.XLOOKUP(A504,A503:A1102,[1]Sheet3!W555:W1154)</f>
        <v>47.41</v>
      </c>
      <c r="S504" t="str">
        <f>_xlfn.XLOOKUP(A504,A503:A1102,[1]Sheet3!X555:X1154)</f>
        <v>Cash on Delivery</v>
      </c>
      <c r="T504" s="5">
        <f>_xlfn.XLOOKUP(A504,A503:A1102,[1]Sheet3!Z555:Z1154)</f>
        <v>3</v>
      </c>
      <c r="U504" t="b">
        <f>_xlfn.XLOOKUP(A504,A503:A1102,[1]Sheet3!AA555:AA1154)</f>
        <v>0</v>
      </c>
      <c r="V504" t="str">
        <f>_xlfn.XLOOKUP(A504,A503:A1102,[1]Sheet3!AC555:AC1154)</f>
        <v>Delivered</v>
      </c>
      <c r="W504" s="5">
        <f>_xlfn.XLOOKUP(A504,A503:A1102,[1]Sheet3!AE555:AE1154)</f>
        <v>5</v>
      </c>
    </row>
    <row r="505" spans="1:23" x14ac:dyDescent="0.35">
      <c r="A505" t="s">
        <v>148</v>
      </c>
      <c r="B505" s="1">
        <f>_xlfn.XLOOKUP(A505,A504:A1103,[1]Sheet3!C451:C1050)</f>
        <v>45343</v>
      </c>
      <c r="C505" t="str">
        <f>_xlfn.XLOOKUP(A505,A504:A1103,[1]Sheet3!D451:D1050)</f>
        <v>CUST39897</v>
      </c>
      <c r="D505" t="str">
        <f>_xlfn.XLOOKUP(A505,A504:A1103,[1]Sheet3!E451:E1050)</f>
        <v>Sunita Singh</v>
      </c>
      <c r="E505" s="5">
        <f>_xlfn.XLOOKUP(A505,A504:A1103,[1]Sheet3!G451:G1050)</f>
        <v>30</v>
      </c>
      <c r="F505" t="str">
        <f>_xlfn.XLOOKUP('Retail Sales'!A452,'Retail Sales'!A451:A1050,[1]Sheet3!H451:H1050)</f>
        <v>Young Adult</v>
      </c>
      <c r="G505" t="str">
        <f>_xlfn.XLOOKUP(A505,A504:A1103,[1]Sheet3!J451:J1050)</f>
        <v>Other</v>
      </c>
      <c r="H505" t="str">
        <f>_xlfn.XLOOKUP(A505,A504:A1103,[1]Sheet3!K451:K1050)</f>
        <v>South</v>
      </c>
      <c r="I505" t="str">
        <f>_xlfn.XLOOKUP(A505,A504:A1103,[1]Sheet3!L451:L1050)</f>
        <v>Chennai</v>
      </c>
      <c r="J505" t="str">
        <f>_xlfn.XLOOKUP(A505,A504:A1103,[1]Sheet3!M451:M1050)</f>
        <v>Electronics</v>
      </c>
      <c r="K505" t="str">
        <f>_xlfn.XLOOKUP('Retail Sales'!A452,'Retail Sales'!A451:A1050,[1]Sheet3!N451:N1050)</f>
        <v>Headphones</v>
      </c>
      <c r="L505" s="5">
        <f>_xlfn.XLOOKUP(A505,A504:A1103,[1]Sheet3!P451:P1050)</f>
        <v>3</v>
      </c>
      <c r="M505" s="7">
        <f>_xlfn.XLOOKUP(A505,A504:A1103,[1]Sheet3!Q451:Q1050)</f>
        <v>50121.13</v>
      </c>
      <c r="N505" s="9">
        <f>_xlfn.XLOOKUP(A505,A504:A1103,[1]Sheet3!S451:S1050)</f>
        <v>0.25</v>
      </c>
      <c r="O505" s="7">
        <f>_xlfn.XLOOKUP(A505,A504:A1103,[1]Sheet3!T451:T1050)</f>
        <v>130268.18</v>
      </c>
      <c r="P505" s="7">
        <f>_xlfn.XLOOKUP(A505,A504:A1103,[1]Sheet3!U451:U1050)</f>
        <v>18524</v>
      </c>
      <c r="Q505" s="11">
        <f>_xlfn.XLOOKUP(A505,A504:A1103,[1]Sheet3!V451:V1050)</f>
        <v>0.14219896217172912</v>
      </c>
      <c r="R505" s="7">
        <f>_xlfn.XLOOKUP(A505,A504:A1103,[1]Sheet3!W451:W1050)</f>
        <v>68.489999999999995</v>
      </c>
      <c r="S505" t="str">
        <f>_xlfn.XLOOKUP(A505,A504:A1103,[1]Sheet3!X451:X1050)</f>
        <v>Debit Card</v>
      </c>
      <c r="T505" s="5">
        <f>_xlfn.XLOOKUP(A505,A504:A1103,[1]Sheet3!Z451:Z1050)</f>
        <v>5</v>
      </c>
      <c r="U505" t="b">
        <f>_xlfn.XLOOKUP(A505,A504:A1103,[1]Sheet3!AA451:AA1050)</f>
        <v>0</v>
      </c>
      <c r="V505" t="str">
        <f>_xlfn.XLOOKUP(A505,A504:A1103,[1]Sheet3!AC451:AC1050)</f>
        <v>Cancelled</v>
      </c>
      <c r="W505" s="5">
        <f>_xlfn.XLOOKUP(A505,A504:A1103,[1]Sheet3!AE451:AE1050)</f>
        <v>4</v>
      </c>
    </row>
    <row r="506" spans="1:23" x14ac:dyDescent="0.35">
      <c r="A506" t="s">
        <v>248</v>
      </c>
      <c r="B506" s="1">
        <f>_xlfn.XLOOKUP(A506,A505:A1104,[1]Sheet3!C351:C950)</f>
        <v>45344</v>
      </c>
      <c r="C506" t="str">
        <f>_xlfn.XLOOKUP(A506,A505:A1104,[1]Sheet3!D351:D950)</f>
        <v>CUST61945</v>
      </c>
      <c r="D506" t="str">
        <f>_xlfn.XLOOKUP(A506,A505:A1104,[1]Sheet3!E351:E950)</f>
        <v>Vikram Joshi</v>
      </c>
      <c r="E506" s="5">
        <f>_xlfn.XLOOKUP(A506,A505:A1104,[1]Sheet3!G351:G950)</f>
        <v>25</v>
      </c>
      <c r="F506" t="str">
        <f>_xlfn.XLOOKUP('Retail Sales'!A352,'Retail Sales'!A351:A950,[1]Sheet3!H351:H950)</f>
        <v>Young Adult</v>
      </c>
      <c r="G506" t="str">
        <f>_xlfn.XLOOKUP(A506,A505:A1104,[1]Sheet3!J351:J950)</f>
        <v>Other</v>
      </c>
      <c r="H506" t="str">
        <f>_xlfn.XLOOKUP(A506,A505:A1104,[1]Sheet3!K351:K950)</f>
        <v>West</v>
      </c>
      <c r="I506" t="str">
        <f>_xlfn.XLOOKUP(A506,A505:A1104,[1]Sheet3!L351:L950)</f>
        <v>Ahmedabad</v>
      </c>
      <c r="J506" t="str">
        <f>_xlfn.XLOOKUP(A506,A505:A1104,[1]Sheet3!M351:M950)</f>
        <v>Clothing</v>
      </c>
      <c r="K506" t="str">
        <f>_xlfn.XLOOKUP('Retail Sales'!A352,'Retail Sales'!A351:A950,[1]Sheet3!N351:N950)</f>
        <v>T-Shirt</v>
      </c>
      <c r="L506" s="5">
        <f>_xlfn.XLOOKUP(A506,A505:A1104,[1]Sheet3!P351:P950)</f>
        <v>6</v>
      </c>
      <c r="M506" s="7">
        <f>_xlfn.XLOOKUP(A506,A505:A1104,[1]Sheet3!Q351:Q950)</f>
        <v>1277.6600000000001</v>
      </c>
      <c r="N506" s="9">
        <f>_xlfn.XLOOKUP(A506,A505:A1104,[1]Sheet3!S351:S950)</f>
        <v>0.19793402777777783</v>
      </c>
      <c r="O506" s="7">
        <f>_xlfn.XLOOKUP(A506,A505:A1104,[1]Sheet3!T351:T950)</f>
        <v>7425.11</v>
      </c>
      <c r="P506" s="7">
        <f>_xlfn.XLOOKUP(A506,A505:A1104,[1]Sheet3!U351:U950)</f>
        <v>2123.71</v>
      </c>
      <c r="Q506" s="11">
        <f>_xlfn.XLOOKUP(A506,A505:A1104,[1]Sheet3!V351:V950)</f>
        <v>0.28601731152804472</v>
      </c>
      <c r="R506" s="7">
        <f>_xlfn.XLOOKUP(A506,A505:A1104,[1]Sheet3!W351:W950)</f>
        <v>43.17</v>
      </c>
      <c r="S506" t="str">
        <f>_xlfn.XLOOKUP(A506,A505:A1104,[1]Sheet3!X351:X950)</f>
        <v>Net Banking</v>
      </c>
      <c r="T506" s="5">
        <f>_xlfn.XLOOKUP(A506,A505:A1104,[1]Sheet3!Z351:Z950)</f>
        <v>1</v>
      </c>
      <c r="U506" t="b">
        <f>_xlfn.XLOOKUP(A506,A505:A1104,[1]Sheet3!AA351:AA950)</f>
        <v>0</v>
      </c>
      <c r="V506" t="str">
        <f>_xlfn.XLOOKUP(A506,A505:A1104,[1]Sheet3!AC351:AC950)</f>
        <v>Delivered</v>
      </c>
      <c r="W506" s="5">
        <f>_xlfn.XLOOKUP(A506,A505:A1104,[1]Sheet3!AE351:AE950)</f>
        <v>10</v>
      </c>
    </row>
    <row r="507" spans="1:23" x14ac:dyDescent="0.35">
      <c r="A507" t="s">
        <v>379</v>
      </c>
      <c r="B507" s="1">
        <f>_xlfn.XLOOKUP(A507,A506:A1105,[1]Sheet3!C220:C819)</f>
        <v>45346</v>
      </c>
      <c r="C507" t="str">
        <f>_xlfn.XLOOKUP(A507,A506:A1105,[1]Sheet3!D220:D819)</f>
        <v>CUST56798</v>
      </c>
      <c r="D507" t="str">
        <f>_xlfn.XLOOKUP(A507,A506:A1105,[1]Sheet3!E220:E819)</f>
        <v>Meera Pillai</v>
      </c>
      <c r="E507" s="5">
        <f>_xlfn.XLOOKUP(A507,A506:A1105,[1]Sheet3!G220:G819)</f>
        <v>28</v>
      </c>
      <c r="F507" t="str">
        <f>_xlfn.XLOOKUP('Retail Sales'!A221,'Retail Sales'!A220:A819,[1]Sheet3!H220:H819)</f>
        <v>Young Adult</v>
      </c>
      <c r="G507" t="str">
        <f>_xlfn.XLOOKUP(A507,A506:A1105,[1]Sheet3!J220:J819)</f>
        <v>Female</v>
      </c>
      <c r="H507" t="str">
        <f>_xlfn.XLOOKUP(A507,A506:A1105,[1]Sheet3!K220:K819)</f>
        <v>East</v>
      </c>
      <c r="I507" t="str">
        <f>_xlfn.XLOOKUP(A507,A506:A1105,[1]Sheet3!L220:L819)</f>
        <v>Guwahati</v>
      </c>
      <c r="J507" t="str">
        <f>_xlfn.XLOOKUP(A507,A506:A1105,[1]Sheet3!M220:M819)</f>
        <v>Clothing</v>
      </c>
      <c r="K507" t="str">
        <f>_xlfn.XLOOKUP('Retail Sales'!A221,'Retail Sales'!A220:A819,[1]Sheet3!N220:N819)</f>
        <v>Saree</v>
      </c>
      <c r="L507" s="5">
        <f>_xlfn.XLOOKUP(A507,A506:A1105,[1]Sheet3!P220:P819)</f>
        <v>5</v>
      </c>
      <c r="M507" s="7">
        <f>_xlfn.XLOOKUP(A507,A506:A1105,[1]Sheet3!Q220:Q819)</f>
        <v>3018.53</v>
      </c>
      <c r="N507" s="9">
        <f>_xlfn.XLOOKUP(A507,A506:A1105,[1]Sheet3!S220:S819)</f>
        <v>0.26</v>
      </c>
      <c r="O507" s="7">
        <f>_xlfn.XLOOKUP(A507,A506:A1105,[1]Sheet3!T220:T819)</f>
        <v>13152.75</v>
      </c>
      <c r="P507" s="7">
        <f>_xlfn.XLOOKUP(A507,A506:A1105,[1]Sheet3!U220:U819)</f>
        <v>5208.9399999999996</v>
      </c>
      <c r="Q507" s="11">
        <f>_xlfn.XLOOKUP(A507,A506:A1105,[1]Sheet3!V220:V819)</f>
        <v>0.39603428940715818</v>
      </c>
      <c r="R507" s="7">
        <f>_xlfn.XLOOKUP(A507,A506:A1105,[1]Sheet3!W220:W819)</f>
        <v>73.33</v>
      </c>
      <c r="S507" t="str">
        <f>_xlfn.XLOOKUP(A507,A506:A1105,[1]Sheet3!X220:X819)</f>
        <v>Credit Card</v>
      </c>
      <c r="T507" s="5">
        <f>_xlfn.XLOOKUP(A507,A506:A1105,[1]Sheet3!Z220:Z819)</f>
        <v>1</v>
      </c>
      <c r="U507" t="b">
        <f>_xlfn.XLOOKUP(A507,A506:A1105,[1]Sheet3!AA220:AA819)</f>
        <v>0</v>
      </c>
      <c r="V507" t="str">
        <f>_xlfn.XLOOKUP(A507,A506:A1105,[1]Sheet3!AC220:AC819)</f>
        <v>Shipped</v>
      </c>
      <c r="W507" s="5">
        <f>_xlfn.XLOOKUP(A507,A506:A1105,[1]Sheet3!AE220:AE819)</f>
        <v>4</v>
      </c>
    </row>
    <row r="508" spans="1:23" x14ac:dyDescent="0.35">
      <c r="A508" t="s">
        <v>146</v>
      </c>
      <c r="B508" s="1">
        <f>_xlfn.XLOOKUP(A508,A507:A1106,[1]Sheet3!C453:C1052)</f>
        <v>45360</v>
      </c>
      <c r="C508" t="str">
        <f>_xlfn.XLOOKUP(A508,A507:A1106,[1]Sheet3!D453:D1052)</f>
        <v>CUST89317</v>
      </c>
      <c r="D508" t="str">
        <f>_xlfn.XLOOKUP(A508,A507:A1106,[1]Sheet3!E453:E1052)</f>
        <v>Vikram Singh</v>
      </c>
      <c r="E508" s="5">
        <f>_xlfn.XLOOKUP(A508,A507:A1106,[1]Sheet3!G453:G1052)</f>
        <v>28</v>
      </c>
      <c r="F508" t="str">
        <f>_xlfn.XLOOKUP('Retail Sales'!A454,'Retail Sales'!A453:A1052,[1]Sheet3!H453:H1052)</f>
        <v>Young Adult</v>
      </c>
      <c r="G508" t="str">
        <f>_xlfn.XLOOKUP(A508,A507:A1106,[1]Sheet3!J453:J1052)</f>
        <v>Other</v>
      </c>
      <c r="H508" t="str">
        <f>_xlfn.XLOOKUP(A508,A507:A1106,[1]Sheet3!K453:K1052)</f>
        <v>North</v>
      </c>
      <c r="I508" t="str">
        <f>_xlfn.XLOOKUP(A508,A507:A1106,[1]Sheet3!L453:L1052)</f>
        <v>Ludhiana</v>
      </c>
      <c r="J508" t="str">
        <f>_xlfn.XLOOKUP(A508,A507:A1106,[1]Sheet3!M453:M1052)</f>
        <v>Electronics</v>
      </c>
      <c r="K508" t="str">
        <f>_xlfn.XLOOKUP('Retail Sales'!A454,'Retail Sales'!A453:A1052,[1]Sheet3!N453:N1052)</f>
        <v>Laptop</v>
      </c>
      <c r="L508" s="5">
        <f>_xlfn.XLOOKUP(A508,A507:A1106,[1]Sheet3!P453:P1052)</f>
        <v>5</v>
      </c>
      <c r="M508" s="7">
        <f>_xlfn.XLOOKUP(A508,A507:A1106,[1]Sheet3!Q453:Q1052)</f>
        <v>35958.57</v>
      </c>
      <c r="N508" s="9">
        <f>_xlfn.XLOOKUP(A508,A507:A1106,[1]Sheet3!S453:S1052)</f>
        <v>0.23</v>
      </c>
      <c r="O508" s="7">
        <f>_xlfn.XLOOKUP(A508,A507:A1106,[1]Sheet3!T453:T1052)</f>
        <v>180888.8</v>
      </c>
      <c r="P508" s="7">
        <f>_xlfn.XLOOKUP(A508,A507:A1106,[1]Sheet3!U453:U1052)</f>
        <v>18318.66</v>
      </c>
      <c r="Q508" s="11">
        <f>_xlfn.XLOOKUP(A508,A507:A1106,[1]Sheet3!V453:V1052)</f>
        <v>0.10127028317950033</v>
      </c>
      <c r="R508" s="7">
        <f>_xlfn.XLOOKUP(A508,A507:A1106,[1]Sheet3!W453:W1052)</f>
        <v>45.69</v>
      </c>
      <c r="S508" t="str">
        <f>_xlfn.XLOOKUP(A508,A507:A1106,[1]Sheet3!X453:X1052)</f>
        <v>UPI</v>
      </c>
      <c r="T508" s="5">
        <f>_xlfn.XLOOKUP(A508,A507:A1106,[1]Sheet3!Z453:Z1052)</f>
        <v>1</v>
      </c>
      <c r="U508" t="b">
        <f>_xlfn.XLOOKUP(A508,A507:A1106,[1]Sheet3!AA453:AA1052)</f>
        <v>0</v>
      </c>
      <c r="V508" t="str">
        <f>_xlfn.XLOOKUP(A508,A507:A1106,[1]Sheet3!AC453:AC1052)</f>
        <v>Delivered</v>
      </c>
      <c r="W508" s="5">
        <f>_xlfn.XLOOKUP(A508,A507:A1106,[1]Sheet3!AE453:AE1052)</f>
        <v>6</v>
      </c>
    </row>
    <row r="509" spans="1:23" x14ac:dyDescent="0.35">
      <c r="A509" t="s">
        <v>583</v>
      </c>
      <c r="B509" s="1">
        <f>_xlfn.XLOOKUP(A509,A508:A1107,[1]Sheet3!C16:C615)</f>
        <v>45361</v>
      </c>
      <c r="C509" t="str">
        <f>_xlfn.XLOOKUP(A509,A508:A1107,[1]Sheet3!D16:D615)</f>
        <v>CUST50623</v>
      </c>
      <c r="D509" t="str">
        <f>_xlfn.XLOOKUP(A509,A508:A1107,[1]Sheet3!E16:E615)</f>
        <v>Deepa Mehta</v>
      </c>
      <c r="E509" s="5">
        <f>_xlfn.XLOOKUP(A509,A508:A1107,[1]Sheet3!G16:G615)</f>
        <v>30</v>
      </c>
      <c r="F509" t="str">
        <f>_xlfn.XLOOKUP('Retail Sales'!A17,'Retail Sales'!A16:A615,[1]Sheet3!H16:H615)</f>
        <v>Young Adult</v>
      </c>
      <c r="G509" t="str">
        <f>_xlfn.XLOOKUP(A509,A508:A1107,[1]Sheet3!J16:J615)</f>
        <v>Female</v>
      </c>
      <c r="H509" t="str">
        <f>_xlfn.XLOOKUP(A509,A508:A1107,[1]Sheet3!K16:K615)</f>
        <v>South</v>
      </c>
      <c r="I509" t="str">
        <f>_xlfn.XLOOKUP(A509,A508:A1107,[1]Sheet3!L16:L615)</f>
        <v>Kochi</v>
      </c>
      <c r="J509" t="str">
        <f>_xlfn.XLOOKUP(A509,A508:A1107,[1]Sheet3!M16:M615)</f>
        <v>Furniture</v>
      </c>
      <c r="K509" t="str">
        <f>_xlfn.XLOOKUP('Retail Sales'!A17,'Retail Sales'!A16:A615,[1]Sheet3!N16:N615)</f>
        <v>Chair</v>
      </c>
      <c r="L509" s="5">
        <f>_xlfn.XLOOKUP(A509,A508:A1107,[1]Sheet3!P16:P615)</f>
        <v>10</v>
      </c>
      <c r="M509" s="7">
        <f>_xlfn.XLOOKUP(A509,A508:A1107,[1]Sheet3!Q16:Q615)</f>
        <v>12138.87</v>
      </c>
      <c r="N509" s="9">
        <f>_xlfn.XLOOKUP(A509,A508:A1107,[1]Sheet3!S16:S615)</f>
        <v>0.15</v>
      </c>
      <c r="O509" s="7">
        <f>_xlfn.XLOOKUP(A509,A508:A1107,[1]Sheet3!T16:T615)</f>
        <v>144295.18</v>
      </c>
      <c r="P509" s="7">
        <f>_xlfn.XLOOKUP(A509,A508:A1107,[1]Sheet3!U16:U615)</f>
        <v>50995.28</v>
      </c>
      <c r="Q509" s="11">
        <f>_xlfn.XLOOKUP(A509,A508:A1107,[1]Sheet3!V16:V615)</f>
        <v>0.35340944860389656</v>
      </c>
      <c r="R509" s="7">
        <f>_xlfn.XLOOKUP(A509,A508:A1107,[1]Sheet3!W16:W615)</f>
        <v>49.93</v>
      </c>
      <c r="S509" t="str">
        <f>_xlfn.XLOOKUP(A509,A508:A1107,[1]Sheet3!X16:X615)</f>
        <v>EMI</v>
      </c>
      <c r="T509" s="5">
        <f>_xlfn.XLOOKUP(A509,A508:A1107,[1]Sheet3!Z16:Z615)</f>
        <v>3</v>
      </c>
      <c r="U509" t="b">
        <f>_xlfn.XLOOKUP(A509,A508:A1107,[1]Sheet3!AA16:AA615)</f>
        <v>0</v>
      </c>
      <c r="V509" t="str">
        <f>_xlfn.XLOOKUP(A509,A508:A1107,[1]Sheet3!AC16:AC615)</f>
        <v>Delivered</v>
      </c>
      <c r="W509" s="5">
        <f>_xlfn.XLOOKUP(A509,A508:A1107,[1]Sheet3!AE16:AE615)</f>
        <v>1</v>
      </c>
    </row>
    <row r="510" spans="1:23" x14ac:dyDescent="0.35">
      <c r="A510" t="s">
        <v>386</v>
      </c>
      <c r="B510" s="1">
        <f>_xlfn.XLOOKUP(A510,A509:A1108,[1]Sheet3!C213:C812)</f>
        <v>45362</v>
      </c>
      <c r="C510" t="str">
        <f>_xlfn.XLOOKUP(A510,A509:A1108,[1]Sheet3!D213:D812)</f>
        <v>CUST89020</v>
      </c>
      <c r="D510" t="str">
        <f>_xlfn.XLOOKUP(A510,A509:A1108,[1]Sheet3!E213:E812)</f>
        <v>Meera Patel</v>
      </c>
      <c r="E510" s="5">
        <f>_xlfn.XLOOKUP(A510,A509:A1108,[1]Sheet3!G213:G812)</f>
        <v>11</v>
      </c>
      <c r="F510" t="str">
        <f>_xlfn.XLOOKUP('Retail Sales'!A214,'Retail Sales'!A213:A812,[1]Sheet3!H213:H812)</f>
        <v>Child</v>
      </c>
      <c r="G510" t="str">
        <f>_xlfn.XLOOKUP(A510,A509:A1108,[1]Sheet3!J213:J812)</f>
        <v>Male</v>
      </c>
      <c r="H510" t="str">
        <f>_xlfn.XLOOKUP(A510,A509:A1108,[1]Sheet3!K213:K812)</f>
        <v>East</v>
      </c>
      <c r="I510" t="str">
        <f>_xlfn.XLOOKUP(A510,A509:A1108,[1]Sheet3!L213:L812)</f>
        <v>Guwahati</v>
      </c>
      <c r="J510" t="str">
        <f>_xlfn.XLOOKUP(A510,A509:A1108,[1]Sheet3!M213:M812)</f>
        <v>Clothing</v>
      </c>
      <c r="K510" t="str">
        <f>_xlfn.XLOOKUP('Retail Sales'!A214,'Retail Sales'!A213:A812,[1]Sheet3!N213:N812)</f>
        <v>T-Shirt</v>
      </c>
      <c r="L510" s="5">
        <f>_xlfn.XLOOKUP(A510,A509:A1108,[1]Sheet3!P213:P812)</f>
        <v>2</v>
      </c>
      <c r="M510" s="7">
        <f>_xlfn.XLOOKUP(A510,A509:A1108,[1]Sheet3!Q213:Q812)</f>
        <v>1543.23</v>
      </c>
      <c r="N510" s="9">
        <f>_xlfn.XLOOKUP(A510,A509:A1108,[1]Sheet3!S213:S812)</f>
        <v>0.26</v>
      </c>
      <c r="O510" s="7">
        <f>_xlfn.XLOOKUP(A510,A509:A1108,[1]Sheet3!T213:T812)</f>
        <v>3196.43</v>
      </c>
      <c r="P510" s="7">
        <f>_xlfn.XLOOKUP(A510,A509:A1108,[1]Sheet3!U213:U812)</f>
        <v>1291.0999999999999</v>
      </c>
      <c r="Q510" s="11">
        <f>_xlfn.XLOOKUP(A510,A509:A1108,[1]Sheet3!V213:V812)</f>
        <v>0.4039193725500011</v>
      </c>
      <c r="R510" s="7">
        <f>_xlfn.XLOOKUP(A510,A509:A1108,[1]Sheet3!W213:W812)</f>
        <v>71.02</v>
      </c>
      <c r="S510" t="str">
        <f>_xlfn.XLOOKUP(A510,A509:A1108,[1]Sheet3!X213:X812)</f>
        <v>UPI</v>
      </c>
      <c r="T510" s="5">
        <f>_xlfn.XLOOKUP(A510,A509:A1108,[1]Sheet3!Z213:Z812)</f>
        <v>5</v>
      </c>
      <c r="U510" t="b">
        <f>_xlfn.XLOOKUP(A510,A509:A1108,[1]Sheet3!AA213:AA812)</f>
        <v>0</v>
      </c>
      <c r="V510" t="str">
        <f>_xlfn.XLOOKUP(A510,A509:A1108,[1]Sheet3!AC213:AC812)</f>
        <v>Delivered</v>
      </c>
      <c r="W510" s="5">
        <f>_xlfn.XLOOKUP(A510,A509:A1108,[1]Sheet3!AE213:AE812)</f>
        <v>6</v>
      </c>
    </row>
    <row r="511" spans="1:23" x14ac:dyDescent="0.35">
      <c r="A511" t="s">
        <v>166</v>
      </c>
      <c r="B511" s="1">
        <f>_xlfn.XLOOKUP(A511,A510:A1109,[1]Sheet3!C433:C1032)</f>
        <v>45371</v>
      </c>
      <c r="C511" t="str">
        <f>_xlfn.XLOOKUP(A511,A510:A1109,[1]Sheet3!D433:D1032)</f>
        <v>CUST14777</v>
      </c>
      <c r="D511" t="str">
        <f>_xlfn.XLOOKUP(A511,A510:A1109,[1]Sheet3!E433:E1032)</f>
        <v>Aarav Shah</v>
      </c>
      <c r="E511" s="5">
        <f>_xlfn.XLOOKUP(A511,A510:A1109,[1]Sheet3!G433:G1032)</f>
        <v>60</v>
      </c>
      <c r="F511" t="str">
        <f>_xlfn.XLOOKUP('Retail Sales'!A434,'Retail Sales'!A433:A1032,[1]Sheet3!H433:H1032)</f>
        <v>Senior</v>
      </c>
      <c r="G511" t="str">
        <f>_xlfn.XLOOKUP(A511,A510:A1109,[1]Sheet3!J433:J1032)</f>
        <v>Other</v>
      </c>
      <c r="H511" t="str">
        <f>_xlfn.XLOOKUP(A511,A510:A1109,[1]Sheet3!K433:K1032)</f>
        <v>Central</v>
      </c>
      <c r="I511" t="str">
        <f>_xlfn.XLOOKUP(A511,A510:A1109,[1]Sheet3!L433:L1032)</f>
        <v>Nagpur</v>
      </c>
      <c r="J511" t="str">
        <f>_xlfn.XLOOKUP(A511,A510:A1109,[1]Sheet3!M433:M1032)</f>
        <v>Furniture</v>
      </c>
      <c r="K511" t="str">
        <f>_xlfn.XLOOKUP('Retail Sales'!A434,'Retail Sales'!A433:A1032,[1]Sheet3!N433:N1032)</f>
        <v>Bed Frame</v>
      </c>
      <c r="L511" s="5">
        <f>_xlfn.XLOOKUP(A511,A510:A1109,[1]Sheet3!P433:P1032)</f>
        <v>7</v>
      </c>
      <c r="M511" s="7">
        <f>_xlfn.XLOOKUP(A511,A510:A1109,[1]Sheet3!Q433:Q1032)</f>
        <v>28445.23</v>
      </c>
      <c r="N511" s="9">
        <f>_xlfn.XLOOKUP(A511,A510:A1109,[1]Sheet3!S433:S1032)</f>
        <v>0.28000000000000003</v>
      </c>
      <c r="O511" s="7">
        <f>_xlfn.XLOOKUP(A511,A510:A1109,[1]Sheet3!T433:T1032)</f>
        <v>189614.18</v>
      </c>
      <c r="P511" s="7">
        <f>_xlfn.XLOOKUP(A511,A510:A1109,[1]Sheet3!U433:U1032)</f>
        <v>42435.49</v>
      </c>
      <c r="Q511" s="11">
        <f>_xlfn.XLOOKUP(A511,A510:A1109,[1]Sheet3!V433:V1032)</f>
        <v>0.22379913780709859</v>
      </c>
      <c r="R511" s="7">
        <f>_xlfn.XLOOKUP(A511,A510:A1109,[1]Sheet3!W433:W1032)</f>
        <v>18.04</v>
      </c>
      <c r="S511" t="str">
        <f>_xlfn.XLOOKUP(A511,A510:A1109,[1]Sheet3!X433:X1032)</f>
        <v>UPI</v>
      </c>
      <c r="T511" s="5">
        <f>_xlfn.XLOOKUP(A511,A510:A1109,[1]Sheet3!Z433:Z1032)</f>
        <v>2</v>
      </c>
      <c r="U511" t="b">
        <f>_xlfn.XLOOKUP(A511,A510:A1109,[1]Sheet3!AA433:AA1032)</f>
        <v>0</v>
      </c>
      <c r="V511" t="str">
        <f>_xlfn.XLOOKUP(A511,A510:A1109,[1]Sheet3!AC433:AC1032)</f>
        <v>Cancelled</v>
      </c>
      <c r="W511" s="5">
        <f>_xlfn.XLOOKUP(A511,A510:A1109,[1]Sheet3!AE433:AE1032)</f>
        <v>10</v>
      </c>
    </row>
    <row r="512" spans="1:23" x14ac:dyDescent="0.35">
      <c r="A512" t="s">
        <v>24</v>
      </c>
      <c r="B512" s="1">
        <f>_xlfn.XLOOKUP(A512,A511:A1110,[1]Sheet3!C575:C1174)</f>
        <v>45391</v>
      </c>
      <c r="C512" t="str">
        <f>_xlfn.XLOOKUP(A512,A511:A1110,[1]Sheet3!D575:D1174)</f>
        <v>CUST91393</v>
      </c>
      <c r="D512" t="str">
        <f>_xlfn.XLOOKUP(A512,A511:A1110,[1]Sheet3!E575:E1174)</f>
        <v>Meera Pillai</v>
      </c>
      <c r="E512" s="5">
        <f>_xlfn.XLOOKUP(A512,A511:A1110,[1]Sheet3!G575:G1174)</f>
        <v>42</v>
      </c>
      <c r="F512" t="str">
        <f>_xlfn.XLOOKUP('Retail Sales'!A576,'Retail Sales'!A575:A1174,[1]Sheet3!H575:H1174)</f>
        <v>Adult</v>
      </c>
      <c r="G512" t="str">
        <f>_xlfn.XLOOKUP(A512,A511:A1110,[1]Sheet3!J575:J1174)</f>
        <v>Other</v>
      </c>
      <c r="H512" t="str">
        <f>_xlfn.XLOOKUP(A512,A511:A1110,[1]Sheet3!K575:K1174)</f>
        <v>North</v>
      </c>
      <c r="I512" t="str">
        <f>_xlfn.XLOOKUP(A512,A511:A1110,[1]Sheet3!L575:L1174)</f>
        <v>Ludhiana</v>
      </c>
      <c r="J512" t="str">
        <f>_xlfn.XLOOKUP(A512,A511:A1110,[1]Sheet3!M575:M1174)</f>
        <v>Sports</v>
      </c>
      <c r="K512" t="str">
        <f>_xlfn.XLOOKUP('Retail Sales'!A576,'Retail Sales'!A575:A1174,[1]Sheet3!N575:N1174)</f>
        <v>Cycle</v>
      </c>
      <c r="L512" s="5">
        <f>_xlfn.XLOOKUP(A512,A511:A1110,[1]Sheet3!P575:P1174)</f>
        <v>1</v>
      </c>
      <c r="M512" s="7">
        <f>_xlfn.XLOOKUP(A512,A511:A1110,[1]Sheet3!Q575:Q1174)</f>
        <v>7923.79</v>
      </c>
      <c r="N512" s="9">
        <f>_xlfn.XLOOKUP(A512,A511:A1110,[1]Sheet3!S575:S1174)</f>
        <v>0.02</v>
      </c>
      <c r="O512" s="7">
        <f>_xlfn.XLOOKUP(A512,A511:A1110,[1]Sheet3!T575:T1174)</f>
        <v>12021.65</v>
      </c>
      <c r="P512" s="7">
        <f>_xlfn.XLOOKUP(A512,A511:A1110,[1]Sheet3!U575:U1174)</f>
        <v>3631.41</v>
      </c>
      <c r="Q512" s="11">
        <f>_xlfn.XLOOKUP(A512,A511:A1110,[1]Sheet3!V575:V1174)</f>
        <v>0.30207251084501713</v>
      </c>
      <c r="R512" s="7">
        <f>_xlfn.XLOOKUP(A512,A511:A1110,[1]Sheet3!W575:W1174)</f>
        <v>54.15</v>
      </c>
      <c r="S512" t="str">
        <f>_xlfn.XLOOKUP(A512,A511:A1110,[1]Sheet3!X575:X1174)</f>
        <v>Cash on Delivery</v>
      </c>
      <c r="T512" s="5">
        <f>_xlfn.XLOOKUP(A512,A511:A1110,[1]Sheet3!Z575:Z1174)</f>
        <v>3</v>
      </c>
      <c r="U512" t="b">
        <f>_xlfn.XLOOKUP(A512,A511:A1110,[1]Sheet3!AA575:AA1174)</f>
        <v>0</v>
      </c>
      <c r="V512" t="str">
        <f>_xlfn.XLOOKUP(A512,A511:A1110,[1]Sheet3!AC575:AC1174)</f>
        <v>Shipped</v>
      </c>
      <c r="W512" s="5">
        <f>_xlfn.XLOOKUP(A512,A511:A1110,[1]Sheet3!AE575:AE1174)</f>
        <v>5</v>
      </c>
    </row>
    <row r="513" spans="1:23" x14ac:dyDescent="0.35">
      <c r="A513" t="s">
        <v>5</v>
      </c>
      <c r="B513" s="1">
        <f>_xlfn.XLOOKUP(A513,A512:A1111,[1]Sheet3!C594:C1193)</f>
        <v>45396</v>
      </c>
      <c r="C513" t="str">
        <f>_xlfn.XLOOKUP(A513,A512:A1111,[1]Sheet3!D594:D1193)</f>
        <v>CUST37246</v>
      </c>
      <c r="D513" t="str">
        <f>_xlfn.XLOOKUP(A513,A512:A1111,[1]Sheet3!E594:E1193)</f>
        <v>Aarav Mehta</v>
      </c>
      <c r="E513" s="5">
        <f>_xlfn.XLOOKUP(A513,A512:A1111,[1]Sheet3!G594:G1193)</f>
        <v>22</v>
      </c>
      <c r="F513" t="str">
        <f>_xlfn.XLOOKUP('Retail Sales'!A595,'Retail Sales'!A594:A1193,[1]Sheet3!H594:H1193)</f>
        <v>Young Adult</v>
      </c>
      <c r="G513" t="str">
        <f>_xlfn.XLOOKUP(A513,A512:A1111,[1]Sheet3!J594:J1193)</f>
        <v>Female</v>
      </c>
      <c r="H513" t="str">
        <f>_xlfn.XLOOKUP(A513,A512:A1111,[1]Sheet3!K594:K1193)</f>
        <v>East</v>
      </c>
      <c r="I513" t="str">
        <f>_xlfn.XLOOKUP(A513,A512:A1111,[1]Sheet3!L594:L1193)</f>
        <v>Patna</v>
      </c>
      <c r="J513" t="str">
        <f>_xlfn.XLOOKUP(A513,A512:A1111,[1]Sheet3!M594:M1193)</f>
        <v>Books</v>
      </c>
      <c r="K513" t="str">
        <f>_xlfn.XLOOKUP('Retail Sales'!A595,'Retail Sales'!A594:A1193,[1]Sheet3!N594:N1193)</f>
        <v>Biography</v>
      </c>
      <c r="L513" s="5">
        <f>_xlfn.XLOOKUP(A513,A512:A1111,[1]Sheet3!P594:P1193)</f>
        <v>1</v>
      </c>
      <c r="M513" s="7">
        <f>_xlfn.XLOOKUP(A513,A512:A1111,[1]Sheet3!Q594:Q1193)</f>
        <v>675.6</v>
      </c>
      <c r="N513" s="9">
        <f>_xlfn.XLOOKUP(A513,A512:A1111,[1]Sheet3!S594:S1193)</f>
        <v>0.09</v>
      </c>
      <c r="O513" s="7">
        <f>_xlfn.XLOOKUP(A513,A512:A1111,[1]Sheet3!T594:T1193)</f>
        <v>960.99</v>
      </c>
      <c r="P513" s="7">
        <f>_xlfn.XLOOKUP(A513,A512:A1111,[1]Sheet3!U594:U1193)</f>
        <v>301.26</v>
      </c>
      <c r="Q513" s="11">
        <f>_xlfn.XLOOKUP(A513,A512:A1111,[1]Sheet3!V594:V1193)</f>
        <v>0.31348921424780696</v>
      </c>
      <c r="R513" s="7">
        <f>_xlfn.XLOOKUP(A513,A512:A1111,[1]Sheet3!W594:W1193)</f>
        <v>94.17</v>
      </c>
      <c r="S513" t="str">
        <f>_xlfn.XLOOKUP(A513,A512:A1111,[1]Sheet3!X594:X1193)</f>
        <v>Net Banking</v>
      </c>
      <c r="T513" s="5">
        <f>_xlfn.XLOOKUP(A513,A512:A1111,[1]Sheet3!Z594:Z1193)</f>
        <v>5</v>
      </c>
      <c r="U513" t="b">
        <f>_xlfn.XLOOKUP(A513,A512:A1111,[1]Sheet3!AA594:AA1193)</f>
        <v>0</v>
      </c>
      <c r="V513" t="str">
        <f>_xlfn.XLOOKUP(A513,A512:A1111,[1]Sheet3!AC594:AC1193)</f>
        <v>Shipped</v>
      </c>
      <c r="W513" s="5">
        <f>_xlfn.XLOOKUP(A513,A512:A1111,[1]Sheet3!AE594:AE1193)</f>
        <v>5</v>
      </c>
    </row>
    <row r="514" spans="1:23" x14ac:dyDescent="0.35">
      <c r="A514" t="s">
        <v>296</v>
      </c>
      <c r="B514" s="1">
        <f>_xlfn.XLOOKUP(A514,A513:A1112,[1]Sheet3!C303:C902)</f>
        <v>45399</v>
      </c>
      <c r="C514" t="str">
        <f>_xlfn.XLOOKUP(A514,A513:A1112,[1]Sheet3!D303:D902)</f>
        <v>CUST16934</v>
      </c>
      <c r="D514" t="str">
        <f>_xlfn.XLOOKUP(A514,A513:A1112,[1]Sheet3!E303:E902)</f>
        <v>Nisha Das</v>
      </c>
      <c r="E514" s="5">
        <f>_xlfn.XLOOKUP(A514,A513:A1112,[1]Sheet3!G303:G902)</f>
        <v>26</v>
      </c>
      <c r="F514" t="str">
        <f>_xlfn.XLOOKUP('Retail Sales'!A304,'Retail Sales'!A303:A902,[1]Sheet3!H303:H902)</f>
        <v>Young Adult</v>
      </c>
      <c r="G514" t="str">
        <f>_xlfn.XLOOKUP(A514,A513:A1112,[1]Sheet3!J303:J902)</f>
        <v>Other</v>
      </c>
      <c r="H514" t="str">
        <f>_xlfn.XLOOKUP(A514,A513:A1112,[1]Sheet3!K303:K902)</f>
        <v>Central</v>
      </c>
      <c r="I514" t="str">
        <f>_xlfn.XLOOKUP(A514,A513:A1112,[1]Sheet3!L303:L902)</f>
        <v>Indore</v>
      </c>
      <c r="J514" t="str">
        <f>_xlfn.XLOOKUP(A514,A513:A1112,[1]Sheet3!M303:M902)</f>
        <v>Clothing</v>
      </c>
      <c r="K514" t="str">
        <f>_xlfn.XLOOKUP('Retail Sales'!A304,'Retail Sales'!A303:A902,[1]Sheet3!N303:N902)</f>
        <v>Jeans</v>
      </c>
      <c r="L514" s="5">
        <f>_xlfn.XLOOKUP(A514,A513:A1112,[1]Sheet3!P303:P902)</f>
        <v>5</v>
      </c>
      <c r="M514" s="7">
        <f>_xlfn.XLOOKUP(A514,A513:A1112,[1]Sheet3!Q303:Q902)</f>
        <v>3541.45</v>
      </c>
      <c r="N514" s="9">
        <f>_xlfn.XLOOKUP(A514,A513:A1112,[1]Sheet3!S303:S902)</f>
        <v>0.23</v>
      </c>
      <c r="O514" s="7">
        <f>_xlfn.XLOOKUP(A514,A513:A1112,[1]Sheet3!T303:T902)</f>
        <v>19925.91</v>
      </c>
      <c r="P514" s="7">
        <f>_xlfn.XLOOKUP(A514,A513:A1112,[1]Sheet3!U303:U902)</f>
        <v>8625.6200000000008</v>
      </c>
      <c r="Q514" s="11">
        <f>_xlfn.XLOOKUP(A514,A513:A1112,[1]Sheet3!V303:V902)</f>
        <v>0.43288462107878639</v>
      </c>
      <c r="R514" s="7">
        <f>_xlfn.XLOOKUP(A514,A513:A1112,[1]Sheet3!W303:W902)</f>
        <v>58</v>
      </c>
      <c r="S514" t="str">
        <f>_xlfn.XLOOKUP(A514,A513:A1112,[1]Sheet3!X303:X902)</f>
        <v>Cash on Delivery</v>
      </c>
      <c r="T514" s="5">
        <f>_xlfn.XLOOKUP(A514,A513:A1112,[1]Sheet3!Z303:Z902)</f>
        <v>3</v>
      </c>
      <c r="U514" t="b">
        <f>_xlfn.XLOOKUP(A514,A513:A1112,[1]Sheet3!AA303:AA902)</f>
        <v>0</v>
      </c>
      <c r="V514" t="str">
        <f>_xlfn.XLOOKUP(A514,A513:A1112,[1]Sheet3!AC303:AC902)</f>
        <v>Pending</v>
      </c>
      <c r="W514" s="5">
        <f>_xlfn.XLOOKUP(A514,A513:A1112,[1]Sheet3!AE303:AE902)</f>
        <v>9</v>
      </c>
    </row>
    <row r="515" spans="1:23" x14ac:dyDescent="0.35">
      <c r="A515" t="s">
        <v>95</v>
      </c>
      <c r="B515" s="1">
        <f>_xlfn.XLOOKUP(A515,A514:A1113,[1]Sheet3!C504:C1103)</f>
        <v>45401</v>
      </c>
      <c r="C515" t="str">
        <f>_xlfn.XLOOKUP(A515,A514:A1113,[1]Sheet3!D504:D1103)</f>
        <v>CUST13355</v>
      </c>
      <c r="D515" t="str">
        <f>_xlfn.XLOOKUP(A515,A514:A1113,[1]Sheet3!E504:E1103)</f>
        <v>Aarav Rao</v>
      </c>
      <c r="E515" s="5">
        <f>_xlfn.XLOOKUP(A515,A514:A1113,[1]Sheet3!G504:G1103)</f>
        <v>31</v>
      </c>
      <c r="F515" t="str">
        <f>_xlfn.XLOOKUP('Retail Sales'!A505,'Retail Sales'!A504:A1103,[1]Sheet3!H504:H1103)</f>
        <v>Young Adult</v>
      </c>
      <c r="G515" t="str">
        <f>_xlfn.XLOOKUP(A515,A514:A1113,[1]Sheet3!J504:J1103)</f>
        <v>Other</v>
      </c>
      <c r="H515" t="str">
        <f>_xlfn.XLOOKUP(A515,A514:A1113,[1]Sheet3!K504:K1103)</f>
        <v>West</v>
      </c>
      <c r="I515" t="str">
        <f>_xlfn.XLOOKUP(A515,A514:A1113,[1]Sheet3!L504:L1103)</f>
        <v>Surat</v>
      </c>
      <c r="J515" t="str">
        <f>_xlfn.XLOOKUP(A515,A514:A1113,[1]Sheet3!M504:M1103)</f>
        <v>Electronics</v>
      </c>
      <c r="K515" t="str">
        <f>_xlfn.XLOOKUP('Retail Sales'!A505,'Retail Sales'!A504:A1103,[1]Sheet3!N504:N1103)</f>
        <v>Headphones</v>
      </c>
      <c r="L515" s="5">
        <f>_xlfn.XLOOKUP(A515,A514:A1113,[1]Sheet3!P504:P1103)</f>
        <v>5</v>
      </c>
      <c r="M515" s="7">
        <f>_xlfn.XLOOKUP(A515,A514:A1113,[1]Sheet3!Q504:Q1103)</f>
        <v>48881.01</v>
      </c>
      <c r="N515" s="9">
        <f>_xlfn.XLOOKUP(A515,A514:A1113,[1]Sheet3!S504:S1103)</f>
        <v>0.28999999999999998</v>
      </c>
      <c r="O515" s="7">
        <f>_xlfn.XLOOKUP(A515,A514:A1113,[1]Sheet3!T504:T1103)</f>
        <v>271257.62</v>
      </c>
      <c r="P515" s="7">
        <f>_xlfn.XLOOKUP(A515,A514:A1113,[1]Sheet3!U504:U1103)</f>
        <v>14499.23</v>
      </c>
      <c r="Q515" s="11">
        <f>_xlfn.XLOOKUP(A515,A514:A1113,[1]Sheet3!V504:V1103)</f>
        <v>5.345188090937316E-2</v>
      </c>
      <c r="R515" s="7">
        <f>_xlfn.XLOOKUP(A515,A514:A1113,[1]Sheet3!W504:W1103)</f>
        <v>74.540000000000006</v>
      </c>
      <c r="S515" t="str">
        <f>_xlfn.XLOOKUP(A515,A514:A1113,[1]Sheet3!X504:X1103)</f>
        <v>UPI</v>
      </c>
      <c r="T515" s="5">
        <f>_xlfn.XLOOKUP(A515,A514:A1113,[1]Sheet3!Z504:Z1103)</f>
        <v>4</v>
      </c>
      <c r="U515" t="b">
        <f>_xlfn.XLOOKUP(A515,A514:A1113,[1]Sheet3!AA504:AA1103)</f>
        <v>0</v>
      </c>
      <c r="V515" t="str">
        <f>_xlfn.XLOOKUP(A515,A514:A1113,[1]Sheet3!AC504:AC1103)</f>
        <v>Shipped</v>
      </c>
      <c r="W515" s="5">
        <f>_xlfn.XLOOKUP(A515,A514:A1113,[1]Sheet3!AE504:AE1103)</f>
        <v>2</v>
      </c>
    </row>
    <row r="516" spans="1:23" x14ac:dyDescent="0.35">
      <c r="A516" t="s">
        <v>444</v>
      </c>
      <c r="B516" s="1">
        <f>_xlfn.XLOOKUP(A516,A515:A1114,[1]Sheet3!C155:C754)</f>
        <v>45401</v>
      </c>
      <c r="C516" t="str">
        <f>_xlfn.XLOOKUP(A516,A515:A1114,[1]Sheet3!D155:D754)</f>
        <v>CUST69333</v>
      </c>
      <c r="D516" t="str">
        <f>_xlfn.XLOOKUP(A516,A515:A1114,[1]Sheet3!E155:E754)</f>
        <v>Pooja Iyer</v>
      </c>
      <c r="E516" s="5">
        <f>_xlfn.XLOOKUP(A516,A515:A1114,[1]Sheet3!G155:G754)</f>
        <v>31</v>
      </c>
      <c r="F516" t="str">
        <f>_xlfn.XLOOKUP('Retail Sales'!A156,'Retail Sales'!A155:A754,[1]Sheet3!H155:H754)</f>
        <v>Young Adult</v>
      </c>
      <c r="G516" t="str">
        <f>_xlfn.XLOOKUP(A516,A515:A1114,[1]Sheet3!J155:J754)</f>
        <v>Female</v>
      </c>
      <c r="H516" t="str">
        <f>_xlfn.XLOOKUP(A516,A515:A1114,[1]Sheet3!K155:K754)</f>
        <v>South</v>
      </c>
      <c r="I516" t="str">
        <f>_xlfn.XLOOKUP(A516,A515:A1114,[1]Sheet3!L155:L754)</f>
        <v>Bangalore</v>
      </c>
      <c r="J516" t="str">
        <f>_xlfn.XLOOKUP(A516,A515:A1114,[1]Sheet3!M155:M754)</f>
        <v>Beauty</v>
      </c>
      <c r="K516" t="str">
        <f>_xlfn.XLOOKUP('Retail Sales'!A156,'Retail Sales'!A155:A754,[1]Sheet3!N155:N754)</f>
        <v>Perfume</v>
      </c>
      <c r="L516" s="5">
        <f>_xlfn.XLOOKUP(A516,A515:A1114,[1]Sheet3!P155:P754)</f>
        <v>6</v>
      </c>
      <c r="M516" s="7">
        <f>_xlfn.XLOOKUP(A516,A515:A1114,[1]Sheet3!Q155:Q754)</f>
        <v>1423.12</v>
      </c>
      <c r="N516" s="9">
        <f>_xlfn.XLOOKUP(A516,A515:A1114,[1]Sheet3!S155:S754)</f>
        <v>0.11</v>
      </c>
      <c r="O516" s="7">
        <f>_xlfn.XLOOKUP(A516,A515:A1114,[1]Sheet3!T155:T754)</f>
        <v>10606.52</v>
      </c>
      <c r="P516" s="7">
        <f>_xlfn.XLOOKUP(A516,A515:A1114,[1]Sheet3!U155:U754)</f>
        <v>4315.91</v>
      </c>
      <c r="Q516" s="11">
        <f>_xlfn.XLOOKUP(A516,A515:A1114,[1]Sheet3!V155:V754)</f>
        <v>0.40691103208215323</v>
      </c>
      <c r="R516" s="7">
        <f>_xlfn.XLOOKUP(A516,A515:A1114,[1]Sheet3!W155:W754)</f>
        <v>75.2</v>
      </c>
      <c r="S516" t="str">
        <f>_xlfn.XLOOKUP(A516,A515:A1114,[1]Sheet3!X155:X754)</f>
        <v>Cash on Delivery</v>
      </c>
      <c r="T516" s="5">
        <f>_xlfn.XLOOKUP(A516,A515:A1114,[1]Sheet3!Z155:Z754)</f>
        <v>4</v>
      </c>
      <c r="U516" t="b">
        <f>_xlfn.XLOOKUP(A516,A515:A1114,[1]Sheet3!AA155:AA754)</f>
        <v>1</v>
      </c>
      <c r="V516" t="str">
        <f>_xlfn.XLOOKUP(A516,A515:A1114,[1]Sheet3!AC155:AC754)</f>
        <v>Returned</v>
      </c>
      <c r="W516" s="5">
        <f>_xlfn.XLOOKUP(A516,A515:A1114,[1]Sheet3!AE155:AE754)</f>
        <v>4</v>
      </c>
    </row>
    <row r="517" spans="1:23" x14ac:dyDescent="0.35">
      <c r="A517" t="s">
        <v>272</v>
      </c>
      <c r="B517" s="1">
        <f>_xlfn.XLOOKUP(A517,A516:A1115,[1]Sheet3!C327:C926)</f>
        <v>45402</v>
      </c>
      <c r="C517" t="str">
        <f>_xlfn.XLOOKUP(A517,A516:A1115,[1]Sheet3!D327:D926)</f>
        <v>CUST45693</v>
      </c>
      <c r="D517" t="str">
        <f>_xlfn.XLOOKUP(A517,A516:A1115,[1]Sheet3!E327:E926)</f>
        <v>Aditya Singh</v>
      </c>
      <c r="E517" s="5">
        <f>_xlfn.XLOOKUP(A517,A516:A1115,[1]Sheet3!G327:G926)</f>
        <v>45</v>
      </c>
      <c r="F517" t="str">
        <f>_xlfn.XLOOKUP('Retail Sales'!A328,'Retail Sales'!A327:A926,[1]Sheet3!H327:H926)</f>
        <v>Adult</v>
      </c>
      <c r="G517" t="str">
        <f>_xlfn.XLOOKUP(A517,A516:A1115,[1]Sheet3!J327:J926)</f>
        <v>Male</v>
      </c>
      <c r="H517" t="str">
        <f>_xlfn.XLOOKUP(A517,A516:A1115,[1]Sheet3!K327:K926)</f>
        <v>North</v>
      </c>
      <c r="I517" t="str">
        <f>_xlfn.XLOOKUP(A517,A516:A1115,[1]Sheet3!L327:L926)</f>
        <v>Amritsar</v>
      </c>
      <c r="J517" t="str">
        <f>_xlfn.XLOOKUP(A517,A516:A1115,[1]Sheet3!M327:M926)</f>
        <v>Books</v>
      </c>
      <c r="K517" t="str">
        <f>_xlfn.XLOOKUP('Retail Sales'!A328,'Retail Sales'!A327:A926,[1]Sheet3!N327:N926)</f>
        <v>Comic Book</v>
      </c>
      <c r="L517" s="5">
        <f>_xlfn.XLOOKUP(A517,A516:A1115,[1]Sheet3!P327:P926)</f>
        <v>5</v>
      </c>
      <c r="M517" s="7">
        <f>_xlfn.XLOOKUP(A517,A516:A1115,[1]Sheet3!Q327:Q926)</f>
        <v>224.92</v>
      </c>
      <c r="N517" s="9">
        <f>_xlfn.XLOOKUP(A517,A516:A1115,[1]Sheet3!S327:S926)</f>
        <v>0.24</v>
      </c>
      <c r="O517" s="7">
        <f>_xlfn.XLOOKUP(A517,A516:A1115,[1]Sheet3!T327:T926)</f>
        <v>1230.6600000000001</v>
      </c>
      <c r="P517" s="7">
        <f>_xlfn.XLOOKUP(A517,A516:A1115,[1]Sheet3!U327:U926)</f>
        <v>529.41999999999996</v>
      </c>
      <c r="Q517" s="11">
        <f>_xlfn.XLOOKUP(A517,A516:A1115,[1]Sheet3!V327:V926)</f>
        <v>0.43019192953374608</v>
      </c>
      <c r="R517" s="7">
        <f>_xlfn.XLOOKUP(A517,A516:A1115,[1]Sheet3!W327:W926)</f>
        <v>65.16</v>
      </c>
      <c r="S517" t="str">
        <f>_xlfn.XLOOKUP(A517,A516:A1115,[1]Sheet3!X327:X926)</f>
        <v>UPI</v>
      </c>
      <c r="T517" s="5">
        <f>_xlfn.XLOOKUP(A517,A516:A1115,[1]Sheet3!Z327:Z926)</f>
        <v>5</v>
      </c>
      <c r="U517" t="b">
        <f>_xlfn.XLOOKUP(A517,A516:A1115,[1]Sheet3!AA327:AA926)</f>
        <v>0</v>
      </c>
      <c r="V517" t="str">
        <f>_xlfn.XLOOKUP(A517,A516:A1115,[1]Sheet3!AC327:AC926)</f>
        <v>Delivered</v>
      </c>
      <c r="W517" s="5">
        <f>_xlfn.XLOOKUP(A517,A516:A1115,[1]Sheet3!AE327:AE926)</f>
        <v>2</v>
      </c>
    </row>
    <row r="518" spans="1:23" x14ac:dyDescent="0.35">
      <c r="A518" t="s">
        <v>18</v>
      </c>
      <c r="B518" s="1">
        <f>_xlfn.XLOOKUP(A518,A517:A1116,[1]Sheet3!C581:C1180)</f>
        <v>45405</v>
      </c>
      <c r="C518" t="str">
        <f>_xlfn.XLOOKUP(A518,A517:A1116,[1]Sheet3!D581:D1180)</f>
        <v>CUST65858</v>
      </c>
      <c r="D518" t="str">
        <f>_xlfn.XLOOKUP(A518,A517:A1116,[1]Sheet3!E581:E1180)</f>
        <v>Karan Nair</v>
      </c>
      <c r="E518" s="5">
        <f>_xlfn.XLOOKUP(A518,A517:A1116,[1]Sheet3!G581:G1180)</f>
        <v>24</v>
      </c>
      <c r="F518" t="str">
        <f>_xlfn.XLOOKUP('Retail Sales'!A582,'Retail Sales'!A581:A1180,[1]Sheet3!H581:H1180)</f>
        <v>Young Adult</v>
      </c>
      <c r="G518" t="str">
        <f>_xlfn.XLOOKUP(A518,A517:A1116,[1]Sheet3!J581:J1180)</f>
        <v>Female</v>
      </c>
      <c r="H518" t="str">
        <f>_xlfn.XLOOKUP(A518,A517:A1116,[1]Sheet3!K581:K1180)</f>
        <v>East</v>
      </c>
      <c r="I518" t="str">
        <f>_xlfn.XLOOKUP(A518,A517:A1116,[1]Sheet3!L581:L1180)</f>
        <v>Kolkata</v>
      </c>
      <c r="J518" t="str">
        <f>_xlfn.XLOOKUP(A518,A517:A1116,[1]Sheet3!M581:M1180)</f>
        <v>Clothing</v>
      </c>
      <c r="K518" t="str">
        <f>_xlfn.XLOOKUP('Retail Sales'!A582,'Retail Sales'!A581:A1180,[1]Sheet3!N581:N1180)</f>
        <v>Kurta</v>
      </c>
      <c r="L518" s="5">
        <f>_xlfn.XLOOKUP(A518,A517:A1116,[1]Sheet3!P581:P1180)</f>
        <v>10</v>
      </c>
      <c r="M518" s="7">
        <f>_xlfn.XLOOKUP(A518,A517:A1116,[1]Sheet3!Q581:Q1180)</f>
        <v>3066.81</v>
      </c>
      <c r="N518" s="9">
        <f>_xlfn.XLOOKUP(A518,A517:A1116,[1]Sheet3!S581:S1180)</f>
        <v>0.02</v>
      </c>
      <c r="O518" s="7">
        <f>_xlfn.XLOOKUP(A518,A517:A1116,[1]Sheet3!T581:T1180)</f>
        <v>47758.51</v>
      </c>
      <c r="P518" s="7">
        <f>_xlfn.XLOOKUP(A518,A517:A1116,[1]Sheet3!U581:U1180)</f>
        <v>19208.34</v>
      </c>
      <c r="Q518" s="11">
        <f>_xlfn.XLOOKUP(A518,A517:A1116,[1]Sheet3!V581:V1180)</f>
        <v>0.4021972209769526</v>
      </c>
      <c r="R518" s="7">
        <f>_xlfn.XLOOKUP(A518,A517:A1116,[1]Sheet3!W581:W1180)</f>
        <v>77.64</v>
      </c>
      <c r="S518" t="str">
        <f>_xlfn.XLOOKUP(A518,A517:A1116,[1]Sheet3!X581:X1180)</f>
        <v>Net Banking</v>
      </c>
      <c r="T518" s="5">
        <f>_xlfn.XLOOKUP(A518,A517:A1116,[1]Sheet3!Z581:Z1180)</f>
        <v>2</v>
      </c>
      <c r="U518" t="b">
        <f>_xlfn.XLOOKUP(A518,A517:A1116,[1]Sheet3!AA581:AA1180)</f>
        <v>0</v>
      </c>
      <c r="V518" t="str">
        <f>_xlfn.XLOOKUP(A518,A517:A1116,[1]Sheet3!AC581:AC1180)</f>
        <v>Delivered</v>
      </c>
      <c r="W518" s="5">
        <f>_xlfn.XLOOKUP(A518,A517:A1116,[1]Sheet3!AE581:AE1180)</f>
        <v>9</v>
      </c>
    </row>
    <row r="519" spans="1:23" x14ac:dyDescent="0.35">
      <c r="A519" t="s">
        <v>367</v>
      </c>
      <c r="B519" s="1">
        <f>_xlfn.XLOOKUP(A519,A518:A1117,[1]Sheet3!C232:C831)</f>
        <v>45406</v>
      </c>
      <c r="C519" t="str">
        <f>_xlfn.XLOOKUP(A519,A518:A1117,[1]Sheet3!D232:D831)</f>
        <v>CUST32129</v>
      </c>
      <c r="D519" t="str">
        <f>_xlfn.XLOOKUP(A519,A518:A1117,[1]Sheet3!E232:E831)</f>
        <v>Sunita Iyer</v>
      </c>
      <c r="E519" s="5">
        <f>_xlfn.XLOOKUP(A519,A518:A1117,[1]Sheet3!G232:G831)</f>
        <v>39</v>
      </c>
      <c r="F519" t="str">
        <f>_xlfn.XLOOKUP('Retail Sales'!A233,'Retail Sales'!A232:A831,[1]Sheet3!H232:H831)</f>
        <v>Adult</v>
      </c>
      <c r="G519" t="str">
        <f>_xlfn.XLOOKUP(A519,A518:A1117,[1]Sheet3!J232:J831)</f>
        <v>Other</v>
      </c>
      <c r="H519" t="str">
        <f>_xlfn.XLOOKUP(A519,A518:A1117,[1]Sheet3!K232:K831)</f>
        <v>South</v>
      </c>
      <c r="I519" t="str">
        <f>_xlfn.XLOOKUP(A519,A518:A1117,[1]Sheet3!L232:L831)</f>
        <v>Hyderabad</v>
      </c>
      <c r="J519" t="str">
        <f>_xlfn.XLOOKUP(A519,A518:A1117,[1]Sheet3!M232:M831)</f>
        <v>Electronics</v>
      </c>
      <c r="K519" t="str">
        <f>_xlfn.XLOOKUP('Retail Sales'!A233,'Retail Sales'!A232:A831,[1]Sheet3!N232:N831)</f>
        <v>Smartwatch</v>
      </c>
      <c r="L519" s="5">
        <f>_xlfn.XLOOKUP(A519,A518:A1117,[1]Sheet3!P232:P831)</f>
        <v>7</v>
      </c>
      <c r="M519" s="7">
        <f>_xlfn.XLOOKUP(A519,A518:A1117,[1]Sheet3!Q232:Q831)</f>
        <v>45364.52</v>
      </c>
      <c r="N519" s="9">
        <f>_xlfn.XLOOKUP(A519,A518:A1117,[1]Sheet3!S232:S831)</f>
        <v>0.08</v>
      </c>
      <c r="O519" s="7">
        <f>_xlfn.XLOOKUP(A519,A518:A1117,[1]Sheet3!T232:T831)</f>
        <v>465179.21</v>
      </c>
      <c r="P519" s="7">
        <f>_xlfn.XLOOKUP(A519,A518:A1117,[1]Sheet3!U232:U831)</f>
        <v>56612.46</v>
      </c>
      <c r="Q519" s="11">
        <f>_xlfn.XLOOKUP(A519,A518:A1117,[1]Sheet3!V232:V831)</f>
        <v>0.12170032276377957</v>
      </c>
      <c r="R519" s="7">
        <f>_xlfn.XLOOKUP(A519,A518:A1117,[1]Sheet3!W232:W831)</f>
        <v>59.16</v>
      </c>
      <c r="S519" t="str">
        <f>_xlfn.XLOOKUP(A519,A518:A1117,[1]Sheet3!X232:X831)</f>
        <v>EMI</v>
      </c>
      <c r="T519" s="5">
        <f>_xlfn.XLOOKUP(A519,A518:A1117,[1]Sheet3!Z232:Z831)</f>
        <v>1</v>
      </c>
      <c r="U519" t="b">
        <f>_xlfn.XLOOKUP(A519,A518:A1117,[1]Sheet3!AA232:AA831)</f>
        <v>1</v>
      </c>
      <c r="V519" t="str">
        <f>_xlfn.XLOOKUP(A519,A518:A1117,[1]Sheet3!AC232:AC831)</f>
        <v>Returned</v>
      </c>
      <c r="W519" s="5">
        <f>_xlfn.XLOOKUP(A519,A518:A1117,[1]Sheet3!AE232:AE831)</f>
        <v>8</v>
      </c>
    </row>
    <row r="520" spans="1:23" x14ac:dyDescent="0.35">
      <c r="A520" t="s">
        <v>25</v>
      </c>
      <c r="B520" s="1">
        <f>_xlfn.XLOOKUP(A520,A519:A1118,[1]Sheet3!C574:C1173)</f>
        <v>45412</v>
      </c>
      <c r="C520" t="str">
        <f>_xlfn.XLOOKUP(A520,A519:A1118,[1]Sheet3!D574:D1173)</f>
        <v>CUST91185</v>
      </c>
      <c r="D520" t="str">
        <f>_xlfn.XLOOKUP(A520,A519:A1118,[1]Sheet3!E574:E1173)</f>
        <v>Karan Rao</v>
      </c>
      <c r="E520" s="5">
        <f>_xlfn.XLOOKUP(A520,A519:A1118,[1]Sheet3!G574:G1173)</f>
        <v>19</v>
      </c>
      <c r="F520" t="str">
        <f>_xlfn.XLOOKUP('Retail Sales'!A575,'Retail Sales'!A574:A1173,[1]Sheet3!H574:H1173)</f>
        <v>Teen</v>
      </c>
      <c r="G520" t="str">
        <f>_xlfn.XLOOKUP(A520,A519:A1118,[1]Sheet3!J574:J1173)</f>
        <v>Other</v>
      </c>
      <c r="H520" t="str">
        <f>_xlfn.XLOOKUP(A520,A519:A1118,[1]Sheet3!K574:K1173)</f>
        <v>Central</v>
      </c>
      <c r="I520" t="str">
        <f>_xlfn.XLOOKUP(A520,A519:A1118,[1]Sheet3!L574:L1173)</f>
        <v>Nagpur</v>
      </c>
      <c r="J520" t="str">
        <f>_xlfn.XLOOKUP(A520,A519:A1118,[1]Sheet3!M574:M1173)</f>
        <v>Beauty</v>
      </c>
      <c r="K520" t="str">
        <f>_xlfn.XLOOKUP('Retail Sales'!A575,'Retail Sales'!A574:A1173,[1]Sheet3!N574:N1173)</f>
        <v>Face Cream</v>
      </c>
      <c r="L520" s="5">
        <f>_xlfn.XLOOKUP(A520,A519:A1118,[1]Sheet3!P574:P1173)</f>
        <v>3</v>
      </c>
      <c r="M520" s="7">
        <f>_xlfn.XLOOKUP(A520,A519:A1118,[1]Sheet3!Q574:Q1173)</f>
        <v>2213</v>
      </c>
      <c r="N520" s="9">
        <f>_xlfn.XLOOKUP(A520,A519:A1118,[1]Sheet3!S574:S1173)</f>
        <v>0.1</v>
      </c>
      <c r="O520" s="7">
        <f>_xlfn.XLOOKUP(A520,A519:A1118,[1]Sheet3!T574:T1173)</f>
        <v>9293.85</v>
      </c>
      <c r="P520" s="7">
        <f>_xlfn.XLOOKUP(A520,A519:A1118,[1]Sheet3!U574:U1173)</f>
        <v>4453.78</v>
      </c>
      <c r="Q520" s="11">
        <f>_xlfn.XLOOKUP(A520,A519:A1118,[1]Sheet3!V574:V1173)</f>
        <v>0.47921797747973116</v>
      </c>
      <c r="R520" s="7">
        <f>_xlfn.XLOOKUP(A520,A519:A1118,[1]Sheet3!W574:W1173)</f>
        <v>86.73</v>
      </c>
      <c r="S520" t="str">
        <f>_xlfn.XLOOKUP(A520,A519:A1118,[1]Sheet3!X574:X1173)</f>
        <v>EMI</v>
      </c>
      <c r="T520" s="5">
        <f>_xlfn.XLOOKUP(A520,A519:A1118,[1]Sheet3!Z574:Z1173)</f>
        <v>4</v>
      </c>
      <c r="U520" t="b">
        <f>_xlfn.XLOOKUP(A520,A519:A1118,[1]Sheet3!AA574:AA1173)</f>
        <v>0</v>
      </c>
      <c r="V520" t="str">
        <f>_xlfn.XLOOKUP(A520,A519:A1118,[1]Sheet3!AC574:AC1173)</f>
        <v>Delivered</v>
      </c>
      <c r="W520" s="5">
        <f>_xlfn.XLOOKUP(A520,A519:A1118,[1]Sheet3!AE574:AE1173)</f>
        <v>10</v>
      </c>
    </row>
    <row r="521" spans="1:23" x14ac:dyDescent="0.35">
      <c r="A521" t="s">
        <v>289</v>
      </c>
      <c r="B521" s="1">
        <f>_xlfn.XLOOKUP(A521,A520:A1119,[1]Sheet3!C310:C909)</f>
        <v>45425</v>
      </c>
      <c r="C521" t="str">
        <f>_xlfn.XLOOKUP(A521,A520:A1119,[1]Sheet3!D310:D909)</f>
        <v>CUST95748</v>
      </c>
      <c r="D521" t="str">
        <f>_xlfn.XLOOKUP(A521,A520:A1119,[1]Sheet3!E310:E909)</f>
        <v>Arjun Kapoor</v>
      </c>
      <c r="E521" s="5">
        <f>_xlfn.XLOOKUP(A521,A520:A1119,[1]Sheet3!G310:G909)</f>
        <v>61</v>
      </c>
      <c r="F521" t="str">
        <f>_xlfn.XLOOKUP('Retail Sales'!A311,'Retail Sales'!A310:A909,[1]Sheet3!H310:H909)</f>
        <v>Senior</v>
      </c>
      <c r="G521" t="str">
        <f>_xlfn.XLOOKUP(A521,A520:A1119,[1]Sheet3!J310:J909)</f>
        <v>Female</v>
      </c>
      <c r="H521" t="str">
        <f>_xlfn.XLOOKUP(A521,A520:A1119,[1]Sheet3!K310:K909)</f>
        <v>East</v>
      </c>
      <c r="I521" t="str">
        <f>_xlfn.XLOOKUP(A521,A520:A1119,[1]Sheet3!L310:L909)</f>
        <v>Kolkata</v>
      </c>
      <c r="J521" t="str">
        <f>_xlfn.XLOOKUP(A521,A520:A1119,[1]Sheet3!M310:M909)</f>
        <v>Electronics</v>
      </c>
      <c r="K521" t="str">
        <f>_xlfn.XLOOKUP('Retail Sales'!A311,'Retail Sales'!A310:A909,[1]Sheet3!N310:N909)</f>
        <v>Tablet</v>
      </c>
      <c r="L521" s="5">
        <f>_xlfn.XLOOKUP(A521,A520:A1119,[1]Sheet3!P310:P909)</f>
        <v>1</v>
      </c>
      <c r="M521" s="7">
        <f>_xlfn.XLOOKUP(A521,A520:A1119,[1]Sheet3!Q310:Q909)</f>
        <v>42744.12</v>
      </c>
      <c r="N521" s="9">
        <f>_xlfn.XLOOKUP(A521,A520:A1119,[1]Sheet3!S310:S909)</f>
        <v>0.28999999999999998</v>
      </c>
      <c r="O521" s="7">
        <f>_xlfn.XLOOKUP(A521,A520:A1119,[1]Sheet3!T310:T909)</f>
        <v>49034.559999999998</v>
      </c>
      <c r="P521" s="7">
        <f>_xlfn.XLOOKUP(A521,A520:A1119,[1]Sheet3!U310:U909)</f>
        <v>5764.27</v>
      </c>
      <c r="Q521" s="11">
        <f>_xlfn.XLOOKUP(A521,A520:A1119,[1]Sheet3!V310:V909)</f>
        <v>0.11755525082717171</v>
      </c>
      <c r="R521" s="7">
        <f>_xlfn.XLOOKUP(A521,A520:A1119,[1]Sheet3!W310:W909)</f>
        <v>81.41</v>
      </c>
      <c r="S521" t="str">
        <f>_xlfn.XLOOKUP(A521,A520:A1119,[1]Sheet3!X310:X909)</f>
        <v>Debit Card</v>
      </c>
      <c r="T521" s="5">
        <f>_xlfn.XLOOKUP(A521,A520:A1119,[1]Sheet3!Z310:Z909)</f>
        <v>4</v>
      </c>
      <c r="U521" t="b">
        <f>_xlfn.XLOOKUP(A521,A520:A1119,[1]Sheet3!AA310:AA909)</f>
        <v>0</v>
      </c>
      <c r="V521" t="str">
        <f>_xlfn.XLOOKUP(A521,A520:A1119,[1]Sheet3!AC310:AC909)</f>
        <v>Delivered</v>
      </c>
      <c r="W521" s="5">
        <f>_xlfn.XLOOKUP(A521,A520:A1119,[1]Sheet3!AE310:AE909)</f>
        <v>8</v>
      </c>
    </row>
    <row r="522" spans="1:23" x14ac:dyDescent="0.35">
      <c r="A522" t="s">
        <v>263</v>
      </c>
      <c r="B522" s="1">
        <f>_xlfn.XLOOKUP(A522,A521:A1120,[1]Sheet3!C336:C935)</f>
        <v>45427</v>
      </c>
      <c r="C522" t="str">
        <f>_xlfn.XLOOKUP(A522,A521:A1120,[1]Sheet3!D336:D935)</f>
        <v>CUST71549</v>
      </c>
      <c r="D522" t="str">
        <f>_xlfn.XLOOKUP(A522,A521:A1120,[1]Sheet3!E336:E935)</f>
        <v>Ritu Das</v>
      </c>
      <c r="E522" s="5">
        <f>_xlfn.XLOOKUP(A522,A521:A1120,[1]Sheet3!G336:G935)</f>
        <v>37</v>
      </c>
      <c r="F522" t="str">
        <f>_xlfn.XLOOKUP('Retail Sales'!A337,'Retail Sales'!A336:A935,[1]Sheet3!H336:H935)</f>
        <v>Adult</v>
      </c>
      <c r="G522" t="str">
        <f>_xlfn.XLOOKUP(A522,A521:A1120,[1]Sheet3!J336:J935)</f>
        <v>Female</v>
      </c>
      <c r="H522" t="str">
        <f>_xlfn.XLOOKUP(A522,A521:A1120,[1]Sheet3!K336:K935)</f>
        <v>East</v>
      </c>
      <c r="I522" t="str">
        <f>_xlfn.XLOOKUP(A522,A521:A1120,[1]Sheet3!L336:L935)</f>
        <v>Kolkata</v>
      </c>
      <c r="J522" t="str">
        <f>_xlfn.XLOOKUP(A522,A521:A1120,[1]Sheet3!M336:M935)</f>
        <v>Furniture</v>
      </c>
      <c r="K522" t="str">
        <f>_xlfn.XLOOKUP('Retail Sales'!A337,'Retail Sales'!A336:A935,[1]Sheet3!N336:N935)</f>
        <v>Chair</v>
      </c>
      <c r="L522" s="5">
        <f>_xlfn.XLOOKUP(A522,A521:A1120,[1]Sheet3!P336:P935)</f>
        <v>3</v>
      </c>
      <c r="M522" s="7">
        <f>_xlfn.XLOOKUP(A522,A521:A1120,[1]Sheet3!Q336:Q935)</f>
        <v>16806.93</v>
      </c>
      <c r="N522" s="9">
        <f>_xlfn.XLOOKUP(A522,A521:A1120,[1]Sheet3!S336:S935)</f>
        <v>0.37</v>
      </c>
      <c r="O522" s="7">
        <f>_xlfn.XLOOKUP(A522,A521:A1120,[1]Sheet3!T336:T935)</f>
        <v>52202.49</v>
      </c>
      <c r="P522" s="7">
        <f>_xlfn.XLOOKUP(A522,A521:A1120,[1]Sheet3!U336:U935)</f>
        <v>17999.97</v>
      </c>
      <c r="Q522" s="11">
        <f>_xlfn.XLOOKUP(A522,A521:A1120,[1]Sheet3!V336:V935)</f>
        <v>0.34481056363403356</v>
      </c>
      <c r="R522" s="7">
        <f>_xlfn.XLOOKUP(A522,A521:A1120,[1]Sheet3!W336:W935)</f>
        <v>90.53</v>
      </c>
      <c r="S522" t="str">
        <f>_xlfn.XLOOKUP(A522,A521:A1120,[1]Sheet3!X336:X935)</f>
        <v>Credit Card</v>
      </c>
      <c r="T522" s="5">
        <f>_xlfn.XLOOKUP(A522,A521:A1120,[1]Sheet3!Z336:Z935)</f>
        <v>4</v>
      </c>
      <c r="U522" t="b">
        <f>_xlfn.XLOOKUP(A522,A521:A1120,[1]Sheet3!AA336:AA935)</f>
        <v>0</v>
      </c>
      <c r="V522" t="str">
        <f>_xlfn.XLOOKUP(A522,A521:A1120,[1]Sheet3!AC336:AC935)</f>
        <v>Delivered</v>
      </c>
      <c r="W522" s="5">
        <f>_xlfn.XLOOKUP(A522,A521:A1120,[1]Sheet3!AE336:AE935)</f>
        <v>2</v>
      </c>
    </row>
    <row r="523" spans="1:23" x14ac:dyDescent="0.35">
      <c r="A523" t="s">
        <v>468</v>
      </c>
      <c r="B523" s="1">
        <f>_xlfn.XLOOKUP(A523,A522:A1121,[1]Sheet3!C131:C730)</f>
        <v>45428</v>
      </c>
      <c r="C523" t="str">
        <f>_xlfn.XLOOKUP(A523,A522:A1121,[1]Sheet3!D131:D730)</f>
        <v>CUST45890</v>
      </c>
      <c r="D523" t="str">
        <f>_xlfn.XLOOKUP(A523,A522:A1121,[1]Sheet3!E131:E730)</f>
        <v>Ritu Patel</v>
      </c>
      <c r="E523" s="5">
        <f>_xlfn.XLOOKUP(A523,A522:A1121,[1]Sheet3!G131:G730)</f>
        <v>16</v>
      </c>
      <c r="F523" t="str">
        <f>_xlfn.XLOOKUP('Retail Sales'!A132,'Retail Sales'!A131:A730,[1]Sheet3!H131:H730)</f>
        <v>Teen</v>
      </c>
      <c r="G523" t="str">
        <f>_xlfn.XLOOKUP(A523,A522:A1121,[1]Sheet3!J131:J730)</f>
        <v>Male</v>
      </c>
      <c r="H523" t="str">
        <f>_xlfn.XLOOKUP(A523,A522:A1121,[1]Sheet3!K131:K730)</f>
        <v>West</v>
      </c>
      <c r="I523" t="str">
        <f>_xlfn.XLOOKUP(A523,A522:A1121,[1]Sheet3!L131:L730)</f>
        <v>Mumbai</v>
      </c>
      <c r="J523" t="str">
        <f>_xlfn.XLOOKUP(A523,A522:A1121,[1]Sheet3!M131:M730)</f>
        <v>Electronics</v>
      </c>
      <c r="K523" t="str">
        <f>_xlfn.XLOOKUP('Retail Sales'!A132,'Retail Sales'!A131:A730,[1]Sheet3!N131:N730)</f>
        <v>Camera</v>
      </c>
      <c r="L523" s="5">
        <f>_xlfn.XLOOKUP(A523,A522:A1121,[1]Sheet3!P131:P730)</f>
        <v>4</v>
      </c>
      <c r="M523" s="7">
        <f>_xlfn.XLOOKUP(A523,A522:A1121,[1]Sheet3!Q131:Q730)</f>
        <v>20489.54</v>
      </c>
      <c r="N523" s="9">
        <f>_xlfn.XLOOKUP(A523,A522:A1121,[1]Sheet3!S131:S730)</f>
        <v>0.01</v>
      </c>
      <c r="O523" s="7">
        <f>_xlfn.XLOOKUP(A523,A522:A1121,[1]Sheet3!T131:T730)</f>
        <v>161033.98000000001</v>
      </c>
      <c r="P523" s="7">
        <f>_xlfn.XLOOKUP(A523,A522:A1121,[1]Sheet3!U131:U730)</f>
        <v>22669.85</v>
      </c>
      <c r="Q523" s="11">
        <f>_xlfn.XLOOKUP(A523,A522:A1121,[1]Sheet3!V131:V730)</f>
        <v>0.14077680996271716</v>
      </c>
      <c r="R523" s="7">
        <f>_xlfn.XLOOKUP(A523,A522:A1121,[1]Sheet3!W131:W730)</f>
        <v>73.53</v>
      </c>
      <c r="S523" t="str">
        <f>_xlfn.XLOOKUP(A523,A522:A1121,[1]Sheet3!X131:X730)</f>
        <v>Cash on Delivery</v>
      </c>
      <c r="T523" s="5">
        <f>_xlfn.XLOOKUP(A523,A522:A1121,[1]Sheet3!Z131:Z730)</f>
        <v>1</v>
      </c>
      <c r="U523" t="b">
        <f>_xlfn.XLOOKUP(A523,A522:A1121,[1]Sheet3!AA131:AA730)</f>
        <v>0</v>
      </c>
      <c r="V523" t="str">
        <f>_xlfn.XLOOKUP(A523,A522:A1121,[1]Sheet3!AC131:AC730)</f>
        <v>Pending</v>
      </c>
      <c r="W523" s="5">
        <f>_xlfn.XLOOKUP(A523,A522:A1121,[1]Sheet3!AE131:AE730)</f>
        <v>4</v>
      </c>
    </row>
    <row r="524" spans="1:23" x14ac:dyDescent="0.35">
      <c r="A524" t="s">
        <v>503</v>
      </c>
      <c r="B524" s="1">
        <f>_xlfn.XLOOKUP(A524,A523:A1122,[1]Sheet3!C96:C695)</f>
        <v>45434</v>
      </c>
      <c r="C524" t="str">
        <f>_xlfn.XLOOKUP(A524,A523:A1122,[1]Sheet3!D96:D695)</f>
        <v>CUST93738</v>
      </c>
      <c r="D524" t="str">
        <f>_xlfn.XLOOKUP(A524,A523:A1122,[1]Sheet3!E96:E695)</f>
        <v>Rohan Gupta</v>
      </c>
      <c r="E524" s="5">
        <f>_xlfn.XLOOKUP(A524,A523:A1122,[1]Sheet3!G96:G695)</f>
        <v>34.294220665499125</v>
      </c>
      <c r="F524" t="str">
        <f>_xlfn.XLOOKUP('Retail Sales'!A97,'Retail Sales'!A96:A695,[1]Sheet3!H96:H695)</f>
        <v>Young Adult</v>
      </c>
      <c r="G524" t="str">
        <f>_xlfn.XLOOKUP(A524,A523:A1122,[1]Sheet3!J96:J695)</f>
        <v>Male</v>
      </c>
      <c r="H524" t="str">
        <f>_xlfn.XLOOKUP(A524,A523:A1122,[1]Sheet3!K96:K695)</f>
        <v>North</v>
      </c>
      <c r="I524" t="str">
        <f>_xlfn.XLOOKUP(A524,A523:A1122,[1]Sheet3!L96:L695)</f>
        <v>Delhi</v>
      </c>
      <c r="J524" t="str">
        <f>_xlfn.XLOOKUP(A524,A523:A1122,[1]Sheet3!M96:M695)</f>
        <v>Groceries</v>
      </c>
      <c r="K524" t="str">
        <f>_xlfn.XLOOKUP('Retail Sales'!A97,'Retail Sales'!A96:A695,[1]Sheet3!N96:N695)</f>
        <v>Dal (1kg)</v>
      </c>
      <c r="L524" s="5">
        <f>_xlfn.XLOOKUP(A524,A523:A1122,[1]Sheet3!P96:P695)</f>
        <v>5</v>
      </c>
      <c r="M524" s="7">
        <f>_xlfn.XLOOKUP(A524,A523:A1122,[1]Sheet3!Q96:Q695)</f>
        <v>309.97000000000003</v>
      </c>
      <c r="N524" s="9">
        <f>_xlfn.XLOOKUP(A524,A523:A1122,[1]Sheet3!S96:S695)</f>
        <v>0.04</v>
      </c>
      <c r="O524" s="7">
        <f>_xlfn.XLOOKUP(A524,A523:A1122,[1]Sheet3!T96:T695)</f>
        <v>2672.61</v>
      </c>
      <c r="P524" s="7">
        <f>_xlfn.XLOOKUP(A524,A523:A1122,[1]Sheet3!U96:U695)</f>
        <v>214.05</v>
      </c>
      <c r="Q524" s="11">
        <f>_xlfn.XLOOKUP(A524,A523:A1122,[1]Sheet3!V96:V695)</f>
        <v>8.0090248857858051E-2</v>
      </c>
      <c r="R524" s="7">
        <f>_xlfn.XLOOKUP(A524,A523:A1122,[1]Sheet3!W96:W695)</f>
        <v>37.340000000000003</v>
      </c>
      <c r="S524" t="str">
        <f>_xlfn.XLOOKUP(A524,A523:A1122,[1]Sheet3!X96:X695)</f>
        <v>Cash on Delivery</v>
      </c>
      <c r="T524" s="5">
        <f>_xlfn.XLOOKUP(A524,A523:A1122,[1]Sheet3!Z96:Z695)</f>
        <v>5</v>
      </c>
      <c r="U524" t="b">
        <f>_xlfn.XLOOKUP(A524,A523:A1122,[1]Sheet3!AA96:AA695)</f>
        <v>0</v>
      </c>
      <c r="V524" t="str">
        <f>_xlfn.XLOOKUP(A524,A523:A1122,[1]Sheet3!AC96:AC695)</f>
        <v>Shipped</v>
      </c>
      <c r="W524" s="5">
        <f>_xlfn.XLOOKUP(A524,A523:A1122,[1]Sheet3!AE96:AE695)</f>
        <v>4</v>
      </c>
    </row>
    <row r="525" spans="1:23" x14ac:dyDescent="0.35">
      <c r="A525" t="s">
        <v>308</v>
      </c>
      <c r="B525" s="1">
        <f>_xlfn.XLOOKUP(A525,A524:A1123,[1]Sheet3!C291:C890)</f>
        <v>45439</v>
      </c>
      <c r="C525" t="str">
        <f>_xlfn.XLOOKUP(A525,A524:A1123,[1]Sheet3!D291:D890)</f>
        <v>CUST91203</v>
      </c>
      <c r="D525" t="str">
        <f>_xlfn.XLOOKUP(A525,A524:A1123,[1]Sheet3!E291:E890)</f>
        <v>Arjun Verma</v>
      </c>
      <c r="E525" s="5">
        <f>_xlfn.XLOOKUP(A525,A524:A1123,[1]Sheet3!G291:G890)</f>
        <v>32</v>
      </c>
      <c r="F525" t="str">
        <f>_xlfn.XLOOKUP('Retail Sales'!A292,'Retail Sales'!A291:A890,[1]Sheet3!H291:H890)</f>
        <v>Young Adult</v>
      </c>
      <c r="G525" t="str">
        <f>_xlfn.XLOOKUP(A525,A524:A1123,[1]Sheet3!J291:J890)</f>
        <v>Other</v>
      </c>
      <c r="H525" t="str">
        <f>_xlfn.XLOOKUP(A525,A524:A1123,[1]Sheet3!K291:K890)</f>
        <v>West</v>
      </c>
      <c r="I525" t="str">
        <f>_xlfn.XLOOKUP(A525,A524:A1123,[1]Sheet3!L291:L890)</f>
        <v>Mumbai</v>
      </c>
      <c r="J525" t="str">
        <f>_xlfn.XLOOKUP(A525,A524:A1123,[1]Sheet3!M291:M890)</f>
        <v>Beauty</v>
      </c>
      <c r="K525" t="str">
        <f>_xlfn.XLOOKUP('Retail Sales'!A292,'Retail Sales'!A291:A890,[1]Sheet3!N291:N890)</f>
        <v>Sunscreen</v>
      </c>
      <c r="L525" s="5">
        <f>_xlfn.XLOOKUP(A525,A524:A1123,[1]Sheet3!P291:P890)</f>
        <v>4</v>
      </c>
      <c r="M525" s="7">
        <f>_xlfn.XLOOKUP(A525,A524:A1123,[1]Sheet3!Q291:Q890)</f>
        <v>722.47</v>
      </c>
      <c r="N525" s="9">
        <f>_xlfn.XLOOKUP(A525,A524:A1123,[1]Sheet3!S291:S890)</f>
        <v>0.19</v>
      </c>
      <c r="O525" s="7">
        <f>_xlfn.XLOOKUP(A525,A524:A1123,[1]Sheet3!T291:T890)</f>
        <v>4358.7299999999996</v>
      </c>
      <c r="P525" s="7">
        <f>_xlfn.XLOOKUP(A525,A524:A1123,[1]Sheet3!U291:U890)</f>
        <v>1526.73</v>
      </c>
      <c r="Q525" s="11">
        <f>_xlfn.XLOOKUP(A525,A524:A1123,[1]Sheet3!V291:V890)</f>
        <v>0.35026945922321412</v>
      </c>
      <c r="R525" s="7">
        <f>_xlfn.XLOOKUP(A525,A524:A1123,[1]Sheet3!W291:W890)</f>
        <v>71.989999999999995</v>
      </c>
      <c r="S525" t="str">
        <f>_xlfn.XLOOKUP(A525,A524:A1123,[1]Sheet3!X291:X890)</f>
        <v>EMI</v>
      </c>
      <c r="T525" s="5">
        <f>_xlfn.XLOOKUP(A525,A524:A1123,[1]Sheet3!Z291:Z890)</f>
        <v>1</v>
      </c>
      <c r="U525" t="b">
        <f>_xlfn.XLOOKUP(A525,A524:A1123,[1]Sheet3!AA291:AA890)</f>
        <v>0</v>
      </c>
      <c r="V525" t="str">
        <f>_xlfn.XLOOKUP(A525,A524:A1123,[1]Sheet3!AC291:AC890)</f>
        <v>Cancelled</v>
      </c>
      <c r="W525" s="5">
        <f>_xlfn.XLOOKUP(A525,A524:A1123,[1]Sheet3!AE291:AE890)</f>
        <v>7</v>
      </c>
    </row>
    <row r="526" spans="1:23" x14ac:dyDescent="0.35">
      <c r="A526" t="s">
        <v>105</v>
      </c>
      <c r="B526" s="1">
        <f>_xlfn.XLOOKUP(A526,A525:A1124,[1]Sheet3!C494:C1093)</f>
        <v>45450</v>
      </c>
      <c r="C526" t="str">
        <f>_xlfn.XLOOKUP(A526,A525:A1124,[1]Sheet3!D494:D1093)</f>
        <v>CUST56250</v>
      </c>
      <c r="D526" t="str">
        <f>_xlfn.XLOOKUP(A526,A525:A1124,[1]Sheet3!E494:E1093)</f>
        <v>Shreya Shah</v>
      </c>
      <c r="E526" s="5">
        <f>_xlfn.XLOOKUP(A526,A525:A1124,[1]Sheet3!G494:G1093)</f>
        <v>26</v>
      </c>
      <c r="F526" t="str">
        <f>_xlfn.XLOOKUP('Retail Sales'!A495,'Retail Sales'!A494:A1093,[1]Sheet3!H494:H1093)</f>
        <v>Young Adult</v>
      </c>
      <c r="G526" t="str">
        <f>_xlfn.XLOOKUP(A526,A525:A1124,[1]Sheet3!J494:J1093)</f>
        <v>Female</v>
      </c>
      <c r="H526" t="str">
        <f>_xlfn.XLOOKUP(A526,A525:A1124,[1]Sheet3!K494:K1093)</f>
        <v>South</v>
      </c>
      <c r="I526" t="str">
        <f>_xlfn.XLOOKUP(A526,A525:A1124,[1]Sheet3!L494:L1093)</f>
        <v>Bangalore</v>
      </c>
      <c r="J526" t="str">
        <f>_xlfn.XLOOKUP(A526,A525:A1124,[1]Sheet3!M494:M1093)</f>
        <v>Clothing</v>
      </c>
      <c r="K526" t="str">
        <f>_xlfn.XLOOKUP('Retail Sales'!A495,'Retail Sales'!A494:A1093,[1]Sheet3!N494:N1093)</f>
        <v>T-Shirt</v>
      </c>
      <c r="L526" s="5">
        <f>_xlfn.XLOOKUP(A526,A525:A1124,[1]Sheet3!P494:P1093)</f>
        <v>8</v>
      </c>
      <c r="M526" s="7">
        <f>_xlfn.XLOOKUP(A526,A525:A1124,[1]Sheet3!Q494:Q1093)</f>
        <v>3182.92</v>
      </c>
      <c r="N526" s="9">
        <f>_xlfn.XLOOKUP(A526,A525:A1124,[1]Sheet3!S494:S1093)</f>
        <v>0.17</v>
      </c>
      <c r="O526" s="7">
        <f>_xlfn.XLOOKUP(A526,A525:A1124,[1]Sheet3!T494:T1093)</f>
        <v>35409.06</v>
      </c>
      <c r="P526" s="7">
        <f>_xlfn.XLOOKUP(A526,A525:A1124,[1]Sheet3!U494:U1093)</f>
        <v>17485.080000000002</v>
      </c>
      <c r="Q526" s="11">
        <f>_xlfn.XLOOKUP(A526,A525:A1124,[1]Sheet3!V494:V1093)</f>
        <v>0.49380243361444792</v>
      </c>
      <c r="R526" s="7">
        <f>_xlfn.XLOOKUP(A526,A525:A1124,[1]Sheet3!W494:W1093)</f>
        <v>81.77</v>
      </c>
      <c r="S526" t="str">
        <f>_xlfn.XLOOKUP(A526,A525:A1124,[1]Sheet3!X494:X1093)</f>
        <v>UPI</v>
      </c>
      <c r="T526" s="5">
        <f>_xlfn.XLOOKUP(A526,A525:A1124,[1]Sheet3!Z494:Z1093)</f>
        <v>5</v>
      </c>
      <c r="U526" t="b">
        <f>_xlfn.XLOOKUP(A526,A525:A1124,[1]Sheet3!AA494:AA1093)</f>
        <v>0</v>
      </c>
      <c r="V526" t="str">
        <f>_xlfn.XLOOKUP(A526,A525:A1124,[1]Sheet3!AC494:AC1093)</f>
        <v>Delivered</v>
      </c>
      <c r="W526" s="5">
        <f>_xlfn.XLOOKUP(A526,A525:A1124,[1]Sheet3!AE494:AE1093)</f>
        <v>9</v>
      </c>
    </row>
    <row r="527" spans="1:23" x14ac:dyDescent="0.35">
      <c r="A527" t="s">
        <v>77</v>
      </c>
      <c r="B527" s="1">
        <f>_xlfn.XLOOKUP(A527,A526:A1125,[1]Sheet3!C522:C1121)</f>
        <v>45450</v>
      </c>
      <c r="C527" t="str">
        <f>_xlfn.XLOOKUP(A527,A526:A1125,[1]Sheet3!D522:D1121)</f>
        <v>CUST48600</v>
      </c>
      <c r="D527" t="str">
        <f>_xlfn.XLOOKUP(A527,A526:A1125,[1]Sheet3!E522:E1121)</f>
        <v>Kavya Reddy</v>
      </c>
      <c r="E527" s="5">
        <f>_xlfn.XLOOKUP(A527,A526:A1125,[1]Sheet3!G522:G1121)</f>
        <v>23</v>
      </c>
      <c r="F527" t="str">
        <f>_xlfn.XLOOKUP('Retail Sales'!A523,'Retail Sales'!A522:A1121,[1]Sheet3!H522:H1121)</f>
        <v>Young Adult</v>
      </c>
      <c r="G527" t="str">
        <f>_xlfn.XLOOKUP(A527,A526:A1125,[1]Sheet3!J522:J1121)</f>
        <v>Female</v>
      </c>
      <c r="H527" t="str">
        <f>_xlfn.XLOOKUP(A527,A526:A1125,[1]Sheet3!K522:K1121)</f>
        <v>East</v>
      </c>
      <c r="I527" t="str">
        <f>_xlfn.XLOOKUP(A527,A526:A1125,[1]Sheet3!L522:L1121)</f>
        <v>Kolkata</v>
      </c>
      <c r="J527" t="str">
        <f>_xlfn.XLOOKUP(A527,A526:A1125,[1]Sheet3!M522:M1121)</f>
        <v>Clothing</v>
      </c>
      <c r="K527" t="str">
        <f>_xlfn.XLOOKUP('Retail Sales'!A523,'Retail Sales'!A522:A1121,[1]Sheet3!N522:N1121)</f>
        <v>Saree</v>
      </c>
      <c r="L527" s="5">
        <f>_xlfn.XLOOKUP(A527,A526:A1125,[1]Sheet3!P522:P1121)</f>
        <v>6</v>
      </c>
      <c r="M527" s="7">
        <f>_xlfn.XLOOKUP(A527,A526:A1125,[1]Sheet3!Q522:Q1121)</f>
        <v>3566.25</v>
      </c>
      <c r="N527" s="9">
        <f>_xlfn.XLOOKUP(A527,A526:A1125,[1]Sheet3!S522:S1121)</f>
        <v>0.19</v>
      </c>
      <c r="O527" s="7">
        <f>_xlfn.XLOOKUP(A527,A526:A1125,[1]Sheet3!T522:T1121)</f>
        <v>31426.55</v>
      </c>
      <c r="P527" s="7">
        <f>_xlfn.XLOOKUP(A527,A526:A1125,[1]Sheet3!U522:U1121)</f>
        <v>12874.37</v>
      </c>
      <c r="Q527" s="11">
        <f>_xlfn.XLOOKUP(A527,A526:A1125,[1]Sheet3!V522:V1121)</f>
        <v>0.40966539438786637</v>
      </c>
      <c r="R527" s="7">
        <f>_xlfn.XLOOKUP(A527,A526:A1125,[1]Sheet3!W522:W1121)</f>
        <v>94.51</v>
      </c>
      <c r="S527" t="str">
        <f>_xlfn.XLOOKUP(A527,A526:A1125,[1]Sheet3!X522:X1121)</f>
        <v>EMI</v>
      </c>
      <c r="T527" s="5">
        <f>_xlfn.XLOOKUP(A527,A526:A1125,[1]Sheet3!Z522:Z1121)</f>
        <v>5</v>
      </c>
      <c r="U527" t="b">
        <f>_xlfn.XLOOKUP(A527,A526:A1125,[1]Sheet3!AA522:AA1121)</f>
        <v>0</v>
      </c>
      <c r="V527" t="str">
        <f>_xlfn.XLOOKUP(A527,A526:A1125,[1]Sheet3!AC522:AC1121)</f>
        <v>Delivered</v>
      </c>
      <c r="W527" s="5">
        <f>_xlfn.XLOOKUP(A527,A526:A1125,[1]Sheet3!AE522:AE1121)</f>
        <v>2</v>
      </c>
    </row>
    <row r="528" spans="1:23" x14ac:dyDescent="0.35">
      <c r="A528" t="s">
        <v>182</v>
      </c>
      <c r="B528" s="1">
        <f>_xlfn.XLOOKUP(A528,A527:A1126,[1]Sheet3!C417:C1016)</f>
        <v>45457</v>
      </c>
      <c r="C528" t="str">
        <f>_xlfn.XLOOKUP(A528,A527:A1126,[1]Sheet3!D417:D1016)</f>
        <v>CUST27952</v>
      </c>
      <c r="D528" t="str">
        <f>_xlfn.XLOOKUP(A528,A527:A1126,[1]Sheet3!E417:E1016)</f>
        <v>Pooja Rao</v>
      </c>
      <c r="E528" s="5">
        <f>_xlfn.XLOOKUP(A528,A527:A1126,[1]Sheet3!G417:G1016)</f>
        <v>33</v>
      </c>
      <c r="F528" t="str">
        <f>_xlfn.XLOOKUP('Retail Sales'!A418,'Retail Sales'!A417:A1016,[1]Sheet3!H417:H1016)</f>
        <v>Young Adult</v>
      </c>
      <c r="G528" t="str">
        <f>_xlfn.XLOOKUP(A528,A527:A1126,[1]Sheet3!J417:J1016)</f>
        <v>Other</v>
      </c>
      <c r="H528" t="str">
        <f>_xlfn.XLOOKUP(A528,A527:A1126,[1]Sheet3!K417:K1016)</f>
        <v>West</v>
      </c>
      <c r="I528" t="str">
        <f>_xlfn.XLOOKUP(A528,A527:A1126,[1]Sheet3!L417:L1016)</f>
        <v>Ahmedabad</v>
      </c>
      <c r="J528" t="str">
        <f>_xlfn.XLOOKUP(A528,A527:A1126,[1]Sheet3!M417:M1016)</f>
        <v>Clothing</v>
      </c>
      <c r="K528" t="str">
        <f>_xlfn.XLOOKUP('Retail Sales'!A418,'Retail Sales'!A417:A1016,[1]Sheet3!N417:N1016)</f>
        <v>Dress</v>
      </c>
      <c r="L528" s="5">
        <f>_xlfn.XLOOKUP(A528,A527:A1126,[1]Sheet3!P417:P1016)</f>
        <v>1</v>
      </c>
      <c r="M528" s="7">
        <f>_xlfn.XLOOKUP(A528,A527:A1126,[1]Sheet3!Q417:Q1016)</f>
        <v>3581.25</v>
      </c>
      <c r="N528" s="9">
        <f>_xlfn.XLOOKUP(A528,A527:A1126,[1]Sheet3!S417:S1016)</f>
        <v>0.01</v>
      </c>
      <c r="O528" s="7">
        <f>_xlfn.XLOOKUP(A528,A527:A1126,[1]Sheet3!T417:T1016)</f>
        <v>6175.08</v>
      </c>
      <c r="P528" s="7">
        <f>_xlfn.XLOOKUP(A528,A527:A1126,[1]Sheet3!U417:U1016)</f>
        <v>1771.61</v>
      </c>
      <c r="Q528" s="11">
        <f>_xlfn.XLOOKUP(A528,A527:A1126,[1]Sheet3!V417:V1016)</f>
        <v>0.28689668797813145</v>
      </c>
      <c r="R528" s="7">
        <f>_xlfn.XLOOKUP(A528,A527:A1126,[1]Sheet3!W417:W1016)</f>
        <v>56.33</v>
      </c>
      <c r="S528" t="str">
        <f>_xlfn.XLOOKUP(A528,A527:A1126,[1]Sheet3!X417:X1016)</f>
        <v>Credit Card</v>
      </c>
      <c r="T528" s="5">
        <f>_xlfn.XLOOKUP(A528,A527:A1126,[1]Sheet3!Z417:Z1016)</f>
        <v>1</v>
      </c>
      <c r="U528" t="b">
        <f>_xlfn.XLOOKUP(A528,A527:A1126,[1]Sheet3!AA417:AA1016)</f>
        <v>0</v>
      </c>
      <c r="V528" t="str">
        <f>_xlfn.XLOOKUP(A528,A527:A1126,[1]Sheet3!AC417:AC1016)</f>
        <v>Delivered</v>
      </c>
      <c r="W528" s="5">
        <f>_xlfn.XLOOKUP(A528,A527:A1126,[1]Sheet3!AE417:AE1016)</f>
        <v>5</v>
      </c>
    </row>
    <row r="529" spans="1:23" x14ac:dyDescent="0.35">
      <c r="A529" t="s">
        <v>492</v>
      </c>
      <c r="B529" s="1">
        <f>_xlfn.XLOOKUP(A529,A528:A1127,[1]Sheet3!C107:C706)</f>
        <v>45458</v>
      </c>
      <c r="C529" t="str">
        <f>_xlfn.XLOOKUP(A529,A528:A1127,[1]Sheet3!D107:D706)</f>
        <v>CUST46976</v>
      </c>
      <c r="D529" t="str">
        <f>_xlfn.XLOOKUP(A529,A528:A1127,[1]Sheet3!E107:E706)</f>
        <v>Nikhil Sharma</v>
      </c>
      <c r="E529" s="5">
        <f>_xlfn.XLOOKUP(A529,A528:A1127,[1]Sheet3!G107:G706)</f>
        <v>11</v>
      </c>
      <c r="F529" t="str">
        <f>_xlfn.XLOOKUP('Retail Sales'!A108,'Retail Sales'!A107:A706,[1]Sheet3!H107:H706)</f>
        <v>Child</v>
      </c>
      <c r="G529" t="str">
        <f>_xlfn.XLOOKUP(A529,A528:A1127,[1]Sheet3!J107:J706)</f>
        <v>Male</v>
      </c>
      <c r="H529" t="str">
        <f>_xlfn.XLOOKUP(A529,A528:A1127,[1]Sheet3!K107:K706)</f>
        <v>East</v>
      </c>
      <c r="I529" t="str">
        <f>_xlfn.XLOOKUP(A529,A528:A1127,[1]Sheet3!L107:L706)</f>
        <v>Patna</v>
      </c>
      <c r="J529" t="str">
        <f>_xlfn.XLOOKUP(A529,A528:A1127,[1]Sheet3!M107:M706)</f>
        <v>Electronics</v>
      </c>
      <c r="K529" t="str">
        <f>_xlfn.XLOOKUP('Retail Sales'!A108,'Retail Sales'!A107:A706,[1]Sheet3!N107:N706)</f>
        <v>Tablet</v>
      </c>
      <c r="L529" s="5">
        <f>_xlfn.XLOOKUP(A529,A528:A1127,[1]Sheet3!P107:P706)</f>
        <v>3</v>
      </c>
      <c r="M529" s="7">
        <f>_xlfn.XLOOKUP(A529,A528:A1127,[1]Sheet3!Q107:Q706)</f>
        <v>48747.69</v>
      </c>
      <c r="N529" s="9">
        <f>_xlfn.XLOOKUP(A529,A528:A1127,[1]Sheet3!S107:S706)</f>
        <v>0.28999999999999998</v>
      </c>
      <c r="O529" s="7">
        <f>_xlfn.XLOOKUP(A529,A528:A1127,[1]Sheet3!T107:T706)</f>
        <v>172382.02</v>
      </c>
      <c r="P529" s="7">
        <f>_xlfn.XLOOKUP(A529,A528:A1127,[1]Sheet3!U107:U706)</f>
        <v>22319.7</v>
      </c>
      <c r="Q529" s="11">
        <f>_xlfn.XLOOKUP(A529,A528:A1127,[1]Sheet3!V107:V706)</f>
        <v>0.12947812074600357</v>
      </c>
      <c r="R529" s="7">
        <f>_xlfn.XLOOKUP(A529,A528:A1127,[1]Sheet3!W107:W706)</f>
        <v>42.24</v>
      </c>
      <c r="S529" t="str">
        <f>_xlfn.XLOOKUP(A529,A528:A1127,[1]Sheet3!X107:X706)</f>
        <v>Net Banking</v>
      </c>
      <c r="T529" s="5">
        <f>_xlfn.XLOOKUP(A529,A528:A1127,[1]Sheet3!Z107:Z706)</f>
        <v>5</v>
      </c>
      <c r="U529" t="b">
        <f>_xlfn.XLOOKUP(A529,A528:A1127,[1]Sheet3!AA107:AA706)</f>
        <v>0</v>
      </c>
      <c r="V529" t="str">
        <f>_xlfn.XLOOKUP(A529,A528:A1127,[1]Sheet3!AC107:AC706)</f>
        <v>Delivered</v>
      </c>
      <c r="W529" s="5">
        <f>_xlfn.XLOOKUP(A529,A528:A1127,[1]Sheet3!AE107:AE706)</f>
        <v>6</v>
      </c>
    </row>
    <row r="530" spans="1:23" x14ac:dyDescent="0.35">
      <c r="A530" t="s">
        <v>405</v>
      </c>
      <c r="B530" s="1">
        <f>_xlfn.XLOOKUP(A530,A529:A1128,[1]Sheet3!C194:C793)</f>
        <v>45458</v>
      </c>
      <c r="C530" t="str">
        <f>_xlfn.XLOOKUP(A530,A529:A1128,[1]Sheet3!D194:D793)</f>
        <v>CUST93241</v>
      </c>
      <c r="D530" t="str">
        <f>_xlfn.XLOOKUP(A530,A529:A1128,[1]Sheet3!E194:E793)</f>
        <v>Nikhil Patel</v>
      </c>
      <c r="E530" s="5">
        <f>_xlfn.XLOOKUP(A530,A529:A1128,[1]Sheet3!G194:G793)</f>
        <v>31</v>
      </c>
      <c r="F530" t="str">
        <f>_xlfn.XLOOKUP('Retail Sales'!A195,'Retail Sales'!A194:A793,[1]Sheet3!H194:H793)</f>
        <v>Young Adult</v>
      </c>
      <c r="G530" t="str">
        <f>_xlfn.XLOOKUP(A530,A529:A1128,[1]Sheet3!J194:J793)</f>
        <v>Female</v>
      </c>
      <c r="H530" t="str">
        <f>_xlfn.XLOOKUP(A530,A529:A1128,[1]Sheet3!K194:K793)</f>
        <v>North</v>
      </c>
      <c r="I530" t="str">
        <f>_xlfn.XLOOKUP(A530,A529:A1128,[1]Sheet3!L194:L793)</f>
        <v>Chandigarh</v>
      </c>
      <c r="J530" t="str">
        <f>_xlfn.XLOOKUP(A530,A529:A1128,[1]Sheet3!M194:M793)</f>
        <v>Clothing</v>
      </c>
      <c r="K530" t="str">
        <f>_xlfn.XLOOKUP('Retail Sales'!A195,'Retail Sales'!A194:A793,[1]Sheet3!N194:N793)</f>
        <v>Jeans</v>
      </c>
      <c r="L530" s="5">
        <f>_xlfn.XLOOKUP(A530,A529:A1128,[1]Sheet3!P194:P793)</f>
        <v>10</v>
      </c>
      <c r="M530" s="7">
        <f>_xlfn.XLOOKUP(A530,A529:A1128,[1]Sheet3!Q194:Q793)</f>
        <v>1828.09</v>
      </c>
      <c r="N530" s="9">
        <f>_xlfn.XLOOKUP(A530,A529:A1128,[1]Sheet3!S194:S793)</f>
        <v>0.4</v>
      </c>
      <c r="O530" s="7">
        <f>_xlfn.XLOOKUP(A530,A529:A1128,[1]Sheet3!T194:T793)</f>
        <v>18651.13</v>
      </c>
      <c r="P530" s="7">
        <f>_xlfn.XLOOKUP(A530,A529:A1128,[1]Sheet3!U194:U793)</f>
        <v>4543.72</v>
      </c>
      <c r="Q530" s="11">
        <f>_xlfn.XLOOKUP(A530,A529:A1128,[1]Sheet3!V194:V793)</f>
        <v>0.24361633852747797</v>
      </c>
      <c r="R530" s="7">
        <f>_xlfn.XLOOKUP(A530,A529:A1128,[1]Sheet3!W194:W793)</f>
        <v>54.66</v>
      </c>
      <c r="S530" t="str">
        <f>_xlfn.XLOOKUP(A530,A529:A1128,[1]Sheet3!X194:X793)</f>
        <v>UPI</v>
      </c>
      <c r="T530" s="5">
        <f>_xlfn.XLOOKUP(A530,A529:A1128,[1]Sheet3!Z194:Z793)</f>
        <v>5</v>
      </c>
      <c r="U530" t="b">
        <f>_xlfn.XLOOKUP(A530,A529:A1128,[1]Sheet3!AA194:AA793)</f>
        <v>0</v>
      </c>
      <c r="V530" t="str">
        <f>_xlfn.XLOOKUP(A530,A529:A1128,[1]Sheet3!AC194:AC793)</f>
        <v>Delivered</v>
      </c>
      <c r="W530" s="5">
        <f>_xlfn.XLOOKUP(A530,A529:A1128,[1]Sheet3!AE194:AE793)</f>
        <v>10</v>
      </c>
    </row>
    <row r="531" spans="1:23" x14ac:dyDescent="0.35">
      <c r="A531" t="s">
        <v>66</v>
      </c>
      <c r="B531" s="1">
        <f>_xlfn.XLOOKUP(A531,A530:A1129,[1]Sheet3!C533:C1132)</f>
        <v>45461</v>
      </c>
      <c r="C531" t="str">
        <f>_xlfn.XLOOKUP(A531,A530:A1129,[1]Sheet3!D533:D1132)</f>
        <v>CUST25398</v>
      </c>
      <c r="D531" t="str">
        <f>_xlfn.XLOOKUP(A531,A530:A1129,[1]Sheet3!E533:E1132)</f>
        <v>Nikhil Nair</v>
      </c>
      <c r="E531" s="5">
        <f>_xlfn.XLOOKUP(A531,A530:A1129,[1]Sheet3!G533:G1132)</f>
        <v>27</v>
      </c>
      <c r="F531" t="str">
        <f>_xlfn.XLOOKUP('Retail Sales'!A534,'Retail Sales'!A533:A1132,[1]Sheet3!H533:H1132)</f>
        <v>Young Adult</v>
      </c>
      <c r="G531" t="str">
        <f>_xlfn.XLOOKUP(A531,A530:A1129,[1]Sheet3!J533:J1132)</f>
        <v>Other</v>
      </c>
      <c r="H531" t="str">
        <f>_xlfn.XLOOKUP(A531,A530:A1129,[1]Sheet3!K533:K1132)</f>
        <v>Central</v>
      </c>
      <c r="I531" t="str">
        <f>_xlfn.XLOOKUP(A531,A530:A1129,[1]Sheet3!L533:L1132)</f>
        <v>Bhopal</v>
      </c>
      <c r="J531" t="str">
        <f>_xlfn.XLOOKUP(A531,A530:A1129,[1]Sheet3!M533:M1132)</f>
        <v>Groceries</v>
      </c>
      <c r="K531" t="str">
        <f>_xlfn.XLOOKUP('Retail Sales'!A534,'Retail Sales'!A533:A1132,[1]Sheet3!N533:N1132)</f>
        <v>Cooking Oil</v>
      </c>
      <c r="L531" s="5">
        <f>_xlfn.XLOOKUP(A531,A530:A1129,[1]Sheet3!P533:P1132)</f>
        <v>7.0954861111111107</v>
      </c>
      <c r="M531" s="7">
        <f>_xlfn.XLOOKUP(A531,A530:A1129,[1]Sheet3!Q533:Q1132)</f>
        <v>167.05</v>
      </c>
      <c r="N531" s="9">
        <f>_xlfn.XLOOKUP(A531,A530:A1129,[1]Sheet3!S533:S1132)</f>
        <v>0.13</v>
      </c>
      <c r="O531" s="7">
        <f>_xlfn.XLOOKUP(A531,A530:A1129,[1]Sheet3!T533:T1132)</f>
        <v>268.86</v>
      </c>
      <c r="P531" s="7">
        <f>_xlfn.XLOOKUP(A531,A530:A1129,[1]Sheet3!U533:U1132)</f>
        <v>21.3</v>
      </c>
      <c r="Q531" s="11">
        <f>_xlfn.XLOOKUP(A531,A530:A1129,[1]Sheet3!V533:V1132)</f>
        <v>7.9223387636688236E-2</v>
      </c>
      <c r="R531" s="7">
        <f>_xlfn.XLOOKUP(A531,A530:A1129,[1]Sheet3!W533:W1132)</f>
        <v>51.15</v>
      </c>
      <c r="S531" t="str">
        <f>_xlfn.XLOOKUP(A531,A530:A1129,[1]Sheet3!X533:X1132)</f>
        <v>Net Banking</v>
      </c>
      <c r="T531" s="5">
        <f>_xlfn.XLOOKUP(A531,A530:A1129,[1]Sheet3!Z533:Z1132)</f>
        <v>5</v>
      </c>
      <c r="U531" t="b">
        <f>_xlfn.XLOOKUP(A531,A530:A1129,[1]Sheet3!AA533:AA1132)</f>
        <v>0</v>
      </c>
      <c r="V531" t="str">
        <f>_xlfn.XLOOKUP(A531,A530:A1129,[1]Sheet3!AC533:AC1132)</f>
        <v>Delivered</v>
      </c>
      <c r="W531" s="5">
        <f>_xlfn.XLOOKUP(A531,A530:A1129,[1]Sheet3!AE533:AE1132)</f>
        <v>10</v>
      </c>
    </row>
    <row r="532" spans="1:23" x14ac:dyDescent="0.35">
      <c r="A532" t="s">
        <v>391</v>
      </c>
      <c r="B532" s="1">
        <f>_xlfn.XLOOKUP(A532,A531:A1130,[1]Sheet3!C208:C807)</f>
        <v>45462</v>
      </c>
      <c r="C532" t="str">
        <f>_xlfn.XLOOKUP(A532,A531:A1130,[1]Sheet3!D208:D807)</f>
        <v>CUST11870</v>
      </c>
      <c r="D532" t="str">
        <f>_xlfn.XLOOKUP(A532,A531:A1130,[1]Sheet3!E208:E807)</f>
        <v>Arjun Iyer</v>
      </c>
      <c r="E532" s="5">
        <f>_xlfn.XLOOKUP(A532,A531:A1130,[1]Sheet3!G208:G807)</f>
        <v>28</v>
      </c>
      <c r="F532" t="str">
        <f>_xlfn.XLOOKUP('Retail Sales'!A209,'Retail Sales'!A208:A807,[1]Sheet3!H208:H807)</f>
        <v>Young Adult</v>
      </c>
      <c r="G532" t="str">
        <f>_xlfn.XLOOKUP(A532,A531:A1130,[1]Sheet3!J208:J807)</f>
        <v>Other</v>
      </c>
      <c r="H532" t="str">
        <f>_xlfn.XLOOKUP(A532,A531:A1130,[1]Sheet3!K208:K807)</f>
        <v>East</v>
      </c>
      <c r="I532" t="str">
        <f>_xlfn.XLOOKUP(A532,A531:A1130,[1]Sheet3!L208:L807)</f>
        <v>Kolkata</v>
      </c>
      <c r="J532" t="str">
        <f>_xlfn.XLOOKUP(A532,A531:A1130,[1]Sheet3!M208:M807)</f>
        <v>Clothing</v>
      </c>
      <c r="K532" t="str">
        <f>_xlfn.XLOOKUP('Retail Sales'!A209,'Retail Sales'!A208:A807,[1]Sheet3!N208:N807)</f>
        <v>Jacket</v>
      </c>
      <c r="L532" s="5">
        <f>_xlfn.XLOOKUP(A532,A531:A1130,[1]Sheet3!P208:P807)</f>
        <v>4</v>
      </c>
      <c r="M532" s="7">
        <f>_xlfn.XLOOKUP(A532,A531:A1130,[1]Sheet3!Q208:Q807)</f>
        <v>2577.39</v>
      </c>
      <c r="N532" s="9">
        <f>_xlfn.XLOOKUP(A532,A531:A1130,[1]Sheet3!S208:S807)</f>
        <v>0.11</v>
      </c>
      <c r="O532" s="7">
        <f>_xlfn.XLOOKUP(A532,A531:A1130,[1]Sheet3!T208:T807)</f>
        <v>15407.9</v>
      </c>
      <c r="P532" s="7">
        <f>_xlfn.XLOOKUP(A532,A531:A1130,[1]Sheet3!U208:U807)</f>
        <v>5412.09</v>
      </c>
      <c r="Q532" s="11">
        <f>_xlfn.XLOOKUP(A532,A531:A1130,[1]Sheet3!V208:V807)</f>
        <v>0.3512542267278474</v>
      </c>
      <c r="R532" s="7">
        <f>_xlfn.XLOOKUP(A532,A531:A1130,[1]Sheet3!W208:W807)</f>
        <v>58.52</v>
      </c>
      <c r="S532" t="str">
        <f>_xlfn.XLOOKUP(A532,A531:A1130,[1]Sheet3!X208:X807)</f>
        <v>UPI</v>
      </c>
      <c r="T532" s="5">
        <f>_xlfn.XLOOKUP(A532,A531:A1130,[1]Sheet3!Z208:Z807)</f>
        <v>2</v>
      </c>
      <c r="U532" t="b">
        <f>_xlfn.XLOOKUP(A532,A531:A1130,[1]Sheet3!AA208:AA807)</f>
        <v>0</v>
      </c>
      <c r="V532" t="str">
        <f>_xlfn.XLOOKUP(A532,A531:A1130,[1]Sheet3!AC208:AC807)</f>
        <v>Delivered</v>
      </c>
      <c r="W532" s="5">
        <f>_xlfn.XLOOKUP(A532,A531:A1130,[1]Sheet3!AE208:AE807)</f>
        <v>1</v>
      </c>
    </row>
    <row r="533" spans="1:23" x14ac:dyDescent="0.35">
      <c r="A533" t="s">
        <v>89</v>
      </c>
      <c r="B533" s="1">
        <f>_xlfn.XLOOKUP(A533,A532:A1131,[1]Sheet3!C510:C1109)</f>
        <v>45464</v>
      </c>
      <c r="C533" t="str">
        <f>_xlfn.XLOOKUP(A533,A532:A1131,[1]Sheet3!D510:D1109)</f>
        <v>CUST71536</v>
      </c>
      <c r="D533" t="str">
        <f>_xlfn.XLOOKUP(A533,A532:A1131,[1]Sheet3!E510:E1109)</f>
        <v>Amit Bose</v>
      </c>
      <c r="E533" s="5">
        <f>_xlfn.XLOOKUP(A533,A532:A1131,[1]Sheet3!G510:G1109)</f>
        <v>49</v>
      </c>
      <c r="F533" t="str">
        <f>_xlfn.XLOOKUP('Retail Sales'!A511,'Retail Sales'!A510:A1109,[1]Sheet3!H510:H1109)</f>
        <v>Adult</v>
      </c>
      <c r="G533" t="str">
        <f>_xlfn.XLOOKUP(A533,A532:A1131,[1]Sheet3!J510:J1109)</f>
        <v>Male</v>
      </c>
      <c r="H533" t="str">
        <f>_xlfn.XLOOKUP(A533,A532:A1131,[1]Sheet3!K510:K1109)</f>
        <v>North</v>
      </c>
      <c r="I533" t="str">
        <f>_xlfn.XLOOKUP(A533,A532:A1131,[1]Sheet3!L510:L1109)</f>
        <v>Ludhiana</v>
      </c>
      <c r="J533" t="str">
        <f>_xlfn.XLOOKUP(A533,A532:A1131,[1]Sheet3!M510:M1109)</f>
        <v>Books</v>
      </c>
      <c r="K533" t="str">
        <f>_xlfn.XLOOKUP('Retail Sales'!A511,'Retail Sales'!A510:A1109,[1]Sheet3!N510:N1109)</f>
        <v>Fiction Novel</v>
      </c>
      <c r="L533" s="5">
        <f>_xlfn.XLOOKUP(A533,A532:A1131,[1]Sheet3!P510:P1109)</f>
        <v>6</v>
      </c>
      <c r="M533" s="7">
        <f>_xlfn.XLOOKUP(A533,A532:A1131,[1]Sheet3!Q510:Q1109)</f>
        <v>587.29999999999995</v>
      </c>
      <c r="N533" s="9">
        <f>_xlfn.XLOOKUP(A533,A532:A1131,[1]Sheet3!S510:S1109)</f>
        <v>0.23</v>
      </c>
      <c r="O533" s="7">
        <f>_xlfn.XLOOKUP(A533,A532:A1131,[1]Sheet3!T510:T1109)</f>
        <v>4643.97</v>
      </c>
      <c r="P533" s="7">
        <f>_xlfn.XLOOKUP(A533,A532:A1131,[1]Sheet3!U510:U1109)</f>
        <v>1923.83</v>
      </c>
      <c r="Q533" s="11">
        <f>_xlfn.XLOOKUP(A533,A532:A1131,[1]Sheet3!V510:V1109)</f>
        <v>0.41426408869997006</v>
      </c>
      <c r="R533" s="7">
        <f>_xlfn.XLOOKUP(A533,A532:A1131,[1]Sheet3!W510:W1109)</f>
        <v>52.24</v>
      </c>
      <c r="S533" t="str">
        <f>_xlfn.XLOOKUP(A533,A532:A1131,[1]Sheet3!X510:X1109)</f>
        <v>Net Banking</v>
      </c>
      <c r="T533" s="5">
        <f>_xlfn.XLOOKUP(A533,A532:A1131,[1]Sheet3!Z510:Z1109)</f>
        <v>5</v>
      </c>
      <c r="U533" t="b">
        <f>_xlfn.XLOOKUP(A533,A532:A1131,[1]Sheet3!AA510:AA1109)</f>
        <v>0</v>
      </c>
      <c r="V533" t="str">
        <f>_xlfn.XLOOKUP(A533,A532:A1131,[1]Sheet3!AC510:AC1109)</f>
        <v>Delivered</v>
      </c>
      <c r="W533" s="5">
        <f>_xlfn.XLOOKUP(A533,A532:A1131,[1]Sheet3!AE510:AE1109)</f>
        <v>5</v>
      </c>
    </row>
    <row r="534" spans="1:23" x14ac:dyDescent="0.35">
      <c r="A534" t="s">
        <v>540</v>
      </c>
      <c r="B534" s="1">
        <f>_xlfn.XLOOKUP(A534,A533:A1132,[1]Sheet3!C59:C658)</f>
        <v>45465</v>
      </c>
      <c r="C534" t="str">
        <f>_xlfn.XLOOKUP(A534,A533:A1132,[1]Sheet3!D59:D658)</f>
        <v>CUST35687</v>
      </c>
      <c r="D534" t="str">
        <f>_xlfn.XLOOKUP(A534,A533:A1132,[1]Sheet3!E59:E658)</f>
        <v>Deepa Nair</v>
      </c>
      <c r="E534" s="5">
        <f>_xlfn.XLOOKUP(A534,A533:A1132,[1]Sheet3!G59:G658)</f>
        <v>42</v>
      </c>
      <c r="F534" t="str">
        <f>_xlfn.XLOOKUP('Retail Sales'!A60,'Retail Sales'!A59:A658,[1]Sheet3!H59:H658)</f>
        <v>Adult</v>
      </c>
      <c r="G534" t="str">
        <f>_xlfn.XLOOKUP(A534,A533:A1132,[1]Sheet3!J59:J658)</f>
        <v>Other</v>
      </c>
      <c r="H534" t="str">
        <f>_xlfn.XLOOKUP(A534,A533:A1132,[1]Sheet3!K59:K658)</f>
        <v>West</v>
      </c>
      <c r="I534" t="str">
        <f>_xlfn.XLOOKUP(A534,A533:A1132,[1]Sheet3!L59:L658)</f>
        <v>Surat</v>
      </c>
      <c r="J534" t="str">
        <f>_xlfn.XLOOKUP(A534,A533:A1132,[1]Sheet3!M59:M658)</f>
        <v>Books</v>
      </c>
      <c r="K534" t="str">
        <f>_xlfn.XLOOKUP('Retail Sales'!A60,'Retail Sales'!A59:A658,[1]Sheet3!N59:N658)</f>
        <v>Comic Book</v>
      </c>
      <c r="L534" s="5">
        <f>_xlfn.XLOOKUP(A534,A533:A1132,[1]Sheet3!P59:P658)</f>
        <v>1</v>
      </c>
      <c r="M534" s="7">
        <f>_xlfn.XLOOKUP(A534,A533:A1132,[1]Sheet3!Q59:Q658)</f>
        <v>787.78</v>
      </c>
      <c r="N534" s="9">
        <f>_xlfn.XLOOKUP(A534,A533:A1132,[1]Sheet3!S59:S658)</f>
        <v>0.15</v>
      </c>
      <c r="O534" s="7">
        <f>_xlfn.XLOOKUP(A534,A533:A1132,[1]Sheet3!T59:T658)</f>
        <v>1146.29</v>
      </c>
      <c r="P534" s="7">
        <f>_xlfn.XLOOKUP(A534,A533:A1132,[1]Sheet3!U59:U658)</f>
        <v>520.99</v>
      </c>
      <c r="Q534" s="11">
        <f>_xlfn.XLOOKUP(A534,A533:A1132,[1]Sheet3!V59:V658)</f>
        <v>0.45450104249360984</v>
      </c>
      <c r="R534" s="7">
        <f>_xlfn.XLOOKUP(A534,A533:A1132,[1]Sheet3!W59:W658)</f>
        <v>47.1</v>
      </c>
      <c r="S534" t="str">
        <f>_xlfn.XLOOKUP(A534,A533:A1132,[1]Sheet3!X59:X658)</f>
        <v>Credit Card</v>
      </c>
      <c r="T534" s="5">
        <f>_xlfn.XLOOKUP(A534,A533:A1132,[1]Sheet3!Z59:Z658)</f>
        <v>2</v>
      </c>
      <c r="U534" t="b">
        <f>_xlfn.XLOOKUP(A534,A533:A1132,[1]Sheet3!AA59:AA658)</f>
        <v>0</v>
      </c>
      <c r="V534" t="str">
        <f>_xlfn.XLOOKUP(A534,A533:A1132,[1]Sheet3!AC59:AC658)</f>
        <v>Delivered</v>
      </c>
      <c r="W534" s="5">
        <f>_xlfn.XLOOKUP(A534,A533:A1132,[1]Sheet3!AE59:AE658)</f>
        <v>9</v>
      </c>
    </row>
    <row r="535" spans="1:23" x14ac:dyDescent="0.35">
      <c r="A535" t="s">
        <v>560</v>
      </c>
      <c r="B535" s="1">
        <f>_xlfn.XLOOKUP(A535,A534:A1133,[1]Sheet3!C39:C638)</f>
        <v>45473</v>
      </c>
      <c r="C535" t="str">
        <f>_xlfn.XLOOKUP(A535,A534:A1133,[1]Sheet3!D39:D638)</f>
        <v>CUST34644</v>
      </c>
      <c r="D535" t="str">
        <f>_xlfn.XLOOKUP(A535,A534:A1133,[1]Sheet3!E39:E638)</f>
        <v>Ananya Patel</v>
      </c>
      <c r="E535" s="5">
        <f>_xlfn.XLOOKUP(A535,A534:A1133,[1]Sheet3!G39:G638)</f>
        <v>27</v>
      </c>
      <c r="F535" t="str">
        <f>_xlfn.XLOOKUP('Retail Sales'!A40,'Retail Sales'!A39:A638,[1]Sheet3!H39:H638)</f>
        <v>Young Adult</v>
      </c>
      <c r="G535" t="str">
        <f>_xlfn.XLOOKUP(A535,A534:A1133,[1]Sheet3!J39:J638)</f>
        <v>Male</v>
      </c>
      <c r="H535" t="str">
        <f>_xlfn.XLOOKUP(A535,A534:A1133,[1]Sheet3!K39:K638)</f>
        <v>South</v>
      </c>
      <c r="I535" t="str">
        <f>_xlfn.XLOOKUP(A535,A534:A1133,[1]Sheet3!L39:L638)</f>
        <v>Bangalore</v>
      </c>
      <c r="J535" t="str">
        <f>_xlfn.XLOOKUP(A535,A534:A1133,[1]Sheet3!M39:M638)</f>
        <v>Clothing</v>
      </c>
      <c r="K535" t="str">
        <f>_xlfn.XLOOKUP('Retail Sales'!A40,'Retail Sales'!A39:A638,[1]Sheet3!N39:N638)</f>
        <v>Jeans</v>
      </c>
      <c r="L535" s="5">
        <f>_xlfn.XLOOKUP(A535,A534:A1133,[1]Sheet3!P39:P638)</f>
        <v>3</v>
      </c>
      <c r="M535" s="7">
        <f>_xlfn.XLOOKUP(A535,A534:A1133,[1]Sheet3!Q39:Q638)</f>
        <v>1621.83</v>
      </c>
      <c r="N535" s="9">
        <f>_xlfn.XLOOKUP(A535,A534:A1133,[1]Sheet3!S39:S638)</f>
        <v>0.4</v>
      </c>
      <c r="O535" s="7">
        <f>_xlfn.XLOOKUP(A535,A534:A1133,[1]Sheet3!T39:T638)</f>
        <v>4851.55</v>
      </c>
      <c r="P535" s="7">
        <f>_xlfn.XLOOKUP(A535,A534:A1133,[1]Sheet3!U39:U638)</f>
        <v>1799.06</v>
      </c>
      <c r="Q535" s="11">
        <f>_xlfn.XLOOKUP(A535,A534:A1133,[1]Sheet3!V39:V638)</f>
        <v>0.37082169615895949</v>
      </c>
      <c r="R535" s="7">
        <f>_xlfn.XLOOKUP(A535,A534:A1133,[1]Sheet3!W39:W638)</f>
        <v>67.23</v>
      </c>
      <c r="S535" t="str">
        <f>_xlfn.XLOOKUP(A535,A534:A1133,[1]Sheet3!X39:X638)</f>
        <v>Credit Card</v>
      </c>
      <c r="T535" s="5">
        <f>_xlfn.XLOOKUP(A535,A534:A1133,[1]Sheet3!Z39:Z638)</f>
        <v>2</v>
      </c>
      <c r="U535" t="b">
        <f>_xlfn.XLOOKUP(A535,A534:A1133,[1]Sheet3!AA39:AA638)</f>
        <v>0</v>
      </c>
      <c r="V535" t="str">
        <f>_xlfn.XLOOKUP(A535,A534:A1133,[1]Sheet3!AC39:AC638)</f>
        <v>Delivered</v>
      </c>
      <c r="W535" s="5">
        <f>_xlfn.XLOOKUP(A535,A534:A1133,[1]Sheet3!AE39:AE638)</f>
        <v>4</v>
      </c>
    </row>
    <row r="536" spans="1:23" x14ac:dyDescent="0.35">
      <c r="A536" t="s">
        <v>438</v>
      </c>
      <c r="B536" s="1">
        <f>_xlfn.XLOOKUP(A536,A535:A1134,[1]Sheet3!C161:C760)</f>
        <v>45474</v>
      </c>
      <c r="C536" t="str">
        <f>_xlfn.XLOOKUP(A536,A535:A1134,[1]Sheet3!D161:D760)</f>
        <v>CUST77207</v>
      </c>
      <c r="D536" t="str">
        <f>_xlfn.XLOOKUP(A536,A535:A1134,[1]Sheet3!E161:E760)</f>
        <v>Sanjay Joshi</v>
      </c>
      <c r="E536" s="5">
        <f>_xlfn.XLOOKUP(A536,A535:A1134,[1]Sheet3!G161:G760)</f>
        <v>25</v>
      </c>
      <c r="F536" t="str">
        <f>_xlfn.XLOOKUP('Retail Sales'!A162,'Retail Sales'!A161:A760,[1]Sheet3!H161:H760)</f>
        <v>Young Adult</v>
      </c>
      <c r="G536" t="str">
        <f>_xlfn.XLOOKUP(A536,A535:A1134,[1]Sheet3!J161:J760)</f>
        <v>Female</v>
      </c>
      <c r="H536" t="str">
        <f>_xlfn.XLOOKUP(A536,A535:A1134,[1]Sheet3!K161:K760)</f>
        <v>North</v>
      </c>
      <c r="I536" t="str">
        <f>_xlfn.XLOOKUP(A536,A535:A1134,[1]Sheet3!L161:L760)</f>
        <v>Ludhiana</v>
      </c>
      <c r="J536" t="str">
        <f>_xlfn.XLOOKUP(A536,A535:A1134,[1]Sheet3!M161:M760)</f>
        <v>Books</v>
      </c>
      <c r="K536" t="str">
        <f>_xlfn.XLOOKUP('Retail Sales'!A162,'Retail Sales'!A161:A760,[1]Sheet3!N161:N760)</f>
        <v>Self-Help Book</v>
      </c>
      <c r="L536" s="5">
        <f>_xlfn.XLOOKUP(A536,A535:A1134,[1]Sheet3!P161:P760)</f>
        <v>7.0954861111111107</v>
      </c>
      <c r="M536" s="7">
        <f>_xlfn.XLOOKUP(A536,A535:A1134,[1]Sheet3!Q161:Q760)</f>
        <v>1486.09</v>
      </c>
      <c r="N536" s="9">
        <f>_xlfn.XLOOKUP(A536,A535:A1134,[1]Sheet3!S161:S760)</f>
        <v>0.11</v>
      </c>
      <c r="O536" s="7">
        <f>_xlfn.XLOOKUP(A536,A535:A1134,[1]Sheet3!T161:T760)</f>
        <v>1967.1</v>
      </c>
      <c r="P536" s="7">
        <f>_xlfn.XLOOKUP(A536,A535:A1134,[1]Sheet3!U161:U760)</f>
        <v>719.18</v>
      </c>
      <c r="Q536" s="11">
        <f>_xlfn.XLOOKUP(A536,A535:A1134,[1]Sheet3!V161:V760)</f>
        <v>0.36560418890752883</v>
      </c>
      <c r="R536" s="7">
        <f>_xlfn.XLOOKUP(A536,A535:A1134,[1]Sheet3!W161:W760)</f>
        <v>43.92</v>
      </c>
      <c r="S536" t="str">
        <f>_xlfn.XLOOKUP(A536,A535:A1134,[1]Sheet3!X161:X760)</f>
        <v>Cash on Delivery</v>
      </c>
      <c r="T536" s="5">
        <f>_xlfn.XLOOKUP(A536,A535:A1134,[1]Sheet3!Z161:Z760)</f>
        <v>1</v>
      </c>
      <c r="U536" t="b">
        <f>_xlfn.XLOOKUP(A536,A535:A1134,[1]Sheet3!AA161:AA760)</f>
        <v>0</v>
      </c>
      <c r="V536" t="str">
        <f>_xlfn.XLOOKUP(A536,A535:A1134,[1]Sheet3!AC161:AC760)</f>
        <v>Delivered</v>
      </c>
      <c r="W536" s="5">
        <f>_xlfn.XLOOKUP(A536,A535:A1134,[1]Sheet3!AE161:AE760)</f>
        <v>1</v>
      </c>
    </row>
    <row r="537" spans="1:23" x14ac:dyDescent="0.35">
      <c r="A537" t="s">
        <v>428</v>
      </c>
      <c r="B537" s="1">
        <f>_xlfn.XLOOKUP(A537,A536:A1135,[1]Sheet3!C171:C770)</f>
        <v>45475</v>
      </c>
      <c r="C537" t="str">
        <f>_xlfn.XLOOKUP(A537,A536:A1135,[1]Sheet3!D171:D770)</f>
        <v>CUST68889</v>
      </c>
      <c r="D537" t="str">
        <f>_xlfn.XLOOKUP(A537,A536:A1135,[1]Sheet3!E171:E770)</f>
        <v>Vikram Chatterjee</v>
      </c>
      <c r="E537" s="5">
        <f>_xlfn.XLOOKUP(A537,A536:A1135,[1]Sheet3!G171:G770)</f>
        <v>56</v>
      </c>
      <c r="F537" t="str">
        <f>_xlfn.XLOOKUP('Retail Sales'!A172,'Retail Sales'!A171:A770,[1]Sheet3!H171:H770)</f>
        <v>Senior</v>
      </c>
      <c r="G537" t="str">
        <f>_xlfn.XLOOKUP(A537,A536:A1135,[1]Sheet3!J171:J770)</f>
        <v>Other</v>
      </c>
      <c r="H537" t="str">
        <f>_xlfn.XLOOKUP(A537,A536:A1135,[1]Sheet3!K171:K770)</f>
        <v>North</v>
      </c>
      <c r="I537" t="str">
        <f>_xlfn.XLOOKUP(A537,A536:A1135,[1]Sheet3!L171:L770)</f>
        <v>Ludhiana</v>
      </c>
      <c r="J537" t="str">
        <f>_xlfn.XLOOKUP(A537,A536:A1135,[1]Sheet3!M171:M770)</f>
        <v>Books</v>
      </c>
      <c r="K537" t="str">
        <f>_xlfn.XLOOKUP('Retail Sales'!A172,'Retail Sales'!A171:A770,[1]Sheet3!N171:N770)</f>
        <v>Fiction Novel</v>
      </c>
      <c r="L537" s="5">
        <f>_xlfn.XLOOKUP(A537,A536:A1135,[1]Sheet3!P171:P770)</f>
        <v>2</v>
      </c>
      <c r="M537" s="7">
        <f>_xlfn.XLOOKUP(A537,A536:A1135,[1]Sheet3!Q171:Q770)</f>
        <v>493.07</v>
      </c>
      <c r="N537" s="9">
        <f>_xlfn.XLOOKUP(A537,A536:A1135,[1]Sheet3!S171:S770)</f>
        <v>0.4</v>
      </c>
      <c r="O537" s="7">
        <f>_xlfn.XLOOKUP(A537,A536:A1135,[1]Sheet3!T171:T770)</f>
        <v>1034.25</v>
      </c>
      <c r="P537" s="7">
        <f>_xlfn.XLOOKUP(A537,A536:A1135,[1]Sheet3!U171:U770)</f>
        <v>466.16</v>
      </c>
      <c r="Q537" s="11">
        <f>_xlfn.XLOOKUP(A537,A536:A1135,[1]Sheet3!V171:V770)</f>
        <v>0.4507227459511724</v>
      </c>
      <c r="R537" s="7">
        <f>_xlfn.XLOOKUP(A537,A536:A1135,[1]Sheet3!W171:W770)</f>
        <v>79.959999999999994</v>
      </c>
      <c r="S537" t="str">
        <f>_xlfn.XLOOKUP(A537,A536:A1135,[1]Sheet3!X171:X770)</f>
        <v>Net Banking</v>
      </c>
      <c r="T537" s="5">
        <f>_xlfn.XLOOKUP(A537,A536:A1135,[1]Sheet3!Z171:Z770)</f>
        <v>5</v>
      </c>
      <c r="U537" t="b">
        <f>_xlfn.XLOOKUP(A537,A536:A1135,[1]Sheet3!AA171:AA770)</f>
        <v>0</v>
      </c>
      <c r="V537" t="str">
        <f>_xlfn.XLOOKUP(A537,A536:A1135,[1]Sheet3!AC171:AC770)</f>
        <v>Delivered</v>
      </c>
      <c r="W537" s="5">
        <f>_xlfn.XLOOKUP(A537,A536:A1135,[1]Sheet3!AE171:AE770)</f>
        <v>5</v>
      </c>
    </row>
    <row r="538" spans="1:23" x14ac:dyDescent="0.35">
      <c r="A538" t="s">
        <v>436</v>
      </c>
      <c r="B538" s="1">
        <f>_xlfn.XLOOKUP(A538,A537:A1136,[1]Sheet3!C163:C762)</f>
        <v>45477</v>
      </c>
      <c r="C538" t="str">
        <f>_xlfn.XLOOKUP(A538,A537:A1136,[1]Sheet3!D163:D762)</f>
        <v>CUST59409</v>
      </c>
      <c r="D538" t="str">
        <f>_xlfn.XLOOKUP(A538,A537:A1136,[1]Sheet3!E163:E762)</f>
        <v>Sanjay Rao</v>
      </c>
      <c r="E538" s="5">
        <f>_xlfn.XLOOKUP(A538,A537:A1136,[1]Sheet3!G163:G762)</f>
        <v>49</v>
      </c>
      <c r="F538" t="str">
        <f>_xlfn.XLOOKUP('Retail Sales'!A164,'Retail Sales'!A163:A762,[1]Sheet3!H163:H762)</f>
        <v>Adult</v>
      </c>
      <c r="G538" t="str">
        <f>_xlfn.XLOOKUP(A538,A537:A1136,[1]Sheet3!J163:J762)</f>
        <v>Male</v>
      </c>
      <c r="H538" t="str">
        <f>_xlfn.XLOOKUP(A538,A537:A1136,[1]Sheet3!K163:K762)</f>
        <v>Central</v>
      </c>
      <c r="I538" t="str">
        <f>_xlfn.XLOOKUP(A538,A537:A1136,[1]Sheet3!L163:L762)</f>
        <v>Raipur</v>
      </c>
      <c r="J538" t="str">
        <f>_xlfn.XLOOKUP(A538,A537:A1136,[1]Sheet3!M163:M762)</f>
        <v>Books</v>
      </c>
      <c r="K538" t="str">
        <f>_xlfn.XLOOKUP('Retail Sales'!A164,'Retail Sales'!A163:A762,[1]Sheet3!N163:N762)</f>
        <v>Biography</v>
      </c>
      <c r="L538" s="5">
        <f>_xlfn.XLOOKUP(A538,A537:A1136,[1]Sheet3!P163:P762)</f>
        <v>8</v>
      </c>
      <c r="M538" s="7">
        <f>_xlfn.XLOOKUP(A538,A537:A1136,[1]Sheet3!Q163:Q762)</f>
        <v>1499.77</v>
      </c>
      <c r="N538" s="9">
        <f>_xlfn.XLOOKUP(A538,A537:A1136,[1]Sheet3!S163:S762)</f>
        <v>0.37</v>
      </c>
      <c r="O538" s="7">
        <f>_xlfn.XLOOKUP(A538,A537:A1136,[1]Sheet3!T163:T762)</f>
        <v>11632.7</v>
      </c>
      <c r="P538" s="7">
        <f>_xlfn.XLOOKUP(A538,A537:A1136,[1]Sheet3!U163:U762)</f>
        <v>4863.95</v>
      </c>
      <c r="Q538" s="11">
        <f>_xlfn.XLOOKUP(A538,A537:A1136,[1]Sheet3!V163:V762)</f>
        <v>0.41812734790719264</v>
      </c>
      <c r="R538" s="7">
        <f>_xlfn.XLOOKUP(A538,A537:A1136,[1]Sheet3!W163:W762)</f>
        <v>68.319999999999993</v>
      </c>
      <c r="S538" t="str">
        <f>_xlfn.XLOOKUP(A538,A537:A1136,[1]Sheet3!X163:X762)</f>
        <v>UPI</v>
      </c>
      <c r="T538" s="5">
        <f>_xlfn.XLOOKUP(A538,A537:A1136,[1]Sheet3!Z163:Z762)</f>
        <v>5</v>
      </c>
      <c r="U538" t="b">
        <f>_xlfn.XLOOKUP(A538,A537:A1136,[1]Sheet3!AA163:AA762)</f>
        <v>0</v>
      </c>
      <c r="V538" t="str">
        <f>_xlfn.XLOOKUP(A538,A537:A1136,[1]Sheet3!AC163:AC762)</f>
        <v>Delivered</v>
      </c>
      <c r="W538" s="5">
        <f>_xlfn.XLOOKUP(A538,A537:A1136,[1]Sheet3!AE163:AE762)</f>
        <v>5</v>
      </c>
    </row>
    <row r="539" spans="1:23" x14ac:dyDescent="0.35">
      <c r="A539" t="s">
        <v>571</v>
      </c>
      <c r="B539" s="1">
        <f>_xlfn.XLOOKUP(A539,A538:A1137,[1]Sheet3!C28:C627)</f>
        <v>45480</v>
      </c>
      <c r="C539" t="str">
        <f>_xlfn.XLOOKUP(A539,A538:A1137,[1]Sheet3!D28:D627)</f>
        <v>CUST28954</v>
      </c>
      <c r="D539" t="str">
        <f>_xlfn.XLOOKUP(A539,A538:A1137,[1]Sheet3!E28:E627)</f>
        <v>Nikhil Bose</v>
      </c>
      <c r="E539" s="5">
        <f>_xlfn.XLOOKUP(A539,A538:A1137,[1]Sheet3!G28:G627)</f>
        <v>35</v>
      </c>
      <c r="F539" t="str">
        <f>_xlfn.XLOOKUP('Retail Sales'!A29,'Retail Sales'!A28:A627,[1]Sheet3!H28:H627)</f>
        <v>Young Adult</v>
      </c>
      <c r="G539" t="str">
        <f>_xlfn.XLOOKUP(A539,A538:A1137,[1]Sheet3!J28:J627)</f>
        <v>Female</v>
      </c>
      <c r="H539" t="str">
        <f>_xlfn.XLOOKUP(A539,A538:A1137,[1]Sheet3!K28:K627)</f>
        <v>Central</v>
      </c>
      <c r="I539" t="str">
        <f>_xlfn.XLOOKUP(A539,A538:A1137,[1]Sheet3!L28:L627)</f>
        <v>Bhopal</v>
      </c>
      <c r="J539" t="str">
        <f>_xlfn.XLOOKUP(A539,A538:A1137,[1]Sheet3!M28:M627)</f>
        <v>Clothing</v>
      </c>
      <c r="K539" t="str">
        <f>_xlfn.XLOOKUP('Retail Sales'!A29,'Retail Sales'!A28:A627,[1]Sheet3!N28:N627)</f>
        <v>T-Shirt</v>
      </c>
      <c r="L539" s="5">
        <f>_xlfn.XLOOKUP(A539,A538:A1137,[1]Sheet3!P28:P627)</f>
        <v>2</v>
      </c>
      <c r="M539" s="7">
        <f>_xlfn.XLOOKUP(A539,A538:A1137,[1]Sheet3!Q28:Q627)</f>
        <v>735.25</v>
      </c>
      <c r="N539" s="9">
        <f>_xlfn.XLOOKUP(A539,A538:A1137,[1]Sheet3!S28:S627)</f>
        <v>0.03</v>
      </c>
      <c r="O539" s="7">
        <f>_xlfn.XLOOKUP(A539,A538:A1137,[1]Sheet3!T28:T627)</f>
        <v>2477.7199999999998</v>
      </c>
      <c r="P539" s="7">
        <f>_xlfn.XLOOKUP(A539,A538:A1137,[1]Sheet3!U28:U627)</f>
        <v>795.65</v>
      </c>
      <c r="Q539" s="11">
        <f>_xlfn.XLOOKUP(A539,A538:A1137,[1]Sheet3!V28:V627)</f>
        <v>0.32112183781863973</v>
      </c>
      <c r="R539" s="7">
        <f>_xlfn.XLOOKUP(A539,A538:A1137,[1]Sheet3!W28:W627)</f>
        <v>74.95</v>
      </c>
      <c r="S539" t="str">
        <f>_xlfn.XLOOKUP(A539,A538:A1137,[1]Sheet3!X28:X627)</f>
        <v>UPI</v>
      </c>
      <c r="T539" s="5">
        <f>_xlfn.XLOOKUP(A539,A538:A1137,[1]Sheet3!Z28:Z627)</f>
        <v>5</v>
      </c>
      <c r="U539" t="b">
        <f>_xlfn.XLOOKUP(A539,A538:A1137,[1]Sheet3!AA28:AA627)</f>
        <v>0</v>
      </c>
      <c r="V539" t="str">
        <f>_xlfn.XLOOKUP(A539,A538:A1137,[1]Sheet3!AC28:AC627)</f>
        <v>Delivered</v>
      </c>
      <c r="W539" s="5">
        <f>_xlfn.XLOOKUP(A539,A538:A1137,[1]Sheet3!AE28:AE627)</f>
        <v>8</v>
      </c>
    </row>
    <row r="540" spans="1:23" x14ac:dyDescent="0.35">
      <c r="A540" t="s">
        <v>158</v>
      </c>
      <c r="B540" s="1">
        <f>_xlfn.XLOOKUP(A540,A539:A1138,[1]Sheet3!C441:C1040)</f>
        <v>45482</v>
      </c>
      <c r="C540" t="str">
        <f>_xlfn.XLOOKUP(A540,A539:A1138,[1]Sheet3!D441:D1040)</f>
        <v>CUST19882</v>
      </c>
      <c r="D540" t="str">
        <f>_xlfn.XLOOKUP(A540,A539:A1138,[1]Sheet3!E441:E1040)</f>
        <v>Sanjay Gupta</v>
      </c>
      <c r="E540" s="5">
        <f>_xlfn.XLOOKUP(A540,A539:A1138,[1]Sheet3!G441:G1040)</f>
        <v>30</v>
      </c>
      <c r="F540" t="str">
        <f>_xlfn.XLOOKUP('Retail Sales'!A442,'Retail Sales'!A441:A1040,[1]Sheet3!H441:H1040)</f>
        <v>Young Adult</v>
      </c>
      <c r="G540" t="str">
        <f>_xlfn.XLOOKUP(A540,A539:A1138,[1]Sheet3!J441:J1040)</f>
        <v>Male</v>
      </c>
      <c r="H540" t="str">
        <f>_xlfn.XLOOKUP(A540,A539:A1138,[1]Sheet3!K441:K1040)</f>
        <v>North</v>
      </c>
      <c r="I540" t="str">
        <f>_xlfn.XLOOKUP(A540,A539:A1138,[1]Sheet3!L441:L1040)</f>
        <v>Chandigarh</v>
      </c>
      <c r="J540" t="str">
        <f>_xlfn.XLOOKUP(A540,A539:A1138,[1]Sheet3!M441:M1040)</f>
        <v>Electronics</v>
      </c>
      <c r="K540" t="str">
        <f>_xlfn.XLOOKUP('Retail Sales'!A442,'Retail Sales'!A441:A1040,[1]Sheet3!N441:N1040)</f>
        <v>Headphones</v>
      </c>
      <c r="L540" s="5">
        <f>_xlfn.XLOOKUP(A540,A539:A1138,[1]Sheet3!P441:P1040)</f>
        <v>3</v>
      </c>
      <c r="M540" s="7">
        <f>_xlfn.XLOOKUP(A540,A539:A1138,[1]Sheet3!Q441:Q1040)</f>
        <v>39483.93</v>
      </c>
      <c r="N540" s="9">
        <f>_xlfn.XLOOKUP(A540,A539:A1138,[1]Sheet3!S441:S1040)</f>
        <v>0.01</v>
      </c>
      <c r="O540" s="7">
        <f>_xlfn.XLOOKUP(A540,A539:A1138,[1]Sheet3!T441:T1040)</f>
        <v>188221.16</v>
      </c>
      <c r="P540" s="7">
        <f>_xlfn.XLOOKUP(A540,A539:A1138,[1]Sheet3!U441:U1040)</f>
        <v>17116.650000000001</v>
      </c>
      <c r="Q540" s="11">
        <f>_xlfn.XLOOKUP(A540,A539:A1138,[1]Sheet3!V441:V1040)</f>
        <v>9.0939031509528478E-2</v>
      </c>
      <c r="R540" s="7">
        <f>_xlfn.XLOOKUP(A540,A539:A1138,[1]Sheet3!W441:W1040)</f>
        <v>68.56</v>
      </c>
      <c r="S540" t="str">
        <f>_xlfn.XLOOKUP(A540,A539:A1138,[1]Sheet3!X441:X1040)</f>
        <v>UPI</v>
      </c>
      <c r="T540" s="5">
        <f>_xlfn.XLOOKUP(A540,A539:A1138,[1]Sheet3!Z441:Z1040)</f>
        <v>3</v>
      </c>
      <c r="U540" t="b">
        <f>_xlfn.XLOOKUP(A540,A539:A1138,[1]Sheet3!AA441:AA1040)</f>
        <v>1</v>
      </c>
      <c r="V540" t="str">
        <f>_xlfn.XLOOKUP(A540,A539:A1138,[1]Sheet3!AC441:AC1040)</f>
        <v>Returned</v>
      </c>
      <c r="W540" s="5">
        <f>_xlfn.XLOOKUP(A540,A539:A1138,[1]Sheet3!AE441:AE1040)</f>
        <v>2</v>
      </c>
    </row>
    <row r="541" spans="1:23" x14ac:dyDescent="0.35">
      <c r="A541" t="s">
        <v>22</v>
      </c>
      <c r="B541" s="1">
        <f>_xlfn.XLOOKUP(A541,A540:A1139,[1]Sheet3!C577:C1176)</f>
        <v>45484</v>
      </c>
      <c r="C541" t="str">
        <f>_xlfn.XLOOKUP(A541,A540:A1139,[1]Sheet3!D577:D1176)</f>
        <v>CUST68786</v>
      </c>
      <c r="D541" t="str">
        <f>_xlfn.XLOOKUP(A541,A540:A1139,[1]Sheet3!E577:E1176)</f>
        <v>Rahul Sharma</v>
      </c>
      <c r="E541" s="5">
        <f>_xlfn.XLOOKUP(A541,A540:A1139,[1]Sheet3!G577:G1176)</f>
        <v>38</v>
      </c>
      <c r="F541" t="str">
        <f>_xlfn.XLOOKUP('Retail Sales'!A578,'Retail Sales'!A577:A1176,[1]Sheet3!H577:H1176)</f>
        <v>Adult</v>
      </c>
      <c r="G541" t="str">
        <f>_xlfn.XLOOKUP(A541,A540:A1139,[1]Sheet3!J577:J1176)</f>
        <v>Other</v>
      </c>
      <c r="H541" t="str">
        <f>_xlfn.XLOOKUP(A541,A540:A1139,[1]Sheet3!K577:K1176)</f>
        <v>West</v>
      </c>
      <c r="I541" t="str">
        <f>_xlfn.XLOOKUP(A541,A540:A1139,[1]Sheet3!L577:L1176)</f>
        <v>Mumbai</v>
      </c>
      <c r="J541" t="str">
        <f>_xlfn.XLOOKUP(A541,A540:A1139,[1]Sheet3!M577:M1176)</f>
        <v>Sports</v>
      </c>
      <c r="K541" t="str">
        <f>_xlfn.XLOOKUP('Retail Sales'!A578,'Retail Sales'!A577:A1176,[1]Sheet3!N577:N1176)</f>
        <v>Football</v>
      </c>
      <c r="L541" s="5">
        <f>_xlfn.XLOOKUP(A541,A540:A1139,[1]Sheet3!P577:P1176)</f>
        <v>2</v>
      </c>
      <c r="M541" s="7">
        <f>_xlfn.XLOOKUP(A541,A540:A1139,[1]Sheet3!Q577:Q1176)</f>
        <v>13574.46</v>
      </c>
      <c r="N541" s="9">
        <f>_xlfn.XLOOKUP(A541,A540:A1139,[1]Sheet3!S577:S1176)</f>
        <v>0.31</v>
      </c>
      <c r="O541" s="7">
        <f>_xlfn.XLOOKUP(A541,A540:A1139,[1]Sheet3!T577:T1176)</f>
        <v>32632.91</v>
      </c>
      <c r="P541" s="7">
        <f>_xlfn.XLOOKUP(A541,A540:A1139,[1]Sheet3!U577:U1176)</f>
        <v>9812.2999999999993</v>
      </c>
      <c r="Q541" s="11">
        <f>_xlfn.XLOOKUP(A541,A540:A1139,[1]Sheet3!V577:V1176)</f>
        <v>0.30068725099906812</v>
      </c>
      <c r="R541" s="7">
        <f>_xlfn.XLOOKUP(A541,A540:A1139,[1]Sheet3!W577:W1176)</f>
        <v>49.47</v>
      </c>
      <c r="S541" t="str">
        <f>_xlfn.XLOOKUP(A541,A540:A1139,[1]Sheet3!X577:X1176)</f>
        <v>Net Banking</v>
      </c>
      <c r="T541" s="5">
        <f>_xlfn.XLOOKUP(A541,A540:A1139,[1]Sheet3!Z577:Z1176)</f>
        <v>3</v>
      </c>
      <c r="U541" t="b">
        <f>_xlfn.XLOOKUP(A541,A540:A1139,[1]Sheet3!AA577:AA1176)</f>
        <v>0</v>
      </c>
      <c r="V541" t="str">
        <f>_xlfn.XLOOKUP(A541,A540:A1139,[1]Sheet3!AC577:AC1176)</f>
        <v>Delivered</v>
      </c>
      <c r="W541" s="5">
        <f>_xlfn.XLOOKUP(A541,A540:A1139,[1]Sheet3!AE577:AE1176)</f>
        <v>7</v>
      </c>
    </row>
    <row r="542" spans="1:23" x14ac:dyDescent="0.35">
      <c r="A542" t="s">
        <v>487</v>
      </c>
      <c r="B542" s="1">
        <f>_xlfn.XLOOKUP(A542,A541:A1140,[1]Sheet3!C112:C711)</f>
        <v>45485</v>
      </c>
      <c r="C542" t="str">
        <f>_xlfn.XLOOKUP(A542,A541:A1140,[1]Sheet3!D112:D711)</f>
        <v>CUST42902</v>
      </c>
      <c r="D542" t="str">
        <f>_xlfn.XLOOKUP(A542,A541:A1140,[1]Sheet3!E112:E711)</f>
        <v>Rahul Kumar</v>
      </c>
      <c r="E542" s="5">
        <f>_xlfn.XLOOKUP(A542,A541:A1140,[1]Sheet3!G112:G711)</f>
        <v>50</v>
      </c>
      <c r="F542" t="str">
        <f>_xlfn.XLOOKUP('Retail Sales'!A113,'Retail Sales'!A112:A711,[1]Sheet3!H112:H711)</f>
        <v>Adult</v>
      </c>
      <c r="G542" t="str">
        <f>_xlfn.XLOOKUP(A542,A541:A1140,[1]Sheet3!J112:J711)</f>
        <v>Other</v>
      </c>
      <c r="H542" t="str">
        <f>_xlfn.XLOOKUP(A542,A541:A1140,[1]Sheet3!K112:K711)</f>
        <v>South</v>
      </c>
      <c r="I542" t="str">
        <f>_xlfn.XLOOKUP(A542,A541:A1140,[1]Sheet3!L112:L711)</f>
        <v>Hyderabad</v>
      </c>
      <c r="J542" t="str">
        <f>_xlfn.XLOOKUP(A542,A541:A1140,[1]Sheet3!M112:M711)</f>
        <v>Groceries</v>
      </c>
      <c r="K542" t="str">
        <f>_xlfn.XLOOKUP('Retail Sales'!A113,'Retail Sales'!A112:A711,[1]Sheet3!N112:N711)</f>
        <v>Sugar</v>
      </c>
      <c r="L542" s="5">
        <f>_xlfn.XLOOKUP(A542,A541:A1140,[1]Sheet3!P112:P711)</f>
        <v>7.0954861111111107</v>
      </c>
      <c r="M542" s="7">
        <f>_xlfn.XLOOKUP(A542,A541:A1140,[1]Sheet3!Q112:Q711)</f>
        <v>84.21</v>
      </c>
      <c r="N542" s="9">
        <f>_xlfn.XLOOKUP(A542,A541:A1140,[1]Sheet3!S112:S711)</f>
        <v>0.13</v>
      </c>
      <c r="O542" s="7">
        <f>_xlfn.XLOOKUP(A542,A541:A1140,[1]Sheet3!T112:T711)</f>
        <v>125.78</v>
      </c>
      <c r="P542" s="7">
        <f>_xlfn.XLOOKUP(A542,A541:A1140,[1]Sheet3!U112:U711)</f>
        <v>8.9</v>
      </c>
      <c r="Q542" s="11">
        <f>_xlfn.XLOOKUP(A542,A541:A1140,[1]Sheet3!V112:V711)</f>
        <v>7.0758467164891078E-2</v>
      </c>
      <c r="R542" s="7">
        <f>_xlfn.XLOOKUP(A542,A541:A1140,[1]Sheet3!W112:W711)</f>
        <v>47.91</v>
      </c>
      <c r="S542" t="str">
        <f>_xlfn.XLOOKUP(A542,A541:A1140,[1]Sheet3!X112:X711)</f>
        <v>Cash on Delivery</v>
      </c>
      <c r="T542" s="5">
        <f>_xlfn.XLOOKUP(A542,A541:A1140,[1]Sheet3!Z112:Z711)</f>
        <v>4</v>
      </c>
      <c r="U542" t="b">
        <f>_xlfn.XLOOKUP(A542,A541:A1140,[1]Sheet3!AA112:AA711)</f>
        <v>0</v>
      </c>
      <c r="V542" t="str">
        <f>_xlfn.XLOOKUP(A542,A541:A1140,[1]Sheet3!AC112:AC711)</f>
        <v>Delivered</v>
      </c>
      <c r="W542" s="5">
        <f>_xlfn.XLOOKUP(A542,A541:A1140,[1]Sheet3!AE112:AE711)</f>
        <v>2</v>
      </c>
    </row>
    <row r="543" spans="1:23" x14ac:dyDescent="0.35">
      <c r="A543" t="s">
        <v>419</v>
      </c>
      <c r="B543" s="1">
        <f>_xlfn.XLOOKUP(A543,A542:A1141,[1]Sheet3!C180:C779)</f>
        <v>45494</v>
      </c>
      <c r="C543" t="str">
        <f>_xlfn.XLOOKUP(A543,A542:A1141,[1]Sheet3!D180:D779)</f>
        <v>CUST65889</v>
      </c>
      <c r="D543" t="str">
        <f>_xlfn.XLOOKUP(A543,A542:A1141,[1]Sheet3!E180:E779)</f>
        <v>Priya Verma</v>
      </c>
      <c r="E543" s="5">
        <f>_xlfn.XLOOKUP(A543,A542:A1141,[1]Sheet3!G180:G779)</f>
        <v>52</v>
      </c>
      <c r="F543" t="str">
        <f>_xlfn.XLOOKUP('Retail Sales'!A181,'Retail Sales'!A180:A779,[1]Sheet3!H180:H779)</f>
        <v>Senior</v>
      </c>
      <c r="G543" t="str">
        <f>_xlfn.XLOOKUP(A543,A542:A1141,[1]Sheet3!J180:J779)</f>
        <v>Female</v>
      </c>
      <c r="H543" t="str">
        <f>_xlfn.XLOOKUP(A543,A542:A1141,[1]Sheet3!K180:K779)</f>
        <v>Central</v>
      </c>
      <c r="I543" t="str">
        <f>_xlfn.XLOOKUP(A543,A542:A1141,[1]Sheet3!L180:L779)</f>
        <v>Indore</v>
      </c>
      <c r="J543" t="str">
        <f>_xlfn.XLOOKUP(A543,A542:A1141,[1]Sheet3!M180:M779)</f>
        <v>Groceries</v>
      </c>
      <c r="K543" t="str">
        <f>_xlfn.XLOOKUP('Retail Sales'!A181,'Retail Sales'!A180:A779,[1]Sheet3!N180:N779)</f>
        <v>Sugar</v>
      </c>
      <c r="L543" s="5">
        <f>_xlfn.XLOOKUP(A543,A542:A1141,[1]Sheet3!P180:P779)</f>
        <v>6</v>
      </c>
      <c r="M543" s="7">
        <f>_xlfn.XLOOKUP(A543,A542:A1141,[1]Sheet3!Q180:Q779)</f>
        <v>462.8</v>
      </c>
      <c r="N543" s="9">
        <f>_xlfn.XLOOKUP(A543,A542:A1141,[1]Sheet3!S180:S779)</f>
        <v>0.2</v>
      </c>
      <c r="O543" s="7">
        <f>_xlfn.XLOOKUP(A543,A542:A1141,[1]Sheet3!T180:T779)</f>
        <v>3702.45</v>
      </c>
      <c r="P543" s="7">
        <f>_xlfn.XLOOKUP(A543,A542:A1141,[1]Sheet3!U180:U779)</f>
        <v>265.27999999999997</v>
      </c>
      <c r="Q543" s="11">
        <f>_xlfn.XLOOKUP(A543,A542:A1141,[1]Sheet3!V180:V779)</f>
        <v>7.1649853475401426E-2</v>
      </c>
      <c r="R543" s="7">
        <f>_xlfn.XLOOKUP(A543,A542:A1141,[1]Sheet3!W180:W779)</f>
        <v>81.010000000000005</v>
      </c>
      <c r="S543" t="str">
        <f>_xlfn.XLOOKUP(A543,A542:A1141,[1]Sheet3!X180:X779)</f>
        <v>Cash on Delivery</v>
      </c>
      <c r="T543" s="5">
        <f>_xlfn.XLOOKUP(A543,A542:A1141,[1]Sheet3!Z180:Z779)</f>
        <v>4</v>
      </c>
      <c r="U543" t="b">
        <f>_xlfn.XLOOKUP(A543,A542:A1141,[1]Sheet3!AA180:AA779)</f>
        <v>0</v>
      </c>
      <c r="V543" t="str">
        <f>_xlfn.XLOOKUP(A543,A542:A1141,[1]Sheet3!AC180:AC779)</f>
        <v>Delivered</v>
      </c>
      <c r="W543" s="5">
        <f>_xlfn.XLOOKUP(A543,A542:A1141,[1]Sheet3!AE180:AE779)</f>
        <v>7</v>
      </c>
    </row>
    <row r="544" spans="1:23" x14ac:dyDescent="0.35">
      <c r="A544" t="s">
        <v>301</v>
      </c>
      <c r="B544" s="1">
        <f>_xlfn.XLOOKUP(A544,A543:A1142,[1]Sheet3!C298:C897)</f>
        <v>45494</v>
      </c>
      <c r="C544" t="str">
        <f>_xlfn.XLOOKUP(A544,A543:A1142,[1]Sheet3!D298:D897)</f>
        <v>CUST13500</v>
      </c>
      <c r="D544" t="str">
        <f>_xlfn.XLOOKUP(A544,A543:A1142,[1]Sheet3!E298:E897)</f>
        <v>Amit Patel</v>
      </c>
      <c r="E544" s="5">
        <f>_xlfn.XLOOKUP(A544,A543:A1142,[1]Sheet3!G298:G897)</f>
        <v>26</v>
      </c>
      <c r="F544" t="str">
        <f>_xlfn.XLOOKUP('Retail Sales'!A299,'Retail Sales'!A298:A897,[1]Sheet3!H298:H897)</f>
        <v>Young Adult</v>
      </c>
      <c r="G544" t="str">
        <f>_xlfn.XLOOKUP(A544,A543:A1142,[1]Sheet3!J298:J897)</f>
        <v>Other</v>
      </c>
      <c r="H544" t="str">
        <f>_xlfn.XLOOKUP(A544,A543:A1142,[1]Sheet3!K298:K897)</f>
        <v>North</v>
      </c>
      <c r="I544" t="str">
        <f>_xlfn.XLOOKUP(A544,A543:A1142,[1]Sheet3!L298:L897)</f>
        <v>Chandigarh</v>
      </c>
      <c r="J544" t="str">
        <f>_xlfn.XLOOKUP(A544,A543:A1142,[1]Sheet3!M298:M897)</f>
        <v>Groceries</v>
      </c>
      <c r="K544" t="str">
        <f>_xlfn.XLOOKUP('Retail Sales'!A299,'Retail Sales'!A298:A897,[1]Sheet3!N298:N897)</f>
        <v>Flour</v>
      </c>
      <c r="L544" s="5">
        <f>_xlfn.XLOOKUP(A544,A543:A1142,[1]Sheet3!P298:P897)</f>
        <v>6</v>
      </c>
      <c r="M544" s="7">
        <f>_xlfn.XLOOKUP(A544,A543:A1142,[1]Sheet3!Q298:Q897)</f>
        <v>112.85</v>
      </c>
      <c r="N544" s="9">
        <f>_xlfn.XLOOKUP(A544,A543:A1142,[1]Sheet3!S298:S897)</f>
        <v>0.13</v>
      </c>
      <c r="O544" s="7">
        <f>_xlfn.XLOOKUP(A544,A543:A1142,[1]Sheet3!T298:T897)</f>
        <v>1196.1099999999999</v>
      </c>
      <c r="P544" s="7">
        <f>_xlfn.XLOOKUP(A544,A543:A1142,[1]Sheet3!U298:U897)</f>
        <v>116.49</v>
      </c>
      <c r="Q544" s="11">
        <f>_xlfn.XLOOKUP(A544,A543:A1142,[1]Sheet3!V298:V897)</f>
        <v>9.7390708212455379E-2</v>
      </c>
      <c r="R544" s="7">
        <f>_xlfn.XLOOKUP(A544,A543:A1142,[1]Sheet3!W298:W897)</f>
        <v>40.89</v>
      </c>
      <c r="S544" t="str">
        <f>_xlfn.XLOOKUP(A544,A543:A1142,[1]Sheet3!X298:X897)</f>
        <v>Cash on Delivery</v>
      </c>
      <c r="T544" s="5">
        <f>_xlfn.XLOOKUP(A544,A543:A1142,[1]Sheet3!Z298:Z897)</f>
        <v>5</v>
      </c>
      <c r="U544" t="b">
        <f>_xlfn.XLOOKUP(A544,A543:A1142,[1]Sheet3!AA298:AA897)</f>
        <v>1</v>
      </c>
      <c r="V544" t="str">
        <f>_xlfn.XLOOKUP(A544,A543:A1142,[1]Sheet3!AC298:AC897)</f>
        <v>Returned</v>
      </c>
      <c r="W544" s="5">
        <f>_xlfn.XLOOKUP(A544,A543:A1142,[1]Sheet3!AE298:AE897)</f>
        <v>8</v>
      </c>
    </row>
    <row r="545" spans="1:23" x14ac:dyDescent="0.35">
      <c r="A545" t="s">
        <v>342</v>
      </c>
      <c r="B545" s="1">
        <f>_xlfn.XLOOKUP(A545,A544:A1143,[1]Sheet3!C257:C856)</f>
        <v>45499</v>
      </c>
      <c r="C545" t="str">
        <f>_xlfn.XLOOKUP(A545,A544:A1143,[1]Sheet3!D257:D856)</f>
        <v>CUST12042</v>
      </c>
      <c r="D545" t="str">
        <f>_xlfn.XLOOKUP(A545,A544:A1143,[1]Sheet3!E257:E856)</f>
        <v>Vikram Reddy</v>
      </c>
      <c r="E545" s="5">
        <f>_xlfn.XLOOKUP(A545,A544:A1143,[1]Sheet3!G257:G856)</f>
        <v>39</v>
      </c>
      <c r="F545" t="str">
        <f>_xlfn.XLOOKUP('Retail Sales'!A258,'Retail Sales'!A257:A856,[1]Sheet3!H257:H856)</f>
        <v>Adult</v>
      </c>
      <c r="G545" t="str">
        <f>_xlfn.XLOOKUP(A545,A544:A1143,[1]Sheet3!J257:J856)</f>
        <v>Male</v>
      </c>
      <c r="H545" t="str">
        <f>_xlfn.XLOOKUP(A545,A544:A1143,[1]Sheet3!K257:K856)</f>
        <v>North</v>
      </c>
      <c r="I545" t="str">
        <f>_xlfn.XLOOKUP(A545,A544:A1143,[1]Sheet3!L257:L856)</f>
        <v>Amritsar</v>
      </c>
      <c r="J545" t="str">
        <f>_xlfn.XLOOKUP(A545,A544:A1143,[1]Sheet3!M257:M856)</f>
        <v>Groceries</v>
      </c>
      <c r="K545" t="str">
        <f>_xlfn.XLOOKUP('Retail Sales'!A258,'Retail Sales'!A257:A856,[1]Sheet3!N257:N856)</f>
        <v>Cooking Oil</v>
      </c>
      <c r="L545" s="5">
        <f>_xlfn.XLOOKUP(A545,A544:A1143,[1]Sheet3!P257:P856)</f>
        <v>2</v>
      </c>
      <c r="M545" s="7">
        <f>_xlfn.XLOOKUP(A545,A544:A1143,[1]Sheet3!Q257:Q856)</f>
        <v>92.87</v>
      </c>
      <c r="N545" s="9">
        <f>_xlfn.XLOOKUP(A545,A544:A1143,[1]Sheet3!S257:S856)</f>
        <v>0.33</v>
      </c>
      <c r="O545" s="7">
        <f>_xlfn.XLOOKUP(A545,A544:A1143,[1]Sheet3!T257:T856)</f>
        <v>179.13</v>
      </c>
      <c r="P545" s="7">
        <f>_xlfn.XLOOKUP(A545,A544:A1143,[1]Sheet3!U257:U856)</f>
        <v>19.37</v>
      </c>
      <c r="Q545" s="11">
        <f>_xlfn.XLOOKUP(A545,A544:A1143,[1]Sheet3!V257:V856)</f>
        <v>0.10813375760620779</v>
      </c>
      <c r="R545" s="7">
        <f>_xlfn.XLOOKUP(A545,A544:A1143,[1]Sheet3!W257:W856)</f>
        <v>36.78</v>
      </c>
      <c r="S545" t="str">
        <f>_xlfn.XLOOKUP(A545,A544:A1143,[1]Sheet3!X257:X856)</f>
        <v>EMI</v>
      </c>
      <c r="T545" s="5">
        <f>_xlfn.XLOOKUP(A545,A544:A1143,[1]Sheet3!Z257:Z856)</f>
        <v>3</v>
      </c>
      <c r="U545" t="b">
        <f>_xlfn.XLOOKUP(A545,A544:A1143,[1]Sheet3!AA257:AA856)</f>
        <v>0</v>
      </c>
      <c r="V545" t="str">
        <f>_xlfn.XLOOKUP(A545,A544:A1143,[1]Sheet3!AC257:AC856)</f>
        <v>Cancelled</v>
      </c>
      <c r="W545" s="5">
        <f>_xlfn.XLOOKUP(A545,A544:A1143,[1]Sheet3!AE257:AE856)</f>
        <v>5</v>
      </c>
    </row>
    <row r="546" spans="1:23" x14ac:dyDescent="0.35">
      <c r="A546" t="s">
        <v>216</v>
      </c>
      <c r="B546" s="1">
        <f>_xlfn.XLOOKUP(A546,A545:A1144,[1]Sheet3!C383:C982)</f>
        <v>45503</v>
      </c>
      <c r="C546" t="str">
        <f>_xlfn.XLOOKUP(A546,A545:A1144,[1]Sheet3!D383:D982)</f>
        <v>CUST24550</v>
      </c>
      <c r="D546" t="str">
        <f>_xlfn.XLOOKUP(A546,A545:A1144,[1]Sheet3!E383:E982)</f>
        <v>Amit Nair</v>
      </c>
      <c r="E546" s="5">
        <f>_xlfn.XLOOKUP(A546,A545:A1144,[1]Sheet3!G383:G982)</f>
        <v>19</v>
      </c>
      <c r="F546" t="str">
        <f>_xlfn.XLOOKUP('Retail Sales'!A384,'Retail Sales'!A383:A982,[1]Sheet3!H383:H982)</f>
        <v>Teen</v>
      </c>
      <c r="G546" t="str">
        <f>_xlfn.XLOOKUP(A546,A545:A1144,[1]Sheet3!J383:J982)</f>
        <v>Other</v>
      </c>
      <c r="H546" t="str">
        <f>_xlfn.XLOOKUP(A546,A545:A1144,[1]Sheet3!K383:K982)</f>
        <v>West</v>
      </c>
      <c r="I546" t="str">
        <f>_xlfn.XLOOKUP(A546,A545:A1144,[1]Sheet3!L383:L982)</f>
        <v>Pune</v>
      </c>
      <c r="J546" t="str">
        <f>_xlfn.XLOOKUP(A546,A545:A1144,[1]Sheet3!M383:M982)</f>
        <v>Clothing</v>
      </c>
      <c r="K546" t="str">
        <f>_xlfn.XLOOKUP('Retail Sales'!A384,'Retail Sales'!A383:A982,[1]Sheet3!N383:N982)</f>
        <v>Kurta</v>
      </c>
      <c r="L546" s="5">
        <f>_xlfn.XLOOKUP(A546,A545:A1144,[1]Sheet3!P383:P982)</f>
        <v>4</v>
      </c>
      <c r="M546" s="7">
        <f>_xlfn.XLOOKUP(A546,A545:A1144,[1]Sheet3!Q383:Q982)</f>
        <v>2461.65</v>
      </c>
      <c r="N546" s="9">
        <f>_xlfn.XLOOKUP(A546,A545:A1144,[1]Sheet3!S383:S982)</f>
        <v>0.33</v>
      </c>
      <c r="O546" s="7">
        <f>_xlfn.XLOOKUP(A546,A545:A1144,[1]Sheet3!T383:T982)</f>
        <v>9963.8700000000008</v>
      </c>
      <c r="P546" s="7">
        <f>_xlfn.XLOOKUP(A546,A545:A1144,[1]Sheet3!U383:U982)</f>
        <v>2386.31</v>
      </c>
      <c r="Q546" s="11">
        <f>_xlfn.XLOOKUP(A546,A545:A1144,[1]Sheet3!V383:V982)</f>
        <v>0.23949630013237827</v>
      </c>
      <c r="R546" s="7">
        <f>_xlfn.XLOOKUP(A546,A545:A1144,[1]Sheet3!W383:W982)</f>
        <v>85.19</v>
      </c>
      <c r="S546" t="str">
        <f>_xlfn.XLOOKUP(A546,A545:A1144,[1]Sheet3!X383:X982)</f>
        <v>Net Banking</v>
      </c>
      <c r="T546" s="5">
        <f>_xlfn.XLOOKUP(A546,A545:A1144,[1]Sheet3!Z383:Z982)</f>
        <v>4</v>
      </c>
      <c r="U546" t="b">
        <f>_xlfn.XLOOKUP(A546,A545:A1144,[1]Sheet3!AA383:AA982)</f>
        <v>0</v>
      </c>
      <c r="V546" t="str">
        <f>_xlfn.XLOOKUP(A546,A545:A1144,[1]Sheet3!AC383:AC982)</f>
        <v>Delivered</v>
      </c>
      <c r="W546" s="5">
        <f>_xlfn.XLOOKUP(A546,A545:A1144,[1]Sheet3!AE383:AE982)</f>
        <v>1</v>
      </c>
    </row>
    <row r="547" spans="1:23" x14ac:dyDescent="0.35">
      <c r="A547" t="s">
        <v>414</v>
      </c>
      <c r="B547" s="1">
        <f>_xlfn.XLOOKUP(A547,A546:A1145,[1]Sheet3!C185:C784)</f>
        <v>45507</v>
      </c>
      <c r="C547" t="str">
        <f>_xlfn.XLOOKUP(A547,A546:A1145,[1]Sheet3!D185:D784)</f>
        <v>CUST22956</v>
      </c>
      <c r="D547" t="str">
        <f>_xlfn.XLOOKUP(A547,A546:A1145,[1]Sheet3!E185:E784)</f>
        <v>Deepa Chatterjee</v>
      </c>
      <c r="E547" s="5">
        <f>_xlfn.XLOOKUP(A547,A546:A1145,[1]Sheet3!G185:G784)</f>
        <v>32</v>
      </c>
      <c r="F547" t="str">
        <f>_xlfn.XLOOKUP('Retail Sales'!A186,'Retail Sales'!A185:A784,[1]Sheet3!H185:H784)</f>
        <v>Young Adult</v>
      </c>
      <c r="G547" t="str">
        <f>_xlfn.XLOOKUP(A547,A546:A1145,[1]Sheet3!J185:J784)</f>
        <v>Other</v>
      </c>
      <c r="H547" t="str">
        <f>_xlfn.XLOOKUP(A547,A546:A1145,[1]Sheet3!K185:K784)</f>
        <v>West</v>
      </c>
      <c r="I547" t="str">
        <f>_xlfn.XLOOKUP(A547,A546:A1145,[1]Sheet3!L185:L784)</f>
        <v>Surat</v>
      </c>
      <c r="J547" t="str">
        <f>_xlfn.XLOOKUP(A547,A546:A1145,[1]Sheet3!M185:M784)</f>
        <v>Beauty</v>
      </c>
      <c r="K547" t="str">
        <f>_xlfn.XLOOKUP('Retail Sales'!A186,'Retail Sales'!A185:A784,[1]Sheet3!N185:N784)</f>
        <v>Hair Oil</v>
      </c>
      <c r="L547" s="5">
        <f>_xlfn.XLOOKUP(A547,A546:A1145,[1]Sheet3!P185:P784)</f>
        <v>5</v>
      </c>
      <c r="M547" s="7">
        <f>_xlfn.XLOOKUP(A547,A546:A1145,[1]Sheet3!Q185:Q784)</f>
        <v>2341.12</v>
      </c>
      <c r="N547" s="9">
        <f>_xlfn.XLOOKUP(A547,A546:A1145,[1]Sheet3!S185:S784)</f>
        <v>7.0000000000000007E-2</v>
      </c>
      <c r="O547" s="7">
        <f>_xlfn.XLOOKUP(A547,A546:A1145,[1]Sheet3!T185:T784)</f>
        <v>14424.73</v>
      </c>
      <c r="P547" s="7">
        <f>_xlfn.XLOOKUP(A547,A546:A1145,[1]Sheet3!U185:U784)</f>
        <v>7388.44</v>
      </c>
      <c r="Q547" s="11">
        <f>_xlfn.XLOOKUP(A547,A546:A1145,[1]Sheet3!V185:V784)</f>
        <v>0.51220646764272193</v>
      </c>
      <c r="R547" s="7">
        <f>_xlfn.XLOOKUP(A547,A546:A1145,[1]Sheet3!W185:W784)</f>
        <v>70.78</v>
      </c>
      <c r="S547" t="str">
        <f>_xlfn.XLOOKUP(A547,A546:A1145,[1]Sheet3!X185:X784)</f>
        <v>Credit Card</v>
      </c>
      <c r="T547" s="5">
        <f>_xlfn.XLOOKUP(A547,A546:A1145,[1]Sheet3!Z185:Z784)</f>
        <v>3</v>
      </c>
      <c r="U547" t="b">
        <f>_xlfn.XLOOKUP(A547,A546:A1145,[1]Sheet3!AA185:AA784)</f>
        <v>1</v>
      </c>
      <c r="V547" t="str">
        <f>_xlfn.XLOOKUP(A547,A546:A1145,[1]Sheet3!AC185:AC784)</f>
        <v>Returned</v>
      </c>
      <c r="W547" s="5">
        <f>_xlfn.XLOOKUP(A547,A546:A1145,[1]Sheet3!AE185:AE784)</f>
        <v>3</v>
      </c>
    </row>
    <row r="548" spans="1:23" x14ac:dyDescent="0.35">
      <c r="A548" t="s">
        <v>228</v>
      </c>
      <c r="B548" s="1">
        <f>_xlfn.XLOOKUP(A548,A547:A1146,[1]Sheet3!C371:C970)</f>
        <v>45511</v>
      </c>
      <c r="C548" t="str">
        <f>_xlfn.XLOOKUP(A548,A547:A1146,[1]Sheet3!D371:D970)</f>
        <v>CUST07406</v>
      </c>
      <c r="D548" t="str">
        <f>_xlfn.XLOOKUP(A548,A547:A1146,[1]Sheet3!E371:E970)</f>
        <v>Sunita Pillai</v>
      </c>
      <c r="E548" s="5">
        <f>_xlfn.XLOOKUP(A548,A547:A1146,[1]Sheet3!G371:G970)</f>
        <v>54</v>
      </c>
      <c r="F548" t="str">
        <f>_xlfn.XLOOKUP('Retail Sales'!A372,'Retail Sales'!A371:A970,[1]Sheet3!H371:H970)</f>
        <v>Senior</v>
      </c>
      <c r="G548" t="str">
        <f>_xlfn.XLOOKUP(A548,A547:A1146,[1]Sheet3!J371:J970)</f>
        <v>Other</v>
      </c>
      <c r="H548" t="str">
        <f>_xlfn.XLOOKUP(A548,A547:A1146,[1]Sheet3!K371:K970)</f>
        <v>West</v>
      </c>
      <c r="I548" t="str">
        <f>_xlfn.XLOOKUP(A548,A547:A1146,[1]Sheet3!L371:L970)</f>
        <v>Pune</v>
      </c>
      <c r="J548" t="str">
        <f>_xlfn.XLOOKUP(A548,A547:A1146,[1]Sheet3!M371:M970)</f>
        <v>Clothing</v>
      </c>
      <c r="K548" t="str">
        <f>_xlfn.XLOOKUP('Retail Sales'!A372,'Retail Sales'!A371:A970,[1]Sheet3!N371:N970)</f>
        <v>Jeans</v>
      </c>
      <c r="L548" s="5">
        <f>_xlfn.XLOOKUP(A548,A547:A1146,[1]Sheet3!P371:P970)</f>
        <v>7.0954861111111107</v>
      </c>
      <c r="M548" s="7">
        <f>_xlfn.XLOOKUP(A548,A547:A1146,[1]Sheet3!Q371:Q970)</f>
        <v>545.99</v>
      </c>
      <c r="N548" s="9">
        <f>_xlfn.XLOOKUP(A548,A547:A1146,[1]Sheet3!S371:S970)</f>
        <v>0.34</v>
      </c>
      <c r="O548" s="7">
        <f>_xlfn.XLOOKUP(A548,A547:A1146,[1]Sheet3!T371:T970)</f>
        <v>578.97</v>
      </c>
      <c r="P548" s="7">
        <f>_xlfn.XLOOKUP(A548,A547:A1146,[1]Sheet3!U371:U970)</f>
        <v>183.45</v>
      </c>
      <c r="Q548" s="11">
        <f>_xlfn.XLOOKUP(A548,A547:A1146,[1]Sheet3!V371:V970)</f>
        <v>0.31685579563707961</v>
      </c>
      <c r="R548" s="7">
        <f>_xlfn.XLOOKUP(A548,A547:A1146,[1]Sheet3!W371:W970)</f>
        <v>68.2</v>
      </c>
      <c r="S548" t="str">
        <f>_xlfn.XLOOKUP(A548,A547:A1146,[1]Sheet3!X371:X970)</f>
        <v>Credit Card</v>
      </c>
      <c r="T548" s="5">
        <f>_xlfn.XLOOKUP(A548,A547:A1146,[1]Sheet3!Z371:Z970)</f>
        <v>1</v>
      </c>
      <c r="U548" t="b">
        <f>_xlfn.XLOOKUP(A548,A547:A1146,[1]Sheet3!AA371:AA970)</f>
        <v>0</v>
      </c>
      <c r="V548" t="str">
        <f>_xlfn.XLOOKUP(A548,A547:A1146,[1]Sheet3!AC371:AC970)</f>
        <v>Delivered</v>
      </c>
      <c r="W548" s="5">
        <f>_xlfn.XLOOKUP(A548,A547:A1146,[1]Sheet3!AE371:AE970)</f>
        <v>9</v>
      </c>
    </row>
    <row r="549" spans="1:23" x14ac:dyDescent="0.35">
      <c r="A549" t="s">
        <v>318</v>
      </c>
      <c r="B549" s="1">
        <f>_xlfn.XLOOKUP(A549,A548:A1147,[1]Sheet3!C281:C880)</f>
        <v>45518</v>
      </c>
      <c r="C549" t="str">
        <f>_xlfn.XLOOKUP(A549,A548:A1147,[1]Sheet3!D281:D880)</f>
        <v>CUST14119</v>
      </c>
      <c r="D549" t="str">
        <f>_xlfn.XLOOKUP(A549,A548:A1147,[1]Sheet3!E281:E880)</f>
        <v>Vikram Verma</v>
      </c>
      <c r="E549" s="5">
        <f>_xlfn.XLOOKUP(A549,A548:A1147,[1]Sheet3!G281:G880)</f>
        <v>39</v>
      </c>
      <c r="F549" t="str">
        <f>_xlfn.XLOOKUP('Retail Sales'!A282,'Retail Sales'!A281:A880,[1]Sheet3!H281:H880)</f>
        <v>Adult</v>
      </c>
      <c r="G549" t="str">
        <f>_xlfn.XLOOKUP(A549,A548:A1147,[1]Sheet3!J281:J880)</f>
        <v>Female</v>
      </c>
      <c r="H549" t="str">
        <f>_xlfn.XLOOKUP(A549,A548:A1147,[1]Sheet3!K281:K880)</f>
        <v>West</v>
      </c>
      <c r="I549" t="str">
        <f>_xlfn.XLOOKUP(A549,A548:A1147,[1]Sheet3!L281:L880)</f>
        <v>Mumbai</v>
      </c>
      <c r="J549" t="str">
        <f>_xlfn.XLOOKUP(A549,A548:A1147,[1]Sheet3!M281:M880)</f>
        <v>Books</v>
      </c>
      <c r="K549" t="str">
        <f>_xlfn.XLOOKUP('Retail Sales'!A282,'Retail Sales'!A281:A880,[1]Sheet3!N281:N880)</f>
        <v>Fiction Novel</v>
      </c>
      <c r="L549" s="5">
        <f>_xlfn.XLOOKUP(A549,A548:A1147,[1]Sheet3!P281:P880)</f>
        <v>3</v>
      </c>
      <c r="M549" s="7">
        <f>_xlfn.XLOOKUP(A549,A548:A1147,[1]Sheet3!Q281:Q880)</f>
        <v>705.21</v>
      </c>
      <c r="N549" s="9">
        <f>_xlfn.XLOOKUP(A549,A548:A1147,[1]Sheet3!S281:S880)</f>
        <v>0.14000000000000001</v>
      </c>
      <c r="O549" s="7">
        <f>_xlfn.XLOOKUP(A549,A548:A1147,[1]Sheet3!T281:T880)</f>
        <v>2873.31</v>
      </c>
      <c r="P549" s="7">
        <f>_xlfn.XLOOKUP(A549,A548:A1147,[1]Sheet3!U281:U880)</f>
        <v>1040.42</v>
      </c>
      <c r="Q549" s="11">
        <f>_xlfn.XLOOKUP(A549,A548:A1147,[1]Sheet3!V281:V880)</f>
        <v>0.36209806808175937</v>
      </c>
      <c r="R549" s="7">
        <f>_xlfn.XLOOKUP(A549,A548:A1147,[1]Sheet3!W281:W880)</f>
        <v>76.63</v>
      </c>
      <c r="S549" t="str">
        <f>_xlfn.XLOOKUP(A549,A548:A1147,[1]Sheet3!X281:X880)</f>
        <v>EMI</v>
      </c>
      <c r="T549" s="5">
        <f>_xlfn.XLOOKUP(A549,A548:A1147,[1]Sheet3!Z281:Z880)</f>
        <v>1</v>
      </c>
      <c r="U549" t="b">
        <f>_xlfn.XLOOKUP(A549,A548:A1147,[1]Sheet3!AA281:AA880)</f>
        <v>0</v>
      </c>
      <c r="V549" t="str">
        <f>_xlfn.XLOOKUP(A549,A548:A1147,[1]Sheet3!AC281:AC880)</f>
        <v>Delivered</v>
      </c>
      <c r="W549" s="5">
        <f>_xlfn.XLOOKUP(A549,A548:A1147,[1]Sheet3!AE281:AE880)</f>
        <v>8</v>
      </c>
    </row>
    <row r="550" spans="1:23" x14ac:dyDescent="0.35">
      <c r="A550" t="s">
        <v>408</v>
      </c>
      <c r="B550" s="1">
        <f>_xlfn.XLOOKUP(A550,A549:A1148,[1]Sheet3!C191:C790)</f>
        <v>45518</v>
      </c>
      <c r="C550" t="str">
        <f>_xlfn.XLOOKUP(A550,A549:A1148,[1]Sheet3!D191:D790)</f>
        <v>CUST28307</v>
      </c>
      <c r="D550" t="str">
        <f>_xlfn.XLOOKUP(A550,A549:A1148,[1]Sheet3!E191:E790)</f>
        <v>Nisha Bhat</v>
      </c>
      <c r="E550" s="5">
        <f>_xlfn.XLOOKUP(A550,A549:A1148,[1]Sheet3!G191:G790)</f>
        <v>48</v>
      </c>
      <c r="F550" t="str">
        <f>_xlfn.XLOOKUP('Retail Sales'!A192,'Retail Sales'!A191:A790,[1]Sheet3!H191:H790)</f>
        <v>Adult</v>
      </c>
      <c r="G550" t="str">
        <f>_xlfn.XLOOKUP(A550,A549:A1148,[1]Sheet3!J191:J790)</f>
        <v>Other</v>
      </c>
      <c r="H550" t="str">
        <f>_xlfn.XLOOKUP(A550,A549:A1148,[1]Sheet3!K191:K790)</f>
        <v>Central</v>
      </c>
      <c r="I550" t="str">
        <f>_xlfn.XLOOKUP(A550,A549:A1148,[1]Sheet3!L191:L790)</f>
        <v>Indore</v>
      </c>
      <c r="J550" t="str">
        <f>_xlfn.XLOOKUP(A550,A549:A1148,[1]Sheet3!M191:M790)</f>
        <v>Books</v>
      </c>
      <c r="K550" t="str">
        <f>_xlfn.XLOOKUP('Retail Sales'!A192,'Retail Sales'!A191:A790,[1]Sheet3!N191:N790)</f>
        <v>Self-Help Book</v>
      </c>
      <c r="L550" s="5">
        <f>_xlfn.XLOOKUP(A550,A549:A1148,[1]Sheet3!P191:P790)</f>
        <v>6</v>
      </c>
      <c r="M550" s="7">
        <f>_xlfn.XLOOKUP(A550,A549:A1148,[1]Sheet3!Q191:Q790)</f>
        <v>797.16</v>
      </c>
      <c r="N550" s="9">
        <f>_xlfn.XLOOKUP(A550,A549:A1148,[1]Sheet3!S191:S790)</f>
        <v>0.34</v>
      </c>
      <c r="O550" s="7">
        <f>_xlfn.XLOOKUP(A550,A549:A1148,[1]Sheet3!T191:T790)</f>
        <v>4735.21</v>
      </c>
      <c r="P550" s="7">
        <f>_xlfn.XLOOKUP(A550,A549:A1148,[1]Sheet3!U191:U790)</f>
        <v>1174.5899999999999</v>
      </c>
      <c r="Q550" s="11">
        <f>_xlfn.XLOOKUP(A550,A549:A1148,[1]Sheet3!V191:V790)</f>
        <v>0.24805446854521762</v>
      </c>
      <c r="R550" s="7">
        <f>_xlfn.XLOOKUP(A550,A549:A1148,[1]Sheet3!W191:W790)</f>
        <v>15.7</v>
      </c>
      <c r="S550" t="str">
        <f>_xlfn.XLOOKUP(A550,A549:A1148,[1]Sheet3!X191:X790)</f>
        <v>Cash on Delivery</v>
      </c>
      <c r="T550" s="5">
        <f>_xlfn.XLOOKUP(A550,A549:A1148,[1]Sheet3!Z191:Z790)</f>
        <v>4</v>
      </c>
      <c r="U550" t="b">
        <f>_xlfn.XLOOKUP(A550,A549:A1148,[1]Sheet3!AA191:AA790)</f>
        <v>0</v>
      </c>
      <c r="V550" t="str">
        <f>_xlfn.XLOOKUP(A550,A549:A1148,[1]Sheet3!AC191:AC790)</f>
        <v>Shipped</v>
      </c>
      <c r="W550" s="5">
        <f>_xlfn.XLOOKUP(A550,A549:A1148,[1]Sheet3!AE191:AE790)</f>
        <v>2</v>
      </c>
    </row>
    <row r="551" spans="1:23" x14ac:dyDescent="0.35">
      <c r="A551" t="s">
        <v>598</v>
      </c>
      <c r="B551" s="1">
        <f>_xlfn.XLOOKUP(A551,A550:A1149,[1]Sheet3!C1:C600)</f>
        <v>45519</v>
      </c>
      <c r="C551" t="str">
        <f>_xlfn.XLOOKUP(A551,A550:A1149,[1]Sheet3!D1:D600)</f>
        <v>CUST32603</v>
      </c>
      <c r="D551" t="str">
        <f>_xlfn.XLOOKUP(A551,A550:A1149,[1]Sheet3!E1:E600)</f>
        <v>Aarav Mehta</v>
      </c>
      <c r="E551" s="5">
        <f>_xlfn.XLOOKUP(A551,A550:A1149,[1]Sheet3!G1:G600)</f>
        <v>39</v>
      </c>
      <c r="F551" t="str">
        <f>_xlfn.XLOOKUP('Retail Sales'!A2,'Retail Sales'!A1:A600,[1]Sheet3!H1:H600)</f>
        <v>Adult</v>
      </c>
      <c r="G551" t="str">
        <f>_xlfn.XLOOKUP(A551,A550:A1149,[1]Sheet3!J1:J600)</f>
        <v>Other</v>
      </c>
      <c r="H551" t="str">
        <f>_xlfn.XLOOKUP(A551,A550:A1149,[1]Sheet3!K1:K600)</f>
        <v>Central</v>
      </c>
      <c r="I551" t="str">
        <f>_xlfn.XLOOKUP(A551,A550:A1149,[1]Sheet3!L1:L600)</f>
        <v>Raipur</v>
      </c>
      <c r="J551" t="str">
        <f>_xlfn.XLOOKUP(A551,A550:A1149,[1]Sheet3!M1:M600)</f>
        <v>Groceries</v>
      </c>
      <c r="K551" t="str">
        <f>_xlfn.XLOOKUP('Retail Sales'!A2,'Retail Sales'!A1:A600,[1]Sheet3!N1:N600)</f>
        <v>Sugar</v>
      </c>
      <c r="L551" s="5">
        <f>_xlfn.XLOOKUP(A551,A550:A1149,[1]Sheet3!P1:P600)</f>
        <v>8</v>
      </c>
      <c r="M551" s="7">
        <f>_xlfn.XLOOKUP(A551,A550:A1149,[1]Sheet3!Q1:Q600)</f>
        <v>346.32</v>
      </c>
      <c r="N551" s="9">
        <f>_xlfn.XLOOKUP(A551,A550:A1149,[1]Sheet3!S1:S600)</f>
        <v>0.19793402777777783</v>
      </c>
      <c r="O551" s="7">
        <f>_xlfn.XLOOKUP(A551,A550:A1149,[1]Sheet3!T1:T600)</f>
        <v>4043.14</v>
      </c>
      <c r="P551" s="7">
        <f>_xlfn.XLOOKUP(A551,A550:A1149,[1]Sheet3!U1:U600)</f>
        <v>289.18</v>
      </c>
      <c r="Q551" s="11">
        <f>_xlfn.XLOOKUP(A551,A550:A1149,[1]Sheet3!V1:V600)</f>
        <v>7.1523617782218774E-2</v>
      </c>
      <c r="R551" s="7">
        <f>_xlfn.XLOOKUP(A551,A550:A1149,[1]Sheet3!W1:W600)</f>
        <v>56.04</v>
      </c>
      <c r="S551" t="str">
        <f>_xlfn.XLOOKUP(A551,A550:A1149,[1]Sheet3!X1:X600)</f>
        <v>Debit Card</v>
      </c>
      <c r="T551" s="5">
        <f>_xlfn.XLOOKUP(A551,A550:A1149,[1]Sheet3!Z1:Z600)</f>
        <v>3</v>
      </c>
      <c r="U551" t="b">
        <f>_xlfn.XLOOKUP(A551,A550:A1149,[1]Sheet3!AA1:AA600)</f>
        <v>1</v>
      </c>
      <c r="V551" t="str">
        <f>_xlfn.XLOOKUP(A551,A550:A1149,[1]Sheet3!AC1:AC600)</f>
        <v>Returned</v>
      </c>
      <c r="W551" s="5">
        <f>_xlfn.XLOOKUP(A551,A550:A1149,[1]Sheet3!AE1:AE600)</f>
        <v>7</v>
      </c>
    </row>
    <row r="552" spans="1:23" x14ac:dyDescent="0.35">
      <c r="A552" t="s">
        <v>155</v>
      </c>
      <c r="B552" s="1">
        <f>_xlfn.XLOOKUP(A552,A551:A1150,[1]Sheet3!C444:C1043)</f>
        <v>45520</v>
      </c>
      <c r="C552" t="str">
        <f>_xlfn.XLOOKUP(A552,A551:A1150,[1]Sheet3!D444:D1043)</f>
        <v>CUST07299</v>
      </c>
      <c r="D552" t="str">
        <f>_xlfn.XLOOKUP(A552,A551:A1150,[1]Sheet3!E444:E1043)</f>
        <v>Karan Reddy</v>
      </c>
      <c r="E552" s="5">
        <f>_xlfn.XLOOKUP(A552,A551:A1150,[1]Sheet3!G444:G1043)</f>
        <v>46</v>
      </c>
      <c r="F552" t="str">
        <f>_xlfn.XLOOKUP('Retail Sales'!A445,'Retail Sales'!A444:A1043,[1]Sheet3!H444:H1043)</f>
        <v>Adult</v>
      </c>
      <c r="G552" t="str">
        <f>_xlfn.XLOOKUP(A552,A551:A1150,[1]Sheet3!J444:J1043)</f>
        <v>Female</v>
      </c>
      <c r="H552" t="str">
        <f>_xlfn.XLOOKUP(A552,A551:A1150,[1]Sheet3!K444:K1043)</f>
        <v>Central</v>
      </c>
      <c r="I552" t="str">
        <f>_xlfn.XLOOKUP(A552,A551:A1150,[1]Sheet3!L444:L1043)</f>
        <v>Nagpur</v>
      </c>
      <c r="J552" t="str">
        <f>_xlfn.XLOOKUP(A552,A551:A1150,[1]Sheet3!M444:M1043)</f>
        <v>Sports</v>
      </c>
      <c r="K552" t="str">
        <f>_xlfn.XLOOKUP('Retail Sales'!A445,'Retail Sales'!A444:A1043,[1]Sheet3!N444:N1043)</f>
        <v>Yoga Mat</v>
      </c>
      <c r="L552" s="5">
        <f>_xlfn.XLOOKUP(A552,A551:A1150,[1]Sheet3!P444:P1043)</f>
        <v>9</v>
      </c>
      <c r="M552" s="7">
        <f>_xlfn.XLOOKUP(A552,A551:A1150,[1]Sheet3!Q444:Q1043)</f>
        <v>3110.88</v>
      </c>
      <c r="N552" s="9">
        <f>_xlfn.XLOOKUP(A552,A551:A1150,[1]Sheet3!S444:S1043)</f>
        <v>0.28000000000000003</v>
      </c>
      <c r="O552" s="7">
        <f>_xlfn.XLOOKUP(A552,A551:A1150,[1]Sheet3!T444:T1043)</f>
        <v>29090.53</v>
      </c>
      <c r="P552" s="7">
        <f>_xlfn.XLOOKUP(A552,A551:A1150,[1]Sheet3!U444:U1043)</f>
        <v>4498.07</v>
      </c>
      <c r="Q552" s="11">
        <f>_xlfn.XLOOKUP(A552,A551:A1150,[1]Sheet3!V444:V1043)</f>
        <v>0.15462317118319949</v>
      </c>
      <c r="R552" s="7">
        <f>_xlfn.XLOOKUP(A552,A551:A1150,[1]Sheet3!W444:W1043)</f>
        <v>43.42</v>
      </c>
      <c r="S552" t="str">
        <f>_xlfn.XLOOKUP(A552,A551:A1150,[1]Sheet3!X444:X1043)</f>
        <v>EMI</v>
      </c>
      <c r="T552" s="5">
        <f>_xlfn.XLOOKUP(A552,A551:A1150,[1]Sheet3!Z444:Z1043)</f>
        <v>2</v>
      </c>
      <c r="U552" t="b">
        <f>_xlfn.XLOOKUP(A552,A551:A1150,[1]Sheet3!AA444:AA1043)</f>
        <v>0</v>
      </c>
      <c r="V552" t="str">
        <f>_xlfn.XLOOKUP(A552,A551:A1150,[1]Sheet3!AC444:AC1043)</f>
        <v>Delivered</v>
      </c>
      <c r="W552" s="5">
        <f>_xlfn.XLOOKUP(A552,A551:A1150,[1]Sheet3!AE444:AE1043)</f>
        <v>8</v>
      </c>
    </row>
    <row r="553" spans="1:23" x14ac:dyDescent="0.35">
      <c r="A553" t="s">
        <v>136</v>
      </c>
      <c r="B553" s="1">
        <f>_xlfn.XLOOKUP(A553,A552:A1151,[1]Sheet3!C463:C1062)</f>
        <v>45521</v>
      </c>
      <c r="C553" t="str">
        <f>_xlfn.XLOOKUP(A553,A552:A1151,[1]Sheet3!D463:D1062)</f>
        <v>CUST72269</v>
      </c>
      <c r="D553" t="str">
        <f>_xlfn.XLOOKUP(A553,A552:A1151,[1]Sheet3!E463:E1062)</f>
        <v>Ritu Gupta</v>
      </c>
      <c r="E553" s="5">
        <f>_xlfn.XLOOKUP(A553,A552:A1151,[1]Sheet3!G463:G1062)</f>
        <v>41</v>
      </c>
      <c r="F553" t="str">
        <f>_xlfn.XLOOKUP('Retail Sales'!A464,'Retail Sales'!A463:A1062,[1]Sheet3!H463:H1062)</f>
        <v>Adult</v>
      </c>
      <c r="G553" t="str">
        <f>_xlfn.XLOOKUP(A553,A552:A1151,[1]Sheet3!J463:J1062)</f>
        <v>Female</v>
      </c>
      <c r="H553" t="str">
        <f>_xlfn.XLOOKUP(A553,A552:A1151,[1]Sheet3!K463:K1062)</f>
        <v>South</v>
      </c>
      <c r="I553" t="str">
        <f>_xlfn.XLOOKUP(A553,A552:A1151,[1]Sheet3!L463:L1062)</f>
        <v>Bangalore</v>
      </c>
      <c r="J553" t="str">
        <f>_xlfn.XLOOKUP(A553,A552:A1151,[1]Sheet3!M463:M1062)</f>
        <v>Electronics</v>
      </c>
      <c r="K553" t="str">
        <f>_xlfn.XLOOKUP('Retail Sales'!A464,'Retail Sales'!A463:A1062,[1]Sheet3!N463:N1062)</f>
        <v>Headphones</v>
      </c>
      <c r="L553" s="5">
        <f>_xlfn.XLOOKUP(A553,A552:A1151,[1]Sheet3!P463:P1062)</f>
        <v>3</v>
      </c>
      <c r="M553" s="7">
        <f>_xlfn.XLOOKUP(A553,A552:A1151,[1]Sheet3!Q463:Q1062)</f>
        <v>51479.19</v>
      </c>
      <c r="N553" s="9">
        <f>_xlfn.XLOOKUP(A553,A552:A1151,[1]Sheet3!S463:S1062)</f>
        <v>0.25</v>
      </c>
      <c r="O553" s="7">
        <f>_xlfn.XLOOKUP(A553,A552:A1151,[1]Sheet3!T463:T1062)</f>
        <v>182018.37</v>
      </c>
      <c r="P553" s="7">
        <f>_xlfn.XLOOKUP(A553,A552:A1151,[1]Sheet3!U463:U1062)</f>
        <v>19016.37</v>
      </c>
      <c r="Q553" s="11">
        <f>_xlfn.XLOOKUP(A553,A552:A1151,[1]Sheet3!V463:V1062)</f>
        <v>0.10447500436357056</v>
      </c>
      <c r="R553" s="7">
        <f>_xlfn.XLOOKUP(A553,A552:A1151,[1]Sheet3!W463:W1062)</f>
        <v>55.15</v>
      </c>
      <c r="S553" t="str">
        <f>_xlfn.XLOOKUP(A553,A552:A1151,[1]Sheet3!X463:X1062)</f>
        <v>UPI</v>
      </c>
      <c r="T553" s="5">
        <f>_xlfn.XLOOKUP(A553,A552:A1151,[1]Sheet3!Z463:Z1062)</f>
        <v>3</v>
      </c>
      <c r="U553" t="b">
        <f>_xlfn.XLOOKUP(A553,A552:A1151,[1]Sheet3!AA463:AA1062)</f>
        <v>0</v>
      </c>
      <c r="V553" t="str">
        <f>_xlfn.XLOOKUP(A553,A552:A1151,[1]Sheet3!AC463:AC1062)</f>
        <v>Pending</v>
      </c>
      <c r="W553" s="5">
        <f>_xlfn.XLOOKUP(A553,A552:A1151,[1]Sheet3!AE463:AE1062)</f>
        <v>3</v>
      </c>
    </row>
    <row r="554" spans="1:23" x14ac:dyDescent="0.35">
      <c r="A554" t="s">
        <v>573</v>
      </c>
      <c r="B554" s="1">
        <f>_xlfn.XLOOKUP(A554,A553:A1152,[1]Sheet3!C26:C625)</f>
        <v>45521</v>
      </c>
      <c r="C554" t="str">
        <f>_xlfn.XLOOKUP(A554,A553:A1152,[1]Sheet3!D26:D625)</f>
        <v>CUST83779</v>
      </c>
      <c r="D554" t="str">
        <f>_xlfn.XLOOKUP(A554,A553:A1152,[1]Sheet3!E26:E625)</f>
        <v>Nikhil Bhat</v>
      </c>
      <c r="E554" s="5">
        <f>_xlfn.XLOOKUP(A554,A553:A1152,[1]Sheet3!G26:G625)</f>
        <v>31</v>
      </c>
      <c r="F554" t="str">
        <f>_xlfn.XLOOKUP('Retail Sales'!A27,'Retail Sales'!A26:A625,[1]Sheet3!H26:H625)</f>
        <v>Young Adult</v>
      </c>
      <c r="G554" t="str">
        <f>_xlfn.XLOOKUP(A554,A553:A1152,[1]Sheet3!J26:J625)</f>
        <v>Other</v>
      </c>
      <c r="H554" t="str">
        <f>_xlfn.XLOOKUP(A554,A553:A1152,[1]Sheet3!K26:K625)</f>
        <v>West</v>
      </c>
      <c r="I554" t="str">
        <f>_xlfn.XLOOKUP(A554,A553:A1152,[1]Sheet3!L26:L625)</f>
        <v>Surat</v>
      </c>
      <c r="J554" t="str">
        <f>_xlfn.XLOOKUP(A554,A553:A1152,[1]Sheet3!M26:M625)</f>
        <v>Sports</v>
      </c>
      <c r="K554" t="str">
        <f>_xlfn.XLOOKUP('Retail Sales'!A27,'Retail Sales'!A26:A625,[1]Sheet3!N26:N625)</f>
        <v>Football</v>
      </c>
      <c r="L554" s="5">
        <f>_xlfn.XLOOKUP(A554,A553:A1152,[1]Sheet3!P26:P625)</f>
        <v>9</v>
      </c>
      <c r="M554" s="7">
        <f>_xlfn.XLOOKUP(A554,A553:A1152,[1]Sheet3!Q26:Q625)</f>
        <v>3000.32</v>
      </c>
      <c r="N554" s="9">
        <f>_xlfn.XLOOKUP(A554,A553:A1152,[1]Sheet3!S26:S625)</f>
        <v>0.21</v>
      </c>
      <c r="O554" s="7">
        <f>_xlfn.XLOOKUP(A554,A553:A1152,[1]Sheet3!T26:T625)</f>
        <v>29267.25</v>
      </c>
      <c r="P554" s="7">
        <f>_xlfn.XLOOKUP(A554,A553:A1152,[1]Sheet3!U26:U625)</f>
        <v>6330.95</v>
      </c>
      <c r="Q554" s="11">
        <f>_xlfn.XLOOKUP(A554,A553:A1152,[1]Sheet3!V26:V625)</f>
        <v>0.21631516456107081</v>
      </c>
      <c r="R554" s="7">
        <f>_xlfn.XLOOKUP(A554,A553:A1152,[1]Sheet3!W26:W625)</f>
        <v>68.5</v>
      </c>
      <c r="S554" t="str">
        <f>_xlfn.XLOOKUP(A554,A553:A1152,[1]Sheet3!X26:X625)</f>
        <v>UPI</v>
      </c>
      <c r="T554" s="5">
        <f>_xlfn.XLOOKUP(A554,A553:A1152,[1]Sheet3!Z26:Z625)</f>
        <v>4</v>
      </c>
      <c r="U554" t="b">
        <f>_xlfn.XLOOKUP(A554,A553:A1152,[1]Sheet3!AA26:AA625)</f>
        <v>0</v>
      </c>
      <c r="V554" t="str">
        <f>_xlfn.XLOOKUP(A554,A553:A1152,[1]Sheet3!AC26:AC625)</f>
        <v>Delivered</v>
      </c>
      <c r="W554" s="5">
        <f>_xlfn.XLOOKUP(A554,A553:A1152,[1]Sheet3!AE26:AE625)</f>
        <v>9</v>
      </c>
    </row>
    <row r="555" spans="1:23" x14ac:dyDescent="0.35">
      <c r="A555" t="s">
        <v>236</v>
      </c>
      <c r="B555" s="1">
        <f>_xlfn.XLOOKUP(A555,A554:A1153,[1]Sheet3!C363:C962)</f>
        <v>45524</v>
      </c>
      <c r="C555" t="str">
        <f>_xlfn.XLOOKUP(A555,A554:A1153,[1]Sheet3!D363:D962)</f>
        <v>CUST20311</v>
      </c>
      <c r="D555" t="str">
        <f>_xlfn.XLOOKUP(A555,A554:A1153,[1]Sheet3!E363:E962)</f>
        <v>Shreya Gupta</v>
      </c>
      <c r="E555" s="5">
        <f>_xlfn.XLOOKUP(A555,A554:A1153,[1]Sheet3!G363:G962)</f>
        <v>54</v>
      </c>
      <c r="F555" t="str">
        <f>_xlfn.XLOOKUP('Retail Sales'!A364,'Retail Sales'!A363:A962,[1]Sheet3!H363:H962)</f>
        <v>Senior</v>
      </c>
      <c r="G555" t="str">
        <f>_xlfn.XLOOKUP(A555,A554:A1153,[1]Sheet3!J363:J962)</f>
        <v>Other</v>
      </c>
      <c r="H555" t="str">
        <f>_xlfn.XLOOKUP(A555,A554:A1153,[1]Sheet3!K363:K962)</f>
        <v>West</v>
      </c>
      <c r="I555" t="str">
        <f>_xlfn.XLOOKUP(A555,A554:A1153,[1]Sheet3!L363:L962)</f>
        <v>Surat</v>
      </c>
      <c r="J555" t="str">
        <f>_xlfn.XLOOKUP(A555,A554:A1153,[1]Sheet3!M363:M962)</f>
        <v>Sports</v>
      </c>
      <c r="K555" t="str">
        <f>_xlfn.XLOOKUP('Retail Sales'!A364,'Retail Sales'!A363:A962,[1]Sheet3!N363:N962)</f>
        <v>Dumbbells</v>
      </c>
      <c r="L555" s="5">
        <f>_xlfn.XLOOKUP(A555,A554:A1153,[1]Sheet3!P363:P962)</f>
        <v>8</v>
      </c>
      <c r="M555" s="7">
        <f>_xlfn.XLOOKUP(A555,A554:A1153,[1]Sheet3!Q363:Q962)</f>
        <v>8802.69</v>
      </c>
      <c r="N555" s="9">
        <f>_xlfn.XLOOKUP(A555,A554:A1153,[1]Sheet3!S363:S962)</f>
        <v>0.36</v>
      </c>
      <c r="O555" s="7">
        <f>_xlfn.XLOOKUP(A555,A554:A1153,[1]Sheet3!T363:T962)</f>
        <v>54768.47</v>
      </c>
      <c r="P555" s="7">
        <f>_xlfn.XLOOKUP(A555,A554:A1153,[1]Sheet3!U363:U962)</f>
        <v>12390.55</v>
      </c>
      <c r="Q555" s="11">
        <f>_xlfn.XLOOKUP(A555,A554:A1153,[1]Sheet3!V363:V962)</f>
        <v>0.22623509475433581</v>
      </c>
      <c r="R555" s="7">
        <f>_xlfn.XLOOKUP(A555,A554:A1153,[1]Sheet3!W363:W962)</f>
        <v>76.209999999999994</v>
      </c>
      <c r="S555" t="str">
        <f>_xlfn.XLOOKUP(A555,A554:A1153,[1]Sheet3!X363:X962)</f>
        <v>Credit Card</v>
      </c>
      <c r="T555" s="5">
        <f>_xlfn.XLOOKUP(A555,A554:A1153,[1]Sheet3!Z363:Z962)</f>
        <v>5</v>
      </c>
      <c r="U555" t="b">
        <f>_xlfn.XLOOKUP(A555,A554:A1153,[1]Sheet3!AA363:AA962)</f>
        <v>0</v>
      </c>
      <c r="V555" t="str">
        <f>_xlfn.XLOOKUP(A555,A554:A1153,[1]Sheet3!AC363:AC962)</f>
        <v>Delivered</v>
      </c>
      <c r="W555" s="5">
        <f>_xlfn.XLOOKUP(A555,A554:A1153,[1]Sheet3!AE363:AE962)</f>
        <v>5</v>
      </c>
    </row>
    <row r="556" spans="1:23" x14ac:dyDescent="0.35">
      <c r="A556" t="s">
        <v>2</v>
      </c>
      <c r="B556" s="1">
        <f>_xlfn.XLOOKUP(A556,A555:A1154,[1]Sheet3!C597:C1196)</f>
        <v>45524</v>
      </c>
      <c r="C556" t="str">
        <f>_xlfn.XLOOKUP(A556,A555:A1154,[1]Sheet3!D597:D1196)</f>
        <v>CUST86711</v>
      </c>
      <c r="D556" t="str">
        <f>_xlfn.XLOOKUP(A556,A555:A1154,[1]Sheet3!E597:E1196)</f>
        <v>Ritu Chatterjee</v>
      </c>
      <c r="E556" s="5">
        <f>_xlfn.XLOOKUP(A556,A555:A1154,[1]Sheet3!G597:G1196)</f>
        <v>20</v>
      </c>
      <c r="F556" t="str">
        <f>_xlfn.XLOOKUP('Retail Sales'!A598,'Retail Sales'!A597:A1196,[1]Sheet3!H597:H1196)</f>
        <v>Young Adult</v>
      </c>
      <c r="G556" t="str">
        <f>_xlfn.XLOOKUP(A556,A555:A1154,[1]Sheet3!J597:J1196)</f>
        <v>Female</v>
      </c>
      <c r="H556" t="str">
        <f>_xlfn.XLOOKUP(A556,A555:A1154,[1]Sheet3!K597:K1196)</f>
        <v>West</v>
      </c>
      <c r="I556" t="str">
        <f>_xlfn.XLOOKUP(A556,A555:A1154,[1]Sheet3!L597:L1196)</f>
        <v>Ahmedabad</v>
      </c>
      <c r="J556" t="str">
        <f>_xlfn.XLOOKUP(A556,A555:A1154,[1]Sheet3!M597:M1196)</f>
        <v>Furniture</v>
      </c>
      <c r="K556" t="str">
        <f>_xlfn.XLOOKUP('Retail Sales'!A598,'Retail Sales'!A597:A1196,[1]Sheet3!N597:N1196)</f>
        <v>Bed Frame</v>
      </c>
      <c r="L556" s="5">
        <f>_xlfn.XLOOKUP(A556,A555:A1154,[1]Sheet3!P597:P1196)</f>
        <v>7</v>
      </c>
      <c r="M556" s="7">
        <f>_xlfn.XLOOKUP(A556,A555:A1154,[1]Sheet3!Q597:Q1196)</f>
        <v>14200.86</v>
      </c>
      <c r="N556" s="9">
        <f>_xlfn.XLOOKUP(A556,A555:A1154,[1]Sheet3!S597:S1196)</f>
        <v>0.14000000000000001</v>
      </c>
      <c r="O556" s="7">
        <f>_xlfn.XLOOKUP(A556,A555:A1154,[1]Sheet3!T597:T1196)</f>
        <v>123743.08</v>
      </c>
      <c r="P556" s="7">
        <f>_xlfn.XLOOKUP(A556,A555:A1154,[1]Sheet3!U597:U1196)</f>
        <v>37065.68</v>
      </c>
      <c r="Q556" s="11">
        <f>_xlfn.XLOOKUP(A556,A555:A1154,[1]Sheet3!V597:V1196)</f>
        <v>0.29953739635380017</v>
      </c>
      <c r="R556" s="7">
        <f>_xlfn.XLOOKUP(A556,A555:A1154,[1]Sheet3!W597:W1196)</f>
        <v>54.52</v>
      </c>
      <c r="S556" t="str">
        <f>_xlfn.XLOOKUP(A556,A555:A1154,[1]Sheet3!X597:X1196)</f>
        <v>Debit Card</v>
      </c>
      <c r="T556" s="5">
        <f>_xlfn.XLOOKUP(A556,A555:A1154,[1]Sheet3!Z597:Z1196)</f>
        <v>2</v>
      </c>
      <c r="U556" t="b">
        <f>_xlfn.XLOOKUP(A556,A555:A1154,[1]Sheet3!AA597:AA1196)</f>
        <v>0</v>
      </c>
      <c r="V556" t="str">
        <f>_xlfn.XLOOKUP(A556,A555:A1154,[1]Sheet3!AC597:AC1196)</f>
        <v>Delivered</v>
      </c>
      <c r="W556" s="5">
        <f>_xlfn.XLOOKUP(A556,A555:A1154,[1]Sheet3!AE597:AE1196)</f>
        <v>10</v>
      </c>
    </row>
    <row r="557" spans="1:23" x14ac:dyDescent="0.35">
      <c r="A557" t="s">
        <v>170</v>
      </c>
      <c r="B557" s="1">
        <f>_xlfn.XLOOKUP(A557,A556:A1155,[1]Sheet3!C429:C1028)</f>
        <v>45527</v>
      </c>
      <c r="C557" t="str">
        <f>_xlfn.XLOOKUP(A557,A556:A1155,[1]Sheet3!D429:D1028)</f>
        <v>CUST94914</v>
      </c>
      <c r="D557" t="str">
        <f>_xlfn.XLOOKUP(A557,A556:A1155,[1]Sheet3!E429:E1028)</f>
        <v>Sunita Verma</v>
      </c>
      <c r="E557" s="5">
        <f>_xlfn.XLOOKUP(A557,A556:A1155,[1]Sheet3!G429:G1028)</f>
        <v>31</v>
      </c>
      <c r="F557" t="str">
        <f>_xlfn.XLOOKUP('Retail Sales'!A430,'Retail Sales'!A429:A1028,[1]Sheet3!H429:H1028)</f>
        <v>Young Adult</v>
      </c>
      <c r="G557" t="str">
        <f>_xlfn.XLOOKUP(A557,A556:A1155,[1]Sheet3!J429:J1028)</f>
        <v>Other</v>
      </c>
      <c r="H557" t="str">
        <f>_xlfn.XLOOKUP(A557,A556:A1155,[1]Sheet3!K429:K1028)</f>
        <v>South</v>
      </c>
      <c r="I557" t="str">
        <f>_xlfn.XLOOKUP(A557,A556:A1155,[1]Sheet3!L429:L1028)</f>
        <v>Chennai</v>
      </c>
      <c r="J557" t="str">
        <f>_xlfn.XLOOKUP(A557,A556:A1155,[1]Sheet3!M429:M1028)</f>
        <v>Sports</v>
      </c>
      <c r="K557" t="str">
        <f>_xlfn.XLOOKUP('Retail Sales'!A430,'Retail Sales'!A429:A1028,[1]Sheet3!N429:N1028)</f>
        <v>Yoga Mat</v>
      </c>
      <c r="L557" s="5">
        <f>_xlfn.XLOOKUP(A557,A556:A1155,[1]Sheet3!P429:P1028)</f>
        <v>6</v>
      </c>
      <c r="M557" s="7">
        <f>_xlfn.XLOOKUP(A557,A556:A1155,[1]Sheet3!Q429:Q1028)</f>
        <v>9574.41</v>
      </c>
      <c r="N557" s="9">
        <f>_xlfn.XLOOKUP(A557,A556:A1155,[1]Sheet3!S429:S1028)</f>
        <v>0.02</v>
      </c>
      <c r="O557" s="7">
        <f>_xlfn.XLOOKUP(A557,A556:A1155,[1]Sheet3!T429:T1028)</f>
        <v>81951.13</v>
      </c>
      <c r="P557" s="7">
        <f>_xlfn.XLOOKUP(A557,A556:A1155,[1]Sheet3!U429:U1028)</f>
        <v>15952.26</v>
      </c>
      <c r="Q557" s="11">
        <f>_xlfn.XLOOKUP(A557,A556:A1155,[1]Sheet3!V429:V1028)</f>
        <v>0.19465576618650651</v>
      </c>
      <c r="R557" s="7">
        <f>_xlfn.XLOOKUP(A557,A556:A1155,[1]Sheet3!W429:W1028)</f>
        <v>75.33</v>
      </c>
      <c r="S557" t="str">
        <f>_xlfn.XLOOKUP(A557,A556:A1155,[1]Sheet3!X429:X1028)</f>
        <v>EMI</v>
      </c>
      <c r="T557" s="5">
        <f>_xlfn.XLOOKUP(A557,A556:A1155,[1]Sheet3!Z429:Z1028)</f>
        <v>4</v>
      </c>
      <c r="U557" t="b">
        <f>_xlfn.XLOOKUP(A557,A556:A1155,[1]Sheet3!AA429:AA1028)</f>
        <v>0</v>
      </c>
      <c r="V557" t="str">
        <f>_xlfn.XLOOKUP(A557,A556:A1155,[1]Sheet3!AC429:AC1028)</f>
        <v>Delivered</v>
      </c>
      <c r="W557" s="5">
        <f>_xlfn.XLOOKUP(A557,A556:A1155,[1]Sheet3!AE429:AE1028)</f>
        <v>6</v>
      </c>
    </row>
    <row r="558" spans="1:23" x14ac:dyDescent="0.35">
      <c r="A558" t="s">
        <v>185</v>
      </c>
      <c r="B558" s="1">
        <f>_xlfn.XLOOKUP(A558,A557:A1156,[1]Sheet3!C414:C1013)</f>
        <v>45530</v>
      </c>
      <c r="C558" t="str">
        <f>_xlfn.XLOOKUP(A558,A557:A1156,[1]Sheet3!D414:D1013)</f>
        <v>CUST96355</v>
      </c>
      <c r="D558" t="str">
        <f>_xlfn.XLOOKUP(A558,A557:A1156,[1]Sheet3!E414:E1013)</f>
        <v>Shreya Bose</v>
      </c>
      <c r="E558" s="5">
        <f>_xlfn.XLOOKUP(A558,A557:A1156,[1]Sheet3!G414:G1013)</f>
        <v>35</v>
      </c>
      <c r="F558" t="str">
        <f>_xlfn.XLOOKUP('Retail Sales'!A415,'Retail Sales'!A414:A1013,[1]Sheet3!H414:H1013)</f>
        <v>Young Adult</v>
      </c>
      <c r="G558" t="str">
        <f>_xlfn.XLOOKUP(A558,A557:A1156,[1]Sheet3!J414:J1013)</f>
        <v>Female</v>
      </c>
      <c r="H558" t="str">
        <f>_xlfn.XLOOKUP(A558,A557:A1156,[1]Sheet3!K414:K1013)</f>
        <v>East</v>
      </c>
      <c r="I558" t="str">
        <f>_xlfn.XLOOKUP(A558,A557:A1156,[1]Sheet3!L414:L1013)</f>
        <v>Bhubaneswar</v>
      </c>
      <c r="J558" t="str">
        <f>_xlfn.XLOOKUP(A558,A557:A1156,[1]Sheet3!M414:M1013)</f>
        <v>Books</v>
      </c>
      <c r="K558" t="str">
        <f>_xlfn.XLOOKUP('Retail Sales'!A415,'Retail Sales'!A414:A1013,[1]Sheet3!N414:N1013)</f>
        <v>Comic Book</v>
      </c>
      <c r="L558" s="5">
        <f>_xlfn.XLOOKUP(A558,A557:A1156,[1]Sheet3!P414:P1013)</f>
        <v>2</v>
      </c>
      <c r="M558" s="7">
        <f>_xlfn.XLOOKUP(A558,A557:A1156,[1]Sheet3!Q414:Q1013)</f>
        <v>1157.8900000000001</v>
      </c>
      <c r="N558" s="9">
        <f>_xlfn.XLOOKUP(A558,A557:A1156,[1]Sheet3!S414:S1013)</f>
        <v>0.35</v>
      </c>
      <c r="O558" s="7">
        <f>_xlfn.XLOOKUP(A558,A557:A1156,[1]Sheet3!T414:T1013)</f>
        <v>2443.04</v>
      </c>
      <c r="P558" s="7">
        <f>_xlfn.XLOOKUP(A558,A557:A1156,[1]Sheet3!U414:U1013)</f>
        <v>649.16</v>
      </c>
      <c r="Q558" s="11">
        <f>_xlfn.XLOOKUP(A558,A557:A1156,[1]Sheet3!V414:V1013)</f>
        <v>0.26571812168445869</v>
      </c>
      <c r="R558" s="7">
        <f>_xlfn.XLOOKUP(A558,A557:A1156,[1]Sheet3!W414:W1013)</f>
        <v>56.27</v>
      </c>
      <c r="S558" t="str">
        <f>_xlfn.XLOOKUP(A558,A557:A1156,[1]Sheet3!X414:X1013)</f>
        <v>Debit Card</v>
      </c>
      <c r="T558" s="5">
        <f>_xlfn.XLOOKUP(A558,A557:A1156,[1]Sheet3!Z414:Z1013)</f>
        <v>1</v>
      </c>
      <c r="U558" t="b">
        <f>_xlfn.XLOOKUP(A558,A557:A1156,[1]Sheet3!AA414:AA1013)</f>
        <v>0</v>
      </c>
      <c r="V558" t="str">
        <f>_xlfn.XLOOKUP(A558,A557:A1156,[1]Sheet3!AC414:AC1013)</f>
        <v>Delivered</v>
      </c>
      <c r="W558" s="5">
        <f>_xlfn.XLOOKUP(A558,A557:A1156,[1]Sheet3!AE414:AE1013)</f>
        <v>9</v>
      </c>
    </row>
    <row r="559" spans="1:23" x14ac:dyDescent="0.35">
      <c r="A559" t="s">
        <v>63</v>
      </c>
      <c r="B559" s="1">
        <f>_xlfn.XLOOKUP(A559,A558:A1157,[1]Sheet3!C536:C1135)</f>
        <v>45531</v>
      </c>
      <c r="C559" t="str">
        <f>_xlfn.XLOOKUP(A559,A558:A1157,[1]Sheet3!D536:D1135)</f>
        <v>CUST76909</v>
      </c>
      <c r="D559" t="str">
        <f>_xlfn.XLOOKUP(A559,A558:A1157,[1]Sheet3!E536:E1135)</f>
        <v>Arjun Bose</v>
      </c>
      <c r="E559" s="5">
        <f>_xlfn.XLOOKUP(A559,A558:A1157,[1]Sheet3!G536:G1135)</f>
        <v>29</v>
      </c>
      <c r="F559" t="str">
        <f>_xlfn.XLOOKUP('Retail Sales'!A537,'Retail Sales'!A536:A1135,[1]Sheet3!H536:H1135)</f>
        <v>Young Adult</v>
      </c>
      <c r="G559" t="str">
        <f>_xlfn.XLOOKUP(A559,A558:A1157,[1]Sheet3!J536:J1135)</f>
        <v>Male</v>
      </c>
      <c r="H559" t="str">
        <f>_xlfn.XLOOKUP(A559,A558:A1157,[1]Sheet3!K536:K1135)</f>
        <v>South</v>
      </c>
      <c r="I559" t="str">
        <f>_xlfn.XLOOKUP(A559,A558:A1157,[1]Sheet3!L536:L1135)</f>
        <v>Hyderabad</v>
      </c>
      <c r="J559" t="str">
        <f>_xlfn.XLOOKUP(A559,A558:A1157,[1]Sheet3!M536:M1135)</f>
        <v>Sports</v>
      </c>
      <c r="K559" t="str">
        <f>_xlfn.XLOOKUP('Retail Sales'!A537,'Retail Sales'!A536:A1135,[1]Sheet3!N536:N1135)</f>
        <v>Yoga Mat</v>
      </c>
      <c r="L559" s="5">
        <f>_xlfn.XLOOKUP(A559,A558:A1157,[1]Sheet3!P536:P1135)</f>
        <v>9</v>
      </c>
      <c r="M559" s="7">
        <f>_xlfn.XLOOKUP(A559,A558:A1157,[1]Sheet3!Q536:Q1135)</f>
        <v>4499.21</v>
      </c>
      <c r="N559" s="9">
        <f>_xlfn.XLOOKUP(A559,A558:A1157,[1]Sheet3!S536:S1135)</f>
        <v>0.06</v>
      </c>
      <c r="O559" s="7">
        <f>_xlfn.XLOOKUP(A559,A558:A1157,[1]Sheet3!T536:T1135)</f>
        <v>57299.76</v>
      </c>
      <c r="P559" s="7">
        <f>_xlfn.XLOOKUP(A559,A558:A1157,[1]Sheet3!U536:U1135)</f>
        <v>12249.26</v>
      </c>
      <c r="Q559" s="11">
        <f>_xlfn.XLOOKUP(A559,A558:A1157,[1]Sheet3!V536:V1135)</f>
        <v>0.21377506642261679</v>
      </c>
      <c r="R559" s="7">
        <f>_xlfn.XLOOKUP(A559,A558:A1157,[1]Sheet3!W536:W1135)</f>
        <v>66.59</v>
      </c>
      <c r="S559" t="str">
        <f>_xlfn.XLOOKUP(A559,A558:A1157,[1]Sheet3!X536:X1135)</f>
        <v>Net Banking</v>
      </c>
      <c r="T559" s="5">
        <f>_xlfn.XLOOKUP(A559,A558:A1157,[1]Sheet3!Z536:Z1135)</f>
        <v>2</v>
      </c>
      <c r="U559" t="b">
        <f>_xlfn.XLOOKUP(A559,A558:A1157,[1]Sheet3!AA536:AA1135)</f>
        <v>0</v>
      </c>
      <c r="V559" t="str">
        <f>_xlfn.XLOOKUP(A559,A558:A1157,[1]Sheet3!AC536:AC1135)</f>
        <v>Delivered</v>
      </c>
      <c r="W559" s="5">
        <f>_xlfn.XLOOKUP(A559,A558:A1157,[1]Sheet3!AE536:AE1135)</f>
        <v>4</v>
      </c>
    </row>
    <row r="560" spans="1:23" x14ac:dyDescent="0.35">
      <c r="A560" t="s">
        <v>593</v>
      </c>
      <c r="B560" s="1">
        <f>_xlfn.XLOOKUP(A560,A559:A1158,[1]Sheet3!C6:C605)</f>
        <v>45537</v>
      </c>
      <c r="C560" t="str">
        <f>_xlfn.XLOOKUP(A560,A559:A1158,[1]Sheet3!D6:D605)</f>
        <v>CUST17187</v>
      </c>
      <c r="D560" t="str">
        <f>_xlfn.XLOOKUP(A560,A559:A1158,[1]Sheet3!E6:E605)</f>
        <v>Vikram Iyer</v>
      </c>
      <c r="E560" s="5">
        <f>_xlfn.XLOOKUP(A560,A559:A1158,[1]Sheet3!G6:G605)</f>
        <v>29</v>
      </c>
      <c r="F560" t="str">
        <f>_xlfn.XLOOKUP('Retail Sales'!A7,'Retail Sales'!A6:A605,[1]Sheet3!H6:H605)</f>
        <v>Young Adult</v>
      </c>
      <c r="G560" t="str">
        <f>_xlfn.XLOOKUP(A560,A559:A1158,[1]Sheet3!J6:J605)</f>
        <v>Male</v>
      </c>
      <c r="H560" t="str">
        <f>_xlfn.XLOOKUP(A560,A559:A1158,[1]Sheet3!K6:K605)</f>
        <v>West</v>
      </c>
      <c r="I560" t="str">
        <f>_xlfn.XLOOKUP(A560,A559:A1158,[1]Sheet3!L6:L605)</f>
        <v>Surat</v>
      </c>
      <c r="J560" t="str">
        <f>_xlfn.XLOOKUP(A560,A559:A1158,[1]Sheet3!M6:M605)</f>
        <v>Books</v>
      </c>
      <c r="K560" t="str">
        <f>_xlfn.XLOOKUP('Retail Sales'!A7,'Retail Sales'!A6:A605,[1]Sheet3!N6:N605)</f>
        <v>Self-Help Book</v>
      </c>
      <c r="L560" s="5">
        <f>_xlfn.XLOOKUP(A560,A559:A1158,[1]Sheet3!P6:P605)</f>
        <v>2</v>
      </c>
      <c r="M560" s="7">
        <f>_xlfn.XLOOKUP(A560,A559:A1158,[1]Sheet3!Q6:Q605)</f>
        <v>949.5</v>
      </c>
      <c r="N560" s="9">
        <f>_xlfn.XLOOKUP(A560,A559:A1158,[1]Sheet3!S6:S605)</f>
        <v>0.22</v>
      </c>
      <c r="O560" s="7">
        <f>_xlfn.XLOOKUP(A560,A559:A1158,[1]Sheet3!T6:T605)</f>
        <v>2202.33</v>
      </c>
      <c r="P560" s="7">
        <f>_xlfn.XLOOKUP(A560,A559:A1158,[1]Sheet3!U6:U605)</f>
        <v>964.66</v>
      </c>
      <c r="Q560" s="11">
        <f>_xlfn.XLOOKUP(A560,A559:A1158,[1]Sheet3!V6:V605)</f>
        <v>0.43801791738749413</v>
      </c>
      <c r="R560" s="7">
        <f>_xlfn.XLOOKUP(A560,A559:A1158,[1]Sheet3!W6:W605)</f>
        <v>62.42</v>
      </c>
      <c r="S560" t="str">
        <f>_xlfn.XLOOKUP(A560,A559:A1158,[1]Sheet3!X6:X605)</f>
        <v>Cash on Delivery</v>
      </c>
      <c r="T560" s="5">
        <f>_xlfn.XLOOKUP(A560,A559:A1158,[1]Sheet3!Z6:Z605)</f>
        <v>2</v>
      </c>
      <c r="U560" t="b">
        <f>_xlfn.XLOOKUP(A560,A559:A1158,[1]Sheet3!AA6:AA605)</f>
        <v>1</v>
      </c>
      <c r="V560" t="str">
        <f>_xlfn.XLOOKUP(A560,A559:A1158,[1]Sheet3!AC6:AC605)</f>
        <v>Returned</v>
      </c>
      <c r="W560" s="5">
        <f>_xlfn.XLOOKUP(A560,A559:A1158,[1]Sheet3!AE6:AE605)</f>
        <v>8</v>
      </c>
    </row>
    <row r="561" spans="1:23" x14ac:dyDescent="0.35">
      <c r="A561" t="s">
        <v>178</v>
      </c>
      <c r="B561" s="1">
        <f>_xlfn.XLOOKUP(A561,A560:A1159,[1]Sheet3!C421:C1020)</f>
        <v>45539</v>
      </c>
      <c r="C561" t="str">
        <f>_xlfn.XLOOKUP(A561,A560:A1159,[1]Sheet3!D421:D1020)</f>
        <v>CUST64416</v>
      </c>
      <c r="D561" t="str">
        <f>_xlfn.XLOOKUP(A561,A560:A1159,[1]Sheet3!E421:E1020)</f>
        <v>Pooja Reddy</v>
      </c>
      <c r="E561" s="5">
        <f>_xlfn.XLOOKUP(A561,A560:A1159,[1]Sheet3!G421:G1020)</f>
        <v>35</v>
      </c>
      <c r="F561" t="str">
        <f>_xlfn.XLOOKUP('Retail Sales'!A422,'Retail Sales'!A421:A1020,[1]Sheet3!H421:H1020)</f>
        <v>Young Adult</v>
      </c>
      <c r="G561" t="str">
        <f>_xlfn.XLOOKUP(A561,A560:A1159,[1]Sheet3!J421:J1020)</f>
        <v>Other</v>
      </c>
      <c r="H561" t="str">
        <f>_xlfn.XLOOKUP(A561,A560:A1159,[1]Sheet3!K421:K1020)</f>
        <v>West</v>
      </c>
      <c r="I561" t="str">
        <f>_xlfn.XLOOKUP(A561,A560:A1159,[1]Sheet3!L421:L1020)</f>
        <v>Surat</v>
      </c>
      <c r="J561" t="str">
        <f>_xlfn.XLOOKUP(A561,A560:A1159,[1]Sheet3!M421:M1020)</f>
        <v>Clothing</v>
      </c>
      <c r="K561" t="str">
        <f>_xlfn.XLOOKUP('Retail Sales'!A422,'Retail Sales'!A421:A1020,[1]Sheet3!N421:N1020)</f>
        <v>Jacket</v>
      </c>
      <c r="L561" s="5">
        <f>_xlfn.XLOOKUP(A561,A560:A1159,[1]Sheet3!P421:P1020)</f>
        <v>10</v>
      </c>
      <c r="M561" s="7">
        <f>_xlfn.XLOOKUP(A561,A560:A1159,[1]Sheet3!Q421:Q1020)</f>
        <v>1823.02</v>
      </c>
      <c r="N561" s="9">
        <f>_xlfn.XLOOKUP(A561,A560:A1159,[1]Sheet3!S421:S1020)</f>
        <v>0.19</v>
      </c>
      <c r="O561" s="7">
        <f>_xlfn.XLOOKUP(A561,A560:A1159,[1]Sheet3!T421:T1020)</f>
        <v>21680.07</v>
      </c>
      <c r="P561" s="7">
        <f>_xlfn.XLOOKUP(A561,A560:A1159,[1]Sheet3!U421:U1020)</f>
        <v>11667.37</v>
      </c>
      <c r="Q561" s="11">
        <f>_xlfn.XLOOKUP(A561,A560:A1159,[1]Sheet3!V421:V1020)</f>
        <v>0.53816108527324868</v>
      </c>
      <c r="R561" s="7">
        <f>_xlfn.XLOOKUP(A561,A560:A1159,[1]Sheet3!W421:W1020)</f>
        <v>63.11</v>
      </c>
      <c r="S561" t="str">
        <f>_xlfn.XLOOKUP(A561,A560:A1159,[1]Sheet3!X421:X1020)</f>
        <v>UPI</v>
      </c>
      <c r="T561" s="5">
        <f>_xlfn.XLOOKUP(A561,A560:A1159,[1]Sheet3!Z421:Z1020)</f>
        <v>5</v>
      </c>
      <c r="U561" t="b">
        <f>_xlfn.XLOOKUP(A561,A560:A1159,[1]Sheet3!AA421:AA1020)</f>
        <v>0</v>
      </c>
      <c r="V561" t="str">
        <f>_xlfn.XLOOKUP(A561,A560:A1159,[1]Sheet3!AC421:AC1020)</f>
        <v>Delivered</v>
      </c>
      <c r="W561" s="5">
        <f>_xlfn.XLOOKUP(A561,A560:A1159,[1]Sheet3!AE421:AE1020)</f>
        <v>6</v>
      </c>
    </row>
    <row r="562" spans="1:23" x14ac:dyDescent="0.35">
      <c r="A562" t="s">
        <v>97</v>
      </c>
      <c r="B562" s="1">
        <f>_xlfn.XLOOKUP(A562,A561:A1160,[1]Sheet3!C502:C1101)</f>
        <v>45539</v>
      </c>
      <c r="C562" t="str">
        <f>_xlfn.XLOOKUP(A562,A561:A1160,[1]Sheet3!D502:D1101)</f>
        <v>CUST41469</v>
      </c>
      <c r="D562" t="str">
        <f>_xlfn.XLOOKUP(A562,A561:A1160,[1]Sheet3!E502:E1101)</f>
        <v>Ananya Singh</v>
      </c>
      <c r="E562" s="5">
        <f>_xlfn.XLOOKUP(A562,A561:A1160,[1]Sheet3!G502:G1101)</f>
        <v>28</v>
      </c>
      <c r="F562" t="str">
        <f>_xlfn.XLOOKUP('Retail Sales'!A503,'Retail Sales'!A502:A1101,[1]Sheet3!H502:H1101)</f>
        <v>Young Adult</v>
      </c>
      <c r="G562" t="str">
        <f>_xlfn.XLOOKUP(A562,A561:A1160,[1]Sheet3!J502:J1101)</f>
        <v>Male</v>
      </c>
      <c r="H562" t="str">
        <f>_xlfn.XLOOKUP(A562,A561:A1160,[1]Sheet3!K502:K1101)</f>
        <v>West</v>
      </c>
      <c r="I562" t="str">
        <f>_xlfn.XLOOKUP(A562,A561:A1160,[1]Sheet3!L502:L1101)</f>
        <v>Mumbai</v>
      </c>
      <c r="J562" t="str">
        <f>_xlfn.XLOOKUP(A562,A561:A1160,[1]Sheet3!M502:M1101)</f>
        <v>Electronics</v>
      </c>
      <c r="K562" t="str">
        <f>_xlfn.XLOOKUP('Retail Sales'!A503,'Retail Sales'!A502:A1101,[1]Sheet3!N502:N1101)</f>
        <v>Smartphone</v>
      </c>
      <c r="L562" s="5">
        <f>_xlfn.XLOOKUP(A562,A561:A1160,[1]Sheet3!P502:P1101)</f>
        <v>3</v>
      </c>
      <c r="M562" s="7">
        <f>_xlfn.XLOOKUP(A562,A561:A1160,[1]Sheet3!Q502:Q1101)</f>
        <v>57941.59</v>
      </c>
      <c r="N562" s="9">
        <f>_xlfn.XLOOKUP(A562,A561:A1160,[1]Sheet3!S502:S1101)</f>
        <v>0.17</v>
      </c>
      <c r="O562" s="7">
        <f>_xlfn.XLOOKUP(A562,A561:A1160,[1]Sheet3!T502:T1101)</f>
        <v>202708.19</v>
      </c>
      <c r="P562" s="7">
        <f>_xlfn.XLOOKUP(A562,A561:A1160,[1]Sheet3!U502:U1101)</f>
        <v>27362.05</v>
      </c>
      <c r="Q562" s="11">
        <f>_xlfn.XLOOKUP(A562,A561:A1160,[1]Sheet3!V502:V1101)</f>
        <v>0.13498245926817262</v>
      </c>
      <c r="R562" s="7">
        <f>_xlfn.XLOOKUP(A562,A561:A1160,[1]Sheet3!W502:W1101)</f>
        <v>70.62</v>
      </c>
      <c r="S562" t="str">
        <f>_xlfn.XLOOKUP(A562,A561:A1160,[1]Sheet3!X502:X1101)</f>
        <v>Credit Card</v>
      </c>
      <c r="T562" s="5">
        <f>_xlfn.XLOOKUP(A562,A561:A1160,[1]Sheet3!Z502:Z1101)</f>
        <v>2</v>
      </c>
      <c r="U562" t="b">
        <f>_xlfn.XLOOKUP(A562,A561:A1160,[1]Sheet3!AA502:AA1101)</f>
        <v>1</v>
      </c>
      <c r="V562" t="str">
        <f>_xlfn.XLOOKUP(A562,A561:A1160,[1]Sheet3!AC502:AC1101)</f>
        <v>Returned</v>
      </c>
      <c r="W562" s="5">
        <f>_xlfn.XLOOKUP(A562,A561:A1160,[1]Sheet3!AE502:AE1101)</f>
        <v>5</v>
      </c>
    </row>
    <row r="563" spans="1:23" x14ac:dyDescent="0.35">
      <c r="A563" t="s">
        <v>10</v>
      </c>
      <c r="B563" s="1">
        <f>_xlfn.XLOOKUP(A563,A562:A1161,[1]Sheet3!C589:C1188)</f>
        <v>45542</v>
      </c>
      <c r="C563" t="str">
        <f>_xlfn.XLOOKUP(A563,A562:A1161,[1]Sheet3!D589:D1188)</f>
        <v>CUST46541</v>
      </c>
      <c r="D563" t="str">
        <f>_xlfn.XLOOKUP(A563,A562:A1161,[1]Sheet3!E589:E1188)</f>
        <v>Deepa Das</v>
      </c>
      <c r="E563" s="5">
        <f>_xlfn.XLOOKUP(A563,A562:A1161,[1]Sheet3!G589:G1188)</f>
        <v>32</v>
      </c>
      <c r="F563" t="str">
        <f>_xlfn.XLOOKUP('Retail Sales'!A590,'Retail Sales'!A589:A1188,[1]Sheet3!H589:H1188)</f>
        <v>Young Adult</v>
      </c>
      <c r="G563" t="str">
        <f>_xlfn.XLOOKUP(A563,A562:A1161,[1]Sheet3!J589:J1188)</f>
        <v>Other</v>
      </c>
      <c r="H563" t="str">
        <f>_xlfn.XLOOKUP(A563,A562:A1161,[1]Sheet3!K589:K1188)</f>
        <v>East</v>
      </c>
      <c r="I563" t="str">
        <f>_xlfn.XLOOKUP(A563,A562:A1161,[1]Sheet3!L589:L1188)</f>
        <v>Kolkata</v>
      </c>
      <c r="J563" t="str">
        <f>_xlfn.XLOOKUP(A563,A562:A1161,[1]Sheet3!M589:M1188)</f>
        <v>Beauty</v>
      </c>
      <c r="K563" t="str">
        <f>_xlfn.XLOOKUP('Retail Sales'!A590,'Retail Sales'!A589:A1188,[1]Sheet3!N589:N1188)</f>
        <v>Perfume</v>
      </c>
      <c r="L563" s="5">
        <f>_xlfn.XLOOKUP(A563,A562:A1161,[1]Sheet3!P589:P1188)</f>
        <v>3</v>
      </c>
      <c r="M563" s="7">
        <f>_xlfn.XLOOKUP(A563,A562:A1161,[1]Sheet3!Q589:Q1188)</f>
        <v>1229.8800000000001</v>
      </c>
      <c r="N563" s="9">
        <f>_xlfn.XLOOKUP(A563,A562:A1161,[1]Sheet3!S589:S1188)</f>
        <v>0.16</v>
      </c>
      <c r="O563" s="7">
        <f>_xlfn.XLOOKUP(A563,A562:A1161,[1]Sheet3!T589:T1188)</f>
        <v>4385.2700000000004</v>
      </c>
      <c r="P563" s="7">
        <f>_xlfn.XLOOKUP(A563,A562:A1161,[1]Sheet3!U589:U1188)</f>
        <v>2310.7399999999998</v>
      </c>
      <c r="Q563" s="11">
        <f>_xlfn.XLOOKUP(A563,A562:A1161,[1]Sheet3!V589:V1188)</f>
        <v>0.52693220713889899</v>
      </c>
      <c r="R563" s="7">
        <f>_xlfn.XLOOKUP(A563,A562:A1161,[1]Sheet3!W589:W1188)</f>
        <v>75.88</v>
      </c>
      <c r="S563" t="str">
        <f>_xlfn.XLOOKUP(A563,A562:A1161,[1]Sheet3!X589:X1188)</f>
        <v>Credit Card</v>
      </c>
      <c r="T563" s="5">
        <f>_xlfn.XLOOKUP(A563,A562:A1161,[1]Sheet3!Z589:Z1188)</f>
        <v>5</v>
      </c>
      <c r="U563" t="b">
        <f>_xlfn.XLOOKUP(A563,A562:A1161,[1]Sheet3!AA589:AA1188)</f>
        <v>0</v>
      </c>
      <c r="V563" t="str">
        <f>_xlfn.XLOOKUP(A563,A562:A1161,[1]Sheet3!AC589:AC1188)</f>
        <v>Pending</v>
      </c>
      <c r="W563" s="5">
        <f>_xlfn.XLOOKUP(A563,A562:A1161,[1]Sheet3!AE589:AE1188)</f>
        <v>4</v>
      </c>
    </row>
    <row r="564" spans="1:23" x14ac:dyDescent="0.35">
      <c r="A564" t="s">
        <v>264</v>
      </c>
      <c r="B564" s="1">
        <f>_xlfn.XLOOKUP(A564,A563:A1162,[1]Sheet3!C335:C934)</f>
        <v>45545</v>
      </c>
      <c r="C564" t="str">
        <f>_xlfn.XLOOKUP(A564,A563:A1162,[1]Sheet3!D335:D934)</f>
        <v>CUST72202</v>
      </c>
      <c r="D564" t="str">
        <f>_xlfn.XLOOKUP(A564,A563:A1162,[1]Sheet3!E335:E934)</f>
        <v>Aarav Joshi</v>
      </c>
      <c r="E564" s="5">
        <f>_xlfn.XLOOKUP(A564,A563:A1162,[1]Sheet3!G335:G934)</f>
        <v>28</v>
      </c>
      <c r="F564" t="str">
        <f>_xlfn.XLOOKUP('Retail Sales'!A336,'Retail Sales'!A335:A934,[1]Sheet3!H335:H934)</f>
        <v>Young Adult</v>
      </c>
      <c r="G564" t="str">
        <f>_xlfn.XLOOKUP(A564,A563:A1162,[1]Sheet3!J335:J934)</f>
        <v>Male</v>
      </c>
      <c r="H564" t="str">
        <f>_xlfn.XLOOKUP(A564,A563:A1162,[1]Sheet3!K335:K934)</f>
        <v>West</v>
      </c>
      <c r="I564" t="str">
        <f>_xlfn.XLOOKUP(A564,A563:A1162,[1]Sheet3!L335:L934)</f>
        <v>Ahmedabad</v>
      </c>
      <c r="J564" t="str">
        <f>_xlfn.XLOOKUP(A564,A563:A1162,[1]Sheet3!M335:M934)</f>
        <v>Electronics</v>
      </c>
      <c r="K564" t="str">
        <f>_xlfn.XLOOKUP('Retail Sales'!A336,'Retail Sales'!A335:A934,[1]Sheet3!N335:N934)</f>
        <v>Headphones</v>
      </c>
      <c r="L564" s="5">
        <f>_xlfn.XLOOKUP(A564,A563:A1162,[1]Sheet3!P335:P934)</f>
        <v>1</v>
      </c>
      <c r="M564" s="7">
        <f>_xlfn.XLOOKUP(A564,A563:A1162,[1]Sheet3!Q335:Q934)</f>
        <v>40304.61</v>
      </c>
      <c r="N564" s="9">
        <f>_xlfn.XLOOKUP(A564,A563:A1162,[1]Sheet3!S335:S934)</f>
        <v>0.04</v>
      </c>
      <c r="O564" s="7">
        <f>_xlfn.XLOOKUP(A564,A563:A1162,[1]Sheet3!T335:T934)</f>
        <v>54475.55</v>
      </c>
      <c r="P564" s="7">
        <f>_xlfn.XLOOKUP(A564,A563:A1162,[1]Sheet3!U335:U934)</f>
        <v>5497.55</v>
      </c>
      <c r="Q564" s="11">
        <f>_xlfn.XLOOKUP(A564,A563:A1162,[1]Sheet3!V335:V934)</f>
        <v>0.10091775117460952</v>
      </c>
      <c r="R564" s="7">
        <f>_xlfn.XLOOKUP(A564,A563:A1162,[1]Sheet3!W335:W934)</f>
        <v>73.05</v>
      </c>
      <c r="S564" t="str">
        <f>_xlfn.XLOOKUP(A564,A563:A1162,[1]Sheet3!X335:X934)</f>
        <v>UPI</v>
      </c>
      <c r="T564" s="5">
        <f>_xlfn.XLOOKUP(A564,A563:A1162,[1]Sheet3!Z335:Z934)</f>
        <v>2</v>
      </c>
      <c r="U564" t="b">
        <f>_xlfn.XLOOKUP(A564,A563:A1162,[1]Sheet3!AA335:AA934)</f>
        <v>0</v>
      </c>
      <c r="V564" t="str">
        <f>_xlfn.XLOOKUP(A564,A563:A1162,[1]Sheet3!AC335:AC934)</f>
        <v>Cancelled</v>
      </c>
      <c r="W564" s="5">
        <f>_xlfn.XLOOKUP(A564,A563:A1162,[1]Sheet3!AE335:AE934)</f>
        <v>5</v>
      </c>
    </row>
    <row r="565" spans="1:23" x14ac:dyDescent="0.35">
      <c r="A565" t="s">
        <v>288</v>
      </c>
      <c r="B565" s="1">
        <f>_xlfn.XLOOKUP(A565,A564:A1163,[1]Sheet3!C311:C910)</f>
        <v>45555</v>
      </c>
      <c r="C565" t="str">
        <f>_xlfn.XLOOKUP(A565,A564:A1163,[1]Sheet3!D311:D910)</f>
        <v>CUST65197</v>
      </c>
      <c r="D565" t="str">
        <f>_xlfn.XLOOKUP(A565,A564:A1163,[1]Sheet3!E311:E910)</f>
        <v>Rohan Chatterjee</v>
      </c>
      <c r="E565" s="5">
        <f>_xlfn.XLOOKUP(A565,A564:A1163,[1]Sheet3!G311:G910)</f>
        <v>38</v>
      </c>
      <c r="F565" t="str">
        <f>_xlfn.XLOOKUP('Retail Sales'!A312,'Retail Sales'!A311:A910,[1]Sheet3!H311:H910)</f>
        <v>Adult</v>
      </c>
      <c r="G565" t="str">
        <f>_xlfn.XLOOKUP(A565,A564:A1163,[1]Sheet3!J311:J910)</f>
        <v>Female</v>
      </c>
      <c r="H565" t="str">
        <f>_xlfn.XLOOKUP(A565,A564:A1163,[1]Sheet3!K311:K910)</f>
        <v>South</v>
      </c>
      <c r="I565" t="str">
        <f>_xlfn.XLOOKUP(A565,A564:A1163,[1]Sheet3!L311:L910)</f>
        <v>Chennai</v>
      </c>
      <c r="J565" t="str">
        <f>_xlfn.XLOOKUP(A565,A564:A1163,[1]Sheet3!M311:M910)</f>
        <v>Books</v>
      </c>
      <c r="K565" t="str">
        <f>_xlfn.XLOOKUP('Retail Sales'!A312,'Retail Sales'!A311:A910,[1]Sheet3!N311:N910)</f>
        <v>Fiction Novel</v>
      </c>
      <c r="L565" s="5">
        <f>_xlfn.XLOOKUP(A565,A564:A1163,[1]Sheet3!P311:P910)</f>
        <v>9</v>
      </c>
      <c r="M565" s="7">
        <f>_xlfn.XLOOKUP(A565,A564:A1163,[1]Sheet3!Q311:Q910)</f>
        <v>816.41</v>
      </c>
      <c r="N565" s="9">
        <f>_xlfn.XLOOKUP(A565,A564:A1163,[1]Sheet3!S311:S910)</f>
        <v>0.35</v>
      </c>
      <c r="O565" s="7">
        <f>_xlfn.XLOOKUP(A565,A564:A1163,[1]Sheet3!T311:T910)</f>
        <v>5054.28</v>
      </c>
      <c r="P565" s="7">
        <f>_xlfn.XLOOKUP(A565,A564:A1163,[1]Sheet3!U311:U910)</f>
        <v>2136.9</v>
      </c>
      <c r="Q565" s="11">
        <f>_xlfn.XLOOKUP(A565,A564:A1163,[1]Sheet3!V311:V910)</f>
        <v>0.42279018970061022</v>
      </c>
      <c r="R565" s="7">
        <f>_xlfn.XLOOKUP(A565,A564:A1163,[1]Sheet3!W311:W910)</f>
        <v>42.16</v>
      </c>
      <c r="S565" t="str">
        <f>_xlfn.XLOOKUP(A565,A564:A1163,[1]Sheet3!X311:X910)</f>
        <v>UPI</v>
      </c>
      <c r="T565" s="5">
        <f>_xlfn.XLOOKUP(A565,A564:A1163,[1]Sheet3!Z311:Z910)</f>
        <v>2</v>
      </c>
      <c r="U565" t="b">
        <f>_xlfn.XLOOKUP(A565,A564:A1163,[1]Sheet3!AA311:AA910)</f>
        <v>0</v>
      </c>
      <c r="V565" t="str">
        <f>_xlfn.XLOOKUP(A565,A564:A1163,[1]Sheet3!AC311:AC910)</f>
        <v>Delivered</v>
      </c>
      <c r="W565" s="5">
        <f>_xlfn.XLOOKUP(A565,A564:A1163,[1]Sheet3!AE311:AE910)</f>
        <v>5</v>
      </c>
    </row>
    <row r="566" spans="1:23" x14ac:dyDescent="0.35">
      <c r="A566" t="s">
        <v>183</v>
      </c>
      <c r="B566" s="1">
        <f>_xlfn.XLOOKUP(A566,A565:A1164,[1]Sheet3!C416:C1015)</f>
        <v>45556</v>
      </c>
      <c r="C566" t="str">
        <f>_xlfn.XLOOKUP(A566,A565:A1164,[1]Sheet3!D416:D1015)</f>
        <v>CUST60857</v>
      </c>
      <c r="D566" t="str">
        <f>_xlfn.XLOOKUP(A566,A565:A1164,[1]Sheet3!E416:E1015)</f>
        <v>Aarav Kapoor</v>
      </c>
      <c r="E566" s="5">
        <f>_xlfn.XLOOKUP(A566,A565:A1164,[1]Sheet3!G416:G1015)</f>
        <v>30</v>
      </c>
      <c r="F566" t="str">
        <f>_xlfn.XLOOKUP('Retail Sales'!A417,'Retail Sales'!A416:A1015,[1]Sheet3!H416:H1015)</f>
        <v>Young Adult</v>
      </c>
      <c r="G566" t="str">
        <f>_xlfn.XLOOKUP(A566,A565:A1164,[1]Sheet3!J416:J1015)</f>
        <v>Male</v>
      </c>
      <c r="H566" t="str">
        <f>_xlfn.XLOOKUP(A566,A565:A1164,[1]Sheet3!K416:K1015)</f>
        <v>Central</v>
      </c>
      <c r="I566" t="str">
        <f>_xlfn.XLOOKUP(A566,A565:A1164,[1]Sheet3!L416:L1015)</f>
        <v>Raipur</v>
      </c>
      <c r="J566" t="str">
        <f>_xlfn.XLOOKUP(A566,A565:A1164,[1]Sheet3!M416:M1015)</f>
        <v>Beauty</v>
      </c>
      <c r="K566" t="str">
        <f>_xlfn.XLOOKUP('Retail Sales'!A417,'Retail Sales'!A416:A1015,[1]Sheet3!N416:N1015)</f>
        <v>Sunscreen</v>
      </c>
      <c r="L566" s="5">
        <f>_xlfn.XLOOKUP(A566,A565:A1164,[1]Sheet3!P416:P1015)</f>
        <v>7</v>
      </c>
      <c r="M566" s="7">
        <f>_xlfn.XLOOKUP(A566,A565:A1164,[1]Sheet3!Q416:Q1015)</f>
        <v>2114.17</v>
      </c>
      <c r="N566" s="9">
        <f>_xlfn.XLOOKUP(A566,A565:A1164,[1]Sheet3!S416:S1015)</f>
        <v>0.39</v>
      </c>
      <c r="O566" s="7">
        <f>_xlfn.XLOOKUP(A566,A565:A1164,[1]Sheet3!T416:T1015)</f>
        <v>13036.59</v>
      </c>
      <c r="P566" s="7">
        <f>_xlfn.XLOOKUP(A566,A565:A1164,[1]Sheet3!U416:U1015)</f>
        <v>6081.67</v>
      </c>
      <c r="Q566" s="11">
        <f>_xlfn.XLOOKUP(A566,A565:A1164,[1]Sheet3!V416:V1015)</f>
        <v>0.46650772939856205</v>
      </c>
      <c r="R566" s="7">
        <f>_xlfn.XLOOKUP(A566,A565:A1164,[1]Sheet3!W416:W1015)</f>
        <v>26.71</v>
      </c>
      <c r="S566" t="str">
        <f>_xlfn.XLOOKUP(A566,A565:A1164,[1]Sheet3!X416:X1015)</f>
        <v>Debit Card</v>
      </c>
      <c r="T566" s="5">
        <f>_xlfn.XLOOKUP(A566,A565:A1164,[1]Sheet3!Z416:Z1015)</f>
        <v>3</v>
      </c>
      <c r="U566" t="b">
        <f>_xlfn.XLOOKUP(A566,A565:A1164,[1]Sheet3!AA416:AA1015)</f>
        <v>0</v>
      </c>
      <c r="V566" t="str">
        <f>_xlfn.XLOOKUP(A566,A565:A1164,[1]Sheet3!AC416:AC1015)</f>
        <v>Delivered</v>
      </c>
      <c r="W566" s="5">
        <f>_xlfn.XLOOKUP(A566,A565:A1164,[1]Sheet3!AE416:AE1015)</f>
        <v>5</v>
      </c>
    </row>
    <row r="567" spans="1:23" x14ac:dyDescent="0.35">
      <c r="A567" t="s">
        <v>449</v>
      </c>
      <c r="B567" s="1">
        <f>_xlfn.XLOOKUP(A567,A566:A1165,[1]Sheet3!C150:C749)</f>
        <v>45557</v>
      </c>
      <c r="C567" t="str">
        <f>_xlfn.XLOOKUP(A567,A566:A1165,[1]Sheet3!D150:D749)</f>
        <v>CUST57164</v>
      </c>
      <c r="D567" t="str">
        <f>_xlfn.XLOOKUP(A567,A566:A1165,[1]Sheet3!E150:E749)</f>
        <v>Karan Reddy</v>
      </c>
      <c r="E567" s="5">
        <f>_xlfn.XLOOKUP(A567,A566:A1165,[1]Sheet3!G150:G749)</f>
        <v>36</v>
      </c>
      <c r="F567" t="str">
        <f>_xlfn.XLOOKUP('Retail Sales'!A151,'Retail Sales'!A150:A749,[1]Sheet3!H150:H749)</f>
        <v>Adult</v>
      </c>
      <c r="G567" t="str">
        <f>_xlfn.XLOOKUP(A567,A566:A1165,[1]Sheet3!J150:J749)</f>
        <v>Male</v>
      </c>
      <c r="H567" t="str">
        <f>_xlfn.XLOOKUP(A567,A566:A1165,[1]Sheet3!K150:K749)</f>
        <v>East</v>
      </c>
      <c r="I567" t="str">
        <f>_xlfn.XLOOKUP(A567,A566:A1165,[1]Sheet3!L150:L749)</f>
        <v>Bhubaneswar</v>
      </c>
      <c r="J567" t="str">
        <f>_xlfn.XLOOKUP(A567,A566:A1165,[1]Sheet3!M150:M749)</f>
        <v>Beauty</v>
      </c>
      <c r="K567" t="str">
        <f>_xlfn.XLOOKUP('Retail Sales'!A151,'Retail Sales'!A150:A749,[1]Sheet3!N150:N749)</f>
        <v>Sunscreen</v>
      </c>
      <c r="L567" s="5">
        <f>_xlfn.XLOOKUP(A567,A566:A1165,[1]Sheet3!P150:P749)</f>
        <v>4</v>
      </c>
      <c r="M567" s="7">
        <f>_xlfn.XLOOKUP(A567,A566:A1165,[1]Sheet3!Q150:Q749)</f>
        <v>2333.1</v>
      </c>
      <c r="N567" s="9">
        <f>_xlfn.XLOOKUP(A567,A566:A1165,[1]Sheet3!S150:S749)</f>
        <v>0.22</v>
      </c>
      <c r="O567" s="7">
        <f>_xlfn.XLOOKUP(A567,A566:A1165,[1]Sheet3!T150:T749)</f>
        <v>11296.75</v>
      </c>
      <c r="P567" s="7">
        <f>_xlfn.XLOOKUP(A567,A566:A1165,[1]Sheet3!U150:U749)</f>
        <v>4828.37</v>
      </c>
      <c r="Q567" s="11">
        <f>_xlfn.XLOOKUP(A567,A566:A1165,[1]Sheet3!V150:V749)</f>
        <v>0.42741230884989045</v>
      </c>
      <c r="R567" s="7">
        <f>_xlfn.XLOOKUP(A567,A566:A1165,[1]Sheet3!W150:W749)</f>
        <v>72.08</v>
      </c>
      <c r="S567" t="str">
        <f>_xlfn.XLOOKUP(A567,A566:A1165,[1]Sheet3!X150:X749)</f>
        <v>UPI</v>
      </c>
      <c r="T567" s="5">
        <f>_xlfn.XLOOKUP(A567,A566:A1165,[1]Sheet3!Z150:Z749)</f>
        <v>3</v>
      </c>
      <c r="U567" t="b">
        <f>_xlfn.XLOOKUP(A567,A566:A1165,[1]Sheet3!AA150:AA749)</f>
        <v>1</v>
      </c>
      <c r="V567" t="str">
        <f>_xlfn.XLOOKUP(A567,A566:A1165,[1]Sheet3!AC150:AC749)</f>
        <v>Returned</v>
      </c>
      <c r="W567" s="5">
        <f>_xlfn.XLOOKUP(A567,A566:A1165,[1]Sheet3!AE150:AE749)</f>
        <v>10</v>
      </c>
    </row>
    <row r="568" spans="1:23" x14ac:dyDescent="0.35">
      <c r="A568" t="s">
        <v>424</v>
      </c>
      <c r="B568" s="1">
        <f>_xlfn.XLOOKUP(A568,A567:A1166,[1]Sheet3!C175:C774)</f>
        <v>45558</v>
      </c>
      <c r="C568" t="str">
        <f>_xlfn.XLOOKUP(A568,A567:A1166,[1]Sheet3!D175:D774)</f>
        <v>CUST81465</v>
      </c>
      <c r="D568" t="str">
        <f>_xlfn.XLOOKUP(A568,A567:A1166,[1]Sheet3!E175:E774)</f>
        <v>Rohan Pillai</v>
      </c>
      <c r="E568" s="5">
        <f>_xlfn.XLOOKUP(A568,A567:A1166,[1]Sheet3!G175:G774)</f>
        <v>38</v>
      </c>
      <c r="F568" t="str">
        <f>_xlfn.XLOOKUP('Retail Sales'!A176,'Retail Sales'!A175:A774,[1]Sheet3!H175:H774)</f>
        <v>Adult</v>
      </c>
      <c r="G568" t="str">
        <f>_xlfn.XLOOKUP(A568,A567:A1166,[1]Sheet3!J175:J774)</f>
        <v>Male</v>
      </c>
      <c r="H568" t="str">
        <f>_xlfn.XLOOKUP(A568,A567:A1166,[1]Sheet3!K175:K774)</f>
        <v>Central</v>
      </c>
      <c r="I568" t="str">
        <f>_xlfn.XLOOKUP(A568,A567:A1166,[1]Sheet3!L175:L774)</f>
        <v>Indore</v>
      </c>
      <c r="J568" t="str">
        <f>_xlfn.XLOOKUP(A568,A567:A1166,[1]Sheet3!M175:M774)</f>
        <v>Groceries</v>
      </c>
      <c r="K568" t="str">
        <f>_xlfn.XLOOKUP('Retail Sales'!A176,'Retail Sales'!A175:A774,[1]Sheet3!N175:N774)</f>
        <v>Flour</v>
      </c>
      <c r="L568" s="5">
        <f>_xlfn.XLOOKUP(A568,A567:A1166,[1]Sheet3!P175:P774)</f>
        <v>5</v>
      </c>
      <c r="M568" s="7">
        <f>_xlfn.XLOOKUP(A568,A567:A1166,[1]Sheet3!Q175:Q774)</f>
        <v>195.29</v>
      </c>
      <c r="N568" s="9">
        <f>_xlfn.XLOOKUP(A568,A567:A1166,[1]Sheet3!S175:S774)</f>
        <v>0.16</v>
      </c>
      <c r="O568" s="7">
        <f>_xlfn.XLOOKUP(A568,A567:A1166,[1]Sheet3!T175:T774)</f>
        <v>1055.0999999999999</v>
      </c>
      <c r="P568" s="7">
        <f>_xlfn.XLOOKUP(A568,A567:A1166,[1]Sheet3!U175:U774)</f>
        <v>81.38</v>
      </c>
      <c r="Q568" s="11">
        <f>_xlfn.XLOOKUP(A568,A567:A1166,[1]Sheet3!V175:V774)</f>
        <v>7.7130129845512277E-2</v>
      </c>
      <c r="R568" s="7">
        <f>_xlfn.XLOOKUP(A568,A567:A1166,[1]Sheet3!W175:W774)</f>
        <v>32.28</v>
      </c>
      <c r="S568" t="str">
        <f>_xlfn.XLOOKUP(A568,A567:A1166,[1]Sheet3!X175:X774)</f>
        <v>Credit Card</v>
      </c>
      <c r="T568" s="5">
        <f>_xlfn.XLOOKUP(A568,A567:A1166,[1]Sheet3!Z175:Z774)</f>
        <v>3</v>
      </c>
      <c r="U568" t="b">
        <f>_xlfn.XLOOKUP(A568,A567:A1166,[1]Sheet3!AA175:AA774)</f>
        <v>0</v>
      </c>
      <c r="V568" t="str">
        <f>_xlfn.XLOOKUP(A568,A567:A1166,[1]Sheet3!AC175:AC774)</f>
        <v>Cancelled</v>
      </c>
      <c r="W568" s="5">
        <f>_xlfn.XLOOKUP(A568,A567:A1166,[1]Sheet3!AE175:AE774)</f>
        <v>5</v>
      </c>
    </row>
    <row r="569" spans="1:23" x14ac:dyDescent="0.35">
      <c r="A569" t="s">
        <v>394</v>
      </c>
      <c r="B569" s="1">
        <f>_xlfn.XLOOKUP(A569,A568:A1167,[1]Sheet3!C205:C804)</f>
        <v>45560</v>
      </c>
      <c r="C569" t="str">
        <f>_xlfn.XLOOKUP(A569,A568:A1167,[1]Sheet3!D205:D804)</f>
        <v>CUST45019</v>
      </c>
      <c r="D569" t="str">
        <f>_xlfn.XLOOKUP(A569,A568:A1167,[1]Sheet3!E205:E804)</f>
        <v>Nikhil Mishra</v>
      </c>
      <c r="E569" s="5">
        <f>_xlfn.XLOOKUP(A569,A568:A1167,[1]Sheet3!G205:G804)</f>
        <v>27</v>
      </c>
      <c r="F569" t="str">
        <f>_xlfn.XLOOKUP('Retail Sales'!A206,'Retail Sales'!A205:A804,[1]Sheet3!H205:H804)</f>
        <v>Young Adult</v>
      </c>
      <c r="G569" t="str">
        <f>_xlfn.XLOOKUP(A569,A568:A1167,[1]Sheet3!J205:J804)</f>
        <v>Other</v>
      </c>
      <c r="H569" t="str">
        <f>_xlfn.XLOOKUP(A569,A568:A1167,[1]Sheet3!K205:K804)</f>
        <v>North</v>
      </c>
      <c r="I569" t="str">
        <f>_xlfn.XLOOKUP(A569,A568:A1167,[1]Sheet3!L205:L804)</f>
        <v>Amritsar</v>
      </c>
      <c r="J569" t="str">
        <f>_xlfn.XLOOKUP(A569,A568:A1167,[1]Sheet3!M205:M804)</f>
        <v>Clothing</v>
      </c>
      <c r="K569" t="str">
        <f>_xlfn.XLOOKUP('Retail Sales'!A206,'Retail Sales'!A205:A804,[1]Sheet3!N205:N804)</f>
        <v>Dress</v>
      </c>
      <c r="L569" s="5">
        <f>_xlfn.XLOOKUP(A569,A568:A1167,[1]Sheet3!P205:P804)</f>
        <v>1</v>
      </c>
      <c r="M569" s="7">
        <f>_xlfn.XLOOKUP(A569,A568:A1167,[1]Sheet3!Q205:Q804)</f>
        <v>2472.06</v>
      </c>
      <c r="N569" s="9">
        <f>_xlfn.XLOOKUP(A569,A568:A1167,[1]Sheet3!S205:S804)</f>
        <v>0.23</v>
      </c>
      <c r="O569" s="7">
        <f>_xlfn.XLOOKUP(A569,A568:A1167,[1]Sheet3!T205:T804)</f>
        <v>2559.11</v>
      </c>
      <c r="P569" s="7">
        <f>_xlfn.XLOOKUP(A569,A568:A1167,[1]Sheet3!U205:U804)</f>
        <v>756.36</v>
      </c>
      <c r="Q569" s="11">
        <f>_xlfn.XLOOKUP(A569,A568:A1167,[1]Sheet3!V205:V804)</f>
        <v>0.29555587684781037</v>
      </c>
      <c r="R569" s="7">
        <f>_xlfn.XLOOKUP(A569,A568:A1167,[1]Sheet3!W205:W804)</f>
        <v>57.21</v>
      </c>
      <c r="S569" t="str">
        <f>_xlfn.XLOOKUP(A569,A568:A1167,[1]Sheet3!X205:X804)</f>
        <v>Net Banking</v>
      </c>
      <c r="T569" s="5">
        <f>_xlfn.XLOOKUP(A569,A568:A1167,[1]Sheet3!Z205:Z804)</f>
        <v>5</v>
      </c>
      <c r="U569" t="b">
        <f>_xlfn.XLOOKUP(A569,A568:A1167,[1]Sheet3!AA205:AA804)</f>
        <v>0</v>
      </c>
      <c r="V569" t="str">
        <f>_xlfn.XLOOKUP(A569,A568:A1167,[1]Sheet3!AC205:AC804)</f>
        <v>Delivered</v>
      </c>
      <c r="W569" s="5">
        <f>_xlfn.XLOOKUP(A569,A568:A1167,[1]Sheet3!AE205:AE804)</f>
        <v>10</v>
      </c>
    </row>
    <row r="570" spans="1:23" x14ac:dyDescent="0.35">
      <c r="A570" t="s">
        <v>417</v>
      </c>
      <c r="B570" s="1">
        <f>_xlfn.XLOOKUP(A570,A569:A1168,[1]Sheet3!C182:C781)</f>
        <v>45566</v>
      </c>
      <c r="C570" t="str">
        <f>_xlfn.XLOOKUP(A570,A569:A1168,[1]Sheet3!D182:D781)</f>
        <v>CUST50530</v>
      </c>
      <c r="D570" t="str">
        <f>_xlfn.XLOOKUP(A570,A569:A1168,[1]Sheet3!E182:E781)</f>
        <v>Nikhil Patel</v>
      </c>
      <c r="E570" s="5">
        <f>_xlfn.XLOOKUP(A570,A569:A1168,[1]Sheet3!G182:G781)</f>
        <v>36</v>
      </c>
      <c r="F570" t="str">
        <f>_xlfn.XLOOKUP('Retail Sales'!A183,'Retail Sales'!A182:A781,[1]Sheet3!H182:H781)</f>
        <v>Adult</v>
      </c>
      <c r="G570" t="str">
        <f>_xlfn.XLOOKUP(A570,A569:A1168,[1]Sheet3!J182:J781)</f>
        <v>Male</v>
      </c>
      <c r="H570" t="str">
        <f>_xlfn.XLOOKUP(A570,A569:A1168,[1]Sheet3!K182:K781)</f>
        <v>North</v>
      </c>
      <c r="I570" t="str">
        <f>_xlfn.XLOOKUP(A570,A569:A1168,[1]Sheet3!L182:L781)</f>
        <v>Amritsar</v>
      </c>
      <c r="J570" t="str">
        <f>_xlfn.XLOOKUP(A570,A569:A1168,[1]Sheet3!M182:M781)</f>
        <v>Furniture</v>
      </c>
      <c r="K570" t="str">
        <f>_xlfn.XLOOKUP('Retail Sales'!A183,'Retail Sales'!A182:A781,[1]Sheet3!N182:N781)</f>
        <v>Bed Frame</v>
      </c>
      <c r="L570" s="5">
        <f>_xlfn.XLOOKUP(A570,A569:A1168,[1]Sheet3!P182:P781)</f>
        <v>5</v>
      </c>
      <c r="M570" s="7">
        <f>_xlfn.XLOOKUP(A570,A569:A1168,[1]Sheet3!Q182:Q781)</f>
        <v>16493.240000000002</v>
      </c>
      <c r="N570" s="9">
        <f>_xlfn.XLOOKUP(A570,A569:A1168,[1]Sheet3!S182:S781)</f>
        <v>0.1</v>
      </c>
      <c r="O570" s="7">
        <f>_xlfn.XLOOKUP(A570,A569:A1168,[1]Sheet3!T182:T781)</f>
        <v>95102.09</v>
      </c>
      <c r="P570" s="7">
        <f>_xlfn.XLOOKUP(A570,A569:A1168,[1]Sheet3!U182:U781)</f>
        <v>29222.3</v>
      </c>
      <c r="Q570" s="11">
        <f>_xlfn.XLOOKUP(A570,A569:A1168,[1]Sheet3!V182:V781)</f>
        <v>0.30727295267643434</v>
      </c>
      <c r="R570" s="7">
        <f>_xlfn.XLOOKUP(A570,A569:A1168,[1]Sheet3!W182:W781)</f>
        <v>63.55</v>
      </c>
      <c r="S570" t="str">
        <f>_xlfn.XLOOKUP(A570,A569:A1168,[1]Sheet3!X182:X781)</f>
        <v>Cash on Delivery</v>
      </c>
      <c r="T570" s="5">
        <f>_xlfn.XLOOKUP(A570,A569:A1168,[1]Sheet3!Z182:Z781)</f>
        <v>5</v>
      </c>
      <c r="U570" t="b">
        <f>_xlfn.XLOOKUP(A570,A569:A1168,[1]Sheet3!AA182:AA781)</f>
        <v>0</v>
      </c>
      <c r="V570" t="str">
        <f>_xlfn.XLOOKUP(A570,A569:A1168,[1]Sheet3!AC182:AC781)</f>
        <v>Delivered</v>
      </c>
      <c r="W570" s="5">
        <f>_xlfn.XLOOKUP(A570,A569:A1168,[1]Sheet3!AE182:AE781)</f>
        <v>5</v>
      </c>
    </row>
    <row r="571" spans="1:23" x14ac:dyDescent="0.35">
      <c r="A571" t="s">
        <v>511</v>
      </c>
      <c r="B571" s="1">
        <f>_xlfn.XLOOKUP(A571,A570:A1169,[1]Sheet3!C88:C687)</f>
        <v>45568</v>
      </c>
      <c r="C571" t="str">
        <f>_xlfn.XLOOKUP(A571,A570:A1169,[1]Sheet3!D88:D687)</f>
        <v>CUST02198</v>
      </c>
      <c r="D571" t="str">
        <f>_xlfn.XLOOKUP(A571,A570:A1169,[1]Sheet3!E88:E687)</f>
        <v>Meera Singh</v>
      </c>
      <c r="E571" s="5">
        <f>_xlfn.XLOOKUP(A571,A570:A1169,[1]Sheet3!G88:G687)</f>
        <v>34</v>
      </c>
      <c r="F571" t="str">
        <f>_xlfn.XLOOKUP('Retail Sales'!A89,'Retail Sales'!A88:A687,[1]Sheet3!H88:H687)</f>
        <v>Young Adult</v>
      </c>
      <c r="G571" t="str">
        <f>_xlfn.XLOOKUP(A571,A570:A1169,[1]Sheet3!J88:J687)</f>
        <v>Male</v>
      </c>
      <c r="H571" t="str">
        <f>_xlfn.XLOOKUP(A571,A570:A1169,[1]Sheet3!K88:K687)</f>
        <v>East</v>
      </c>
      <c r="I571" t="str">
        <f>_xlfn.XLOOKUP(A571,A570:A1169,[1]Sheet3!L88:L687)</f>
        <v>Kolkata</v>
      </c>
      <c r="J571" t="str">
        <f>_xlfn.XLOOKUP(A571,A570:A1169,[1]Sheet3!M88:M687)</f>
        <v>Sports</v>
      </c>
      <c r="K571" t="str">
        <f>_xlfn.XLOOKUP('Retail Sales'!A89,'Retail Sales'!A88:A687,[1]Sheet3!N88:N687)</f>
        <v>Tennis Racket</v>
      </c>
      <c r="L571" s="5">
        <f>_xlfn.XLOOKUP(A571,A570:A1169,[1]Sheet3!P88:P687)</f>
        <v>2</v>
      </c>
      <c r="M571" s="7">
        <f>_xlfn.XLOOKUP(A571,A570:A1169,[1]Sheet3!Q88:Q687)</f>
        <v>2854.89</v>
      </c>
      <c r="N571" s="9">
        <f>_xlfn.XLOOKUP(A571,A570:A1169,[1]Sheet3!S88:S687)</f>
        <v>0.06</v>
      </c>
      <c r="O571" s="7">
        <f>_xlfn.XLOOKUP(A571,A570:A1169,[1]Sheet3!T88:T687)</f>
        <v>6360.16</v>
      </c>
      <c r="P571" s="7">
        <f>_xlfn.XLOOKUP(A571,A570:A1169,[1]Sheet3!U88:U687)</f>
        <v>1203.75</v>
      </c>
      <c r="Q571" s="11">
        <f>_xlfn.XLOOKUP(A571,A570:A1169,[1]Sheet3!V88:V687)</f>
        <v>0.1892641065633569</v>
      </c>
      <c r="R571" s="7">
        <f>_xlfn.XLOOKUP(A571,A570:A1169,[1]Sheet3!W88:W687)</f>
        <v>86.84</v>
      </c>
      <c r="S571" t="str">
        <f>_xlfn.XLOOKUP(A571,A570:A1169,[1]Sheet3!X88:X687)</f>
        <v>UPI</v>
      </c>
      <c r="T571" s="5">
        <f>_xlfn.XLOOKUP(A571,A570:A1169,[1]Sheet3!Z88:Z687)</f>
        <v>3</v>
      </c>
      <c r="U571" t="b">
        <f>_xlfn.XLOOKUP(A571,A570:A1169,[1]Sheet3!AA88:AA687)</f>
        <v>0</v>
      </c>
      <c r="V571" t="str">
        <f>_xlfn.XLOOKUP(A571,A570:A1169,[1]Sheet3!AC88:AC687)</f>
        <v>Delivered</v>
      </c>
      <c r="W571" s="5">
        <f>_xlfn.XLOOKUP(A571,A570:A1169,[1]Sheet3!AE88:AE687)</f>
        <v>9</v>
      </c>
    </row>
    <row r="572" spans="1:23" x14ac:dyDescent="0.35">
      <c r="A572" t="s">
        <v>169</v>
      </c>
      <c r="B572" s="1">
        <f>_xlfn.XLOOKUP(A572,A571:A1170,[1]Sheet3!C430:C1029)</f>
        <v>45574</v>
      </c>
      <c r="C572" t="str">
        <f>_xlfn.XLOOKUP(A572,A571:A1170,[1]Sheet3!D430:D1029)</f>
        <v>CUST76630</v>
      </c>
      <c r="D572" t="str">
        <f>_xlfn.XLOOKUP(A572,A571:A1170,[1]Sheet3!E430:E1029)</f>
        <v>Aarav Patel</v>
      </c>
      <c r="E572" s="5">
        <f>_xlfn.XLOOKUP(A572,A571:A1170,[1]Sheet3!G430:G1029)</f>
        <v>34.294220665499125</v>
      </c>
      <c r="F572" t="str">
        <f>_xlfn.XLOOKUP('Retail Sales'!A431,'Retail Sales'!A430:A1029,[1]Sheet3!H430:H1029)</f>
        <v>Young Adult</v>
      </c>
      <c r="G572" t="str">
        <f>_xlfn.XLOOKUP(A572,A571:A1170,[1]Sheet3!J430:J1029)</f>
        <v>Male</v>
      </c>
      <c r="H572" t="str">
        <f>_xlfn.XLOOKUP(A572,A571:A1170,[1]Sheet3!K430:K1029)</f>
        <v>South</v>
      </c>
      <c r="I572" t="str">
        <f>_xlfn.XLOOKUP(A572,A571:A1170,[1]Sheet3!L430:L1029)</f>
        <v>Kochi</v>
      </c>
      <c r="J572" t="str">
        <f>_xlfn.XLOOKUP(A572,A571:A1170,[1]Sheet3!M430:M1029)</f>
        <v>Books</v>
      </c>
      <c r="K572" t="str">
        <f>_xlfn.XLOOKUP('Retail Sales'!A431,'Retail Sales'!A430:A1029,[1]Sheet3!N430:N1029)</f>
        <v>Cook Book</v>
      </c>
      <c r="L572" s="5">
        <f>_xlfn.XLOOKUP(A572,A571:A1170,[1]Sheet3!P430:P1029)</f>
        <v>8</v>
      </c>
      <c r="M572" s="7">
        <f>_xlfn.XLOOKUP(A572,A571:A1170,[1]Sheet3!Q430:Q1029)</f>
        <v>1268.46</v>
      </c>
      <c r="N572" s="9">
        <f>_xlfn.XLOOKUP(A572,A571:A1170,[1]Sheet3!S430:S1029)</f>
        <v>0.05</v>
      </c>
      <c r="O572" s="7">
        <f>_xlfn.XLOOKUP(A572,A571:A1170,[1]Sheet3!T430:T1029)</f>
        <v>12103.46</v>
      </c>
      <c r="P572" s="7">
        <f>_xlfn.XLOOKUP(A572,A571:A1170,[1]Sheet3!U430:U1029)</f>
        <v>3618.98</v>
      </c>
      <c r="Q572" s="11">
        <f>_xlfn.XLOOKUP(A572,A571:A1170,[1]Sheet3!V430:V1029)</f>
        <v>0.29900375595077772</v>
      </c>
      <c r="R572" s="7">
        <f>_xlfn.XLOOKUP(A572,A571:A1170,[1]Sheet3!W430:W1029)</f>
        <v>30.55</v>
      </c>
      <c r="S572" t="str">
        <f>_xlfn.XLOOKUP(A572,A571:A1170,[1]Sheet3!X430:X1029)</f>
        <v>EMI</v>
      </c>
      <c r="T572" s="5">
        <f>_xlfn.XLOOKUP(A572,A571:A1170,[1]Sheet3!Z430:Z1029)</f>
        <v>2</v>
      </c>
      <c r="U572" t="b">
        <f>_xlfn.XLOOKUP(A572,A571:A1170,[1]Sheet3!AA430:AA1029)</f>
        <v>0</v>
      </c>
      <c r="V572" t="str">
        <f>_xlfn.XLOOKUP(A572,A571:A1170,[1]Sheet3!AC430:AC1029)</f>
        <v>Delivered</v>
      </c>
      <c r="W572" s="5">
        <f>_xlfn.XLOOKUP(A572,A571:A1170,[1]Sheet3!AE430:AE1029)</f>
        <v>10</v>
      </c>
    </row>
    <row r="573" spans="1:23" x14ac:dyDescent="0.35">
      <c r="A573" t="s">
        <v>132</v>
      </c>
      <c r="B573" s="1">
        <f>_xlfn.XLOOKUP(A573,A572:A1171,[1]Sheet3!C467:C1066)</f>
        <v>45581</v>
      </c>
      <c r="C573" t="str">
        <f>_xlfn.XLOOKUP(A573,A572:A1171,[1]Sheet3!D467:D1066)</f>
        <v>CUST01456</v>
      </c>
      <c r="D573" t="str">
        <f>_xlfn.XLOOKUP(A573,A572:A1171,[1]Sheet3!E467:E1066)</f>
        <v>Ananya Singh</v>
      </c>
      <c r="E573" s="5">
        <f>_xlfn.XLOOKUP(A573,A572:A1171,[1]Sheet3!G467:G1066)</f>
        <v>40</v>
      </c>
      <c r="F573" t="str">
        <f>_xlfn.XLOOKUP('Retail Sales'!A468,'Retail Sales'!A467:A1066,[1]Sheet3!H467:H1066)</f>
        <v>Adult</v>
      </c>
      <c r="G573" t="str">
        <f>_xlfn.XLOOKUP(A573,A572:A1171,[1]Sheet3!J467:J1066)</f>
        <v>Other</v>
      </c>
      <c r="H573" t="str">
        <f>_xlfn.XLOOKUP(A573,A572:A1171,[1]Sheet3!K467:K1066)</f>
        <v>Central</v>
      </c>
      <c r="I573" t="str">
        <f>_xlfn.XLOOKUP(A573,A572:A1171,[1]Sheet3!L467:L1066)</f>
        <v>Bhopal</v>
      </c>
      <c r="J573" t="str">
        <f>_xlfn.XLOOKUP(A573,A572:A1171,[1]Sheet3!M467:M1066)</f>
        <v>Furniture</v>
      </c>
      <c r="K573" t="str">
        <f>_xlfn.XLOOKUP('Retail Sales'!A468,'Retail Sales'!A467:A1066,[1]Sheet3!N467:N1066)</f>
        <v>Chair</v>
      </c>
      <c r="L573" s="5">
        <f>_xlfn.XLOOKUP(A573,A572:A1171,[1]Sheet3!P467:P1066)</f>
        <v>2</v>
      </c>
      <c r="M573" s="7">
        <f>_xlfn.XLOOKUP(A573,A572:A1171,[1]Sheet3!Q467:Q1066)</f>
        <v>8590.5300000000007</v>
      </c>
      <c r="N573" s="9">
        <f>_xlfn.XLOOKUP(A573,A572:A1171,[1]Sheet3!S467:S1066)</f>
        <v>0.23</v>
      </c>
      <c r="O573" s="7">
        <f>_xlfn.XLOOKUP(A573,A572:A1171,[1]Sheet3!T467:T1066)</f>
        <v>12705.04</v>
      </c>
      <c r="P573" s="7">
        <f>_xlfn.XLOOKUP(A573,A572:A1171,[1]Sheet3!U467:U1066)</f>
        <v>3529.2</v>
      </c>
      <c r="Q573" s="11">
        <f>_xlfn.XLOOKUP(A573,A572:A1171,[1]Sheet3!V467:V1066)</f>
        <v>0.27777952686492918</v>
      </c>
      <c r="R573" s="7">
        <f>_xlfn.XLOOKUP(A573,A572:A1171,[1]Sheet3!W467:W1066)</f>
        <v>40.590000000000003</v>
      </c>
      <c r="S573" t="str">
        <f>_xlfn.XLOOKUP(A573,A572:A1171,[1]Sheet3!X467:X1066)</f>
        <v>Credit Card</v>
      </c>
      <c r="T573" s="5">
        <f>_xlfn.XLOOKUP(A573,A572:A1171,[1]Sheet3!Z467:Z1066)</f>
        <v>5</v>
      </c>
      <c r="U573" t="b">
        <f>_xlfn.XLOOKUP(A573,A572:A1171,[1]Sheet3!AA467:AA1066)</f>
        <v>0</v>
      </c>
      <c r="V573" t="str">
        <f>_xlfn.XLOOKUP(A573,A572:A1171,[1]Sheet3!AC467:AC1066)</f>
        <v>Delivered</v>
      </c>
      <c r="W573" s="5">
        <f>_xlfn.XLOOKUP(A573,A572:A1171,[1]Sheet3!AE467:AE1066)</f>
        <v>6</v>
      </c>
    </row>
    <row r="574" spans="1:23" x14ac:dyDescent="0.35">
      <c r="A574" t="s">
        <v>341</v>
      </c>
      <c r="B574" s="1">
        <f>_xlfn.XLOOKUP(A574,A573:A1172,[1]Sheet3!C258:C857)</f>
        <v>45581</v>
      </c>
      <c r="C574" t="str">
        <f>_xlfn.XLOOKUP(A574,A573:A1172,[1]Sheet3!D258:D857)</f>
        <v>CUST10272</v>
      </c>
      <c r="D574" t="str">
        <f>_xlfn.XLOOKUP(A574,A573:A1172,[1]Sheet3!E258:E857)</f>
        <v>Sunita Das</v>
      </c>
      <c r="E574" s="5">
        <f>_xlfn.XLOOKUP(A574,A573:A1172,[1]Sheet3!G258:G857)</f>
        <v>20</v>
      </c>
      <c r="F574" t="str">
        <f>_xlfn.XLOOKUP('Retail Sales'!A259,'Retail Sales'!A258:A857,[1]Sheet3!H258:H857)</f>
        <v>Young Adult</v>
      </c>
      <c r="G574" t="str">
        <f>_xlfn.XLOOKUP(A574,A573:A1172,[1]Sheet3!J258:J857)</f>
        <v>Male</v>
      </c>
      <c r="H574" t="str">
        <f>_xlfn.XLOOKUP(A574,A573:A1172,[1]Sheet3!K258:K857)</f>
        <v>South</v>
      </c>
      <c r="I574" t="str">
        <f>_xlfn.XLOOKUP(A574,A573:A1172,[1]Sheet3!L258:L857)</f>
        <v>Kochi</v>
      </c>
      <c r="J574" t="str">
        <f>_xlfn.XLOOKUP(A574,A573:A1172,[1]Sheet3!M258:M857)</f>
        <v>Electronics</v>
      </c>
      <c r="K574" t="str">
        <f>_xlfn.XLOOKUP('Retail Sales'!A259,'Retail Sales'!A258:A857,[1]Sheet3!N258:N857)</f>
        <v>Smartwatch</v>
      </c>
      <c r="L574" s="5">
        <f>_xlfn.XLOOKUP(A574,A573:A1172,[1]Sheet3!P258:P857)</f>
        <v>1</v>
      </c>
      <c r="M574" s="7">
        <f>_xlfn.XLOOKUP(A574,A573:A1172,[1]Sheet3!Q258:Q857)</f>
        <v>78299.490000000005</v>
      </c>
      <c r="N574" s="9">
        <f>_xlfn.XLOOKUP(A574,A573:A1172,[1]Sheet3!S258:S857)</f>
        <v>0.18</v>
      </c>
      <c r="O574" s="7">
        <f>_xlfn.XLOOKUP(A574,A573:A1172,[1]Sheet3!T258:T857)</f>
        <v>76494.58</v>
      </c>
      <c r="P574" s="7">
        <f>_xlfn.XLOOKUP(A574,A573:A1172,[1]Sheet3!U258:U857)</f>
        <v>10883.34</v>
      </c>
      <c r="Q574" s="11">
        <f>_xlfn.XLOOKUP(A574,A573:A1172,[1]Sheet3!V258:V857)</f>
        <v>0.14227596255839303</v>
      </c>
      <c r="R574" s="7">
        <f>_xlfn.XLOOKUP(A574,A573:A1172,[1]Sheet3!W258:W857)</f>
        <v>80.12</v>
      </c>
      <c r="S574" t="str">
        <f>_xlfn.XLOOKUP(A574,A573:A1172,[1]Sheet3!X258:X857)</f>
        <v>Credit Card</v>
      </c>
      <c r="T574" s="5">
        <f>_xlfn.XLOOKUP(A574,A573:A1172,[1]Sheet3!Z258:Z857)</f>
        <v>3</v>
      </c>
      <c r="U574" t="b">
        <f>_xlfn.XLOOKUP(A574,A573:A1172,[1]Sheet3!AA258:AA857)</f>
        <v>0</v>
      </c>
      <c r="V574" t="str">
        <f>_xlfn.XLOOKUP(A574,A573:A1172,[1]Sheet3!AC258:AC857)</f>
        <v>Delivered</v>
      </c>
      <c r="W574" s="5">
        <f>_xlfn.XLOOKUP(A574,A573:A1172,[1]Sheet3!AE258:AE857)</f>
        <v>9</v>
      </c>
    </row>
    <row r="575" spans="1:23" x14ac:dyDescent="0.35">
      <c r="A575" t="s">
        <v>135</v>
      </c>
      <c r="B575" s="1">
        <f>_xlfn.XLOOKUP(A575,A574:A1173,[1]Sheet3!C464:C1063)</f>
        <v>45582</v>
      </c>
      <c r="C575" t="str">
        <f>_xlfn.XLOOKUP(A575,A574:A1173,[1]Sheet3!D464:D1063)</f>
        <v>CUST12279</v>
      </c>
      <c r="D575" t="str">
        <f>_xlfn.XLOOKUP(A575,A574:A1173,[1]Sheet3!E464:E1063)</f>
        <v>Meera Patel</v>
      </c>
      <c r="E575" s="5">
        <f>_xlfn.XLOOKUP(A575,A574:A1173,[1]Sheet3!G464:G1063)</f>
        <v>34.294220665499125</v>
      </c>
      <c r="F575" t="str">
        <f>_xlfn.XLOOKUP('Retail Sales'!A465,'Retail Sales'!A464:A1063,[1]Sheet3!H464:H1063)</f>
        <v>Young Adult</v>
      </c>
      <c r="G575" t="str">
        <f>_xlfn.XLOOKUP(A575,A574:A1173,[1]Sheet3!J464:J1063)</f>
        <v>Other</v>
      </c>
      <c r="H575" t="str">
        <f>_xlfn.XLOOKUP(A575,A574:A1173,[1]Sheet3!K464:K1063)</f>
        <v>North</v>
      </c>
      <c r="I575" t="str">
        <f>_xlfn.XLOOKUP(A575,A574:A1173,[1]Sheet3!L464:L1063)</f>
        <v>Ludhiana</v>
      </c>
      <c r="J575" t="str">
        <f>_xlfn.XLOOKUP(A575,A574:A1173,[1]Sheet3!M464:M1063)</f>
        <v>Groceries</v>
      </c>
      <c r="K575" t="str">
        <f>_xlfn.XLOOKUP('Retail Sales'!A465,'Retail Sales'!A464:A1063,[1]Sheet3!N464:N1063)</f>
        <v>Flour</v>
      </c>
      <c r="L575" s="5">
        <f>_xlfn.XLOOKUP(A575,A574:A1173,[1]Sheet3!P464:P1063)</f>
        <v>8</v>
      </c>
      <c r="M575" s="7">
        <f>_xlfn.XLOOKUP(A575,A574:A1173,[1]Sheet3!Q464:Q1063)</f>
        <v>184.25</v>
      </c>
      <c r="N575" s="9">
        <f>_xlfn.XLOOKUP(A575,A574:A1173,[1]Sheet3!S464:S1063)</f>
        <v>0.21</v>
      </c>
      <c r="O575" s="7">
        <f>_xlfn.XLOOKUP(A575,A574:A1173,[1]Sheet3!T464:T1063)</f>
        <v>1215.29</v>
      </c>
      <c r="P575" s="7">
        <f>_xlfn.XLOOKUP(A575,A574:A1173,[1]Sheet3!U464:U1063)</f>
        <v>77.92</v>
      </c>
      <c r="Q575" s="11">
        <f>_xlfn.XLOOKUP(A575,A574:A1173,[1]Sheet3!V464:V1063)</f>
        <v>6.4116383743797786E-2</v>
      </c>
      <c r="R575" s="7">
        <f>_xlfn.XLOOKUP(A575,A574:A1173,[1]Sheet3!W464:W1063)</f>
        <v>46.09</v>
      </c>
      <c r="S575" t="str">
        <f>_xlfn.XLOOKUP(A575,A574:A1173,[1]Sheet3!X464:X1063)</f>
        <v>Credit Card</v>
      </c>
      <c r="T575" s="5">
        <f>_xlfn.XLOOKUP(A575,A574:A1173,[1]Sheet3!Z464:Z1063)</f>
        <v>3</v>
      </c>
      <c r="U575" t="b">
        <f>_xlfn.XLOOKUP(A575,A574:A1173,[1]Sheet3!AA464:AA1063)</f>
        <v>0</v>
      </c>
      <c r="V575" t="str">
        <f>_xlfn.XLOOKUP(A575,A574:A1173,[1]Sheet3!AC464:AC1063)</f>
        <v>Shipped</v>
      </c>
      <c r="W575" s="5">
        <f>_xlfn.XLOOKUP(A575,A574:A1173,[1]Sheet3!AE464:AE1063)</f>
        <v>6</v>
      </c>
    </row>
    <row r="576" spans="1:23" x14ac:dyDescent="0.35">
      <c r="A576" t="s">
        <v>563</v>
      </c>
      <c r="B576" s="1">
        <f>_xlfn.XLOOKUP(A576,A575:A1174,[1]Sheet3!C36:C635)</f>
        <v>45587</v>
      </c>
      <c r="C576" t="str">
        <f>_xlfn.XLOOKUP(A576,A575:A1174,[1]Sheet3!D36:D635)</f>
        <v>CUST10094</v>
      </c>
      <c r="D576" t="str">
        <f>_xlfn.XLOOKUP(A576,A575:A1174,[1]Sheet3!E36:E635)</f>
        <v>Rahul Sharma</v>
      </c>
      <c r="E576" s="5">
        <f>_xlfn.XLOOKUP(A576,A575:A1174,[1]Sheet3!G36:G635)</f>
        <v>26</v>
      </c>
      <c r="F576" t="str">
        <f>_xlfn.XLOOKUP('Retail Sales'!A37,'Retail Sales'!A36:A635,[1]Sheet3!H36:H635)</f>
        <v>Young Adult</v>
      </c>
      <c r="G576" t="str">
        <f>_xlfn.XLOOKUP(A576,A575:A1174,[1]Sheet3!J36:J635)</f>
        <v>Other</v>
      </c>
      <c r="H576" t="str">
        <f>_xlfn.XLOOKUP(A576,A575:A1174,[1]Sheet3!K36:K635)</f>
        <v>North</v>
      </c>
      <c r="I576" t="str">
        <f>_xlfn.XLOOKUP(A576,A575:A1174,[1]Sheet3!L36:L635)</f>
        <v>Amritsar</v>
      </c>
      <c r="J576" t="str">
        <f>_xlfn.XLOOKUP(A576,A575:A1174,[1]Sheet3!M36:M635)</f>
        <v>Electronics</v>
      </c>
      <c r="K576" t="str">
        <f>_xlfn.XLOOKUP('Retail Sales'!A37,'Retail Sales'!A36:A635,[1]Sheet3!N36:N635)</f>
        <v>Camera</v>
      </c>
      <c r="L576" s="5">
        <f>_xlfn.XLOOKUP(A576,A575:A1174,[1]Sheet3!P36:P635)</f>
        <v>3</v>
      </c>
      <c r="M576" s="7">
        <f>_xlfn.XLOOKUP(A576,A575:A1174,[1]Sheet3!Q36:Q635)</f>
        <v>68799.42</v>
      </c>
      <c r="N576" s="9">
        <f>_xlfn.XLOOKUP(A576,A575:A1174,[1]Sheet3!S36:S635)</f>
        <v>7.0000000000000007E-2</v>
      </c>
      <c r="O576" s="7">
        <f>_xlfn.XLOOKUP(A576,A575:A1174,[1]Sheet3!T36:T635)</f>
        <v>232621.97</v>
      </c>
      <c r="P576" s="7">
        <f>_xlfn.XLOOKUP(A576,A575:A1174,[1]Sheet3!U36:U635)</f>
        <v>36091.769999999997</v>
      </c>
      <c r="Q576" s="11">
        <f>_xlfn.XLOOKUP(A576,A575:A1174,[1]Sheet3!V36:V635)</f>
        <v>0.15515202626819813</v>
      </c>
      <c r="R576" s="7">
        <f>_xlfn.XLOOKUP(A576,A575:A1174,[1]Sheet3!W36:W635)</f>
        <v>48.01</v>
      </c>
      <c r="S576" t="str">
        <f>_xlfn.XLOOKUP(A576,A575:A1174,[1]Sheet3!X36:X635)</f>
        <v>UPI</v>
      </c>
      <c r="T576" s="5">
        <f>_xlfn.XLOOKUP(A576,A575:A1174,[1]Sheet3!Z36:Z635)</f>
        <v>1</v>
      </c>
      <c r="U576" t="b">
        <f>_xlfn.XLOOKUP(A576,A575:A1174,[1]Sheet3!AA36:AA635)</f>
        <v>0</v>
      </c>
      <c r="V576" t="str">
        <f>_xlfn.XLOOKUP(A576,A575:A1174,[1]Sheet3!AC36:AC635)</f>
        <v>Delivered</v>
      </c>
      <c r="W576" s="5">
        <f>_xlfn.XLOOKUP(A576,A575:A1174,[1]Sheet3!AE36:AE635)</f>
        <v>7</v>
      </c>
    </row>
    <row r="577" spans="1:23" x14ac:dyDescent="0.35">
      <c r="A577" t="s">
        <v>515</v>
      </c>
      <c r="B577" s="1">
        <f>_xlfn.XLOOKUP(A577,A576:A1175,[1]Sheet3!C84:C683)</f>
        <v>45588</v>
      </c>
      <c r="C577" t="str">
        <f>_xlfn.XLOOKUP(A577,A576:A1175,[1]Sheet3!D84:D683)</f>
        <v>CUST20477</v>
      </c>
      <c r="D577" t="str">
        <f>_xlfn.XLOOKUP(A577,A576:A1175,[1]Sheet3!E84:E683)</f>
        <v>Sanjay Verma</v>
      </c>
      <c r="E577" s="5">
        <f>_xlfn.XLOOKUP(A577,A576:A1175,[1]Sheet3!G84:G683)</f>
        <v>34.294220665499125</v>
      </c>
      <c r="F577" t="str">
        <f>_xlfn.XLOOKUP('Retail Sales'!A85,'Retail Sales'!A84:A683,[1]Sheet3!H84:H683)</f>
        <v>Young Adult</v>
      </c>
      <c r="G577" t="str">
        <f>_xlfn.XLOOKUP(A577,A576:A1175,[1]Sheet3!J84:J683)</f>
        <v>Female</v>
      </c>
      <c r="H577" t="str">
        <f>_xlfn.XLOOKUP(A577,A576:A1175,[1]Sheet3!K84:K683)</f>
        <v>East</v>
      </c>
      <c r="I577" t="str">
        <f>_xlfn.XLOOKUP(A577,A576:A1175,[1]Sheet3!L84:L683)</f>
        <v>Guwahati</v>
      </c>
      <c r="J577" t="str">
        <f>_xlfn.XLOOKUP(A577,A576:A1175,[1]Sheet3!M84:M683)</f>
        <v>Sports</v>
      </c>
      <c r="K577" t="str">
        <f>_xlfn.XLOOKUP('Retail Sales'!A85,'Retail Sales'!A84:A683,[1]Sheet3!N84:N683)</f>
        <v>Football</v>
      </c>
      <c r="L577" s="5">
        <f>_xlfn.XLOOKUP(A577,A576:A1175,[1]Sheet3!P84:P683)</f>
        <v>4</v>
      </c>
      <c r="M577" s="7">
        <f>_xlfn.XLOOKUP(A577,A576:A1175,[1]Sheet3!Q84:Q683)</f>
        <v>9803</v>
      </c>
      <c r="N577" s="9">
        <f>_xlfn.XLOOKUP(A577,A576:A1175,[1]Sheet3!S84:S683)</f>
        <v>0.33</v>
      </c>
      <c r="O577" s="7">
        <f>_xlfn.XLOOKUP(A577,A576:A1175,[1]Sheet3!T84:T683)</f>
        <v>32120.84</v>
      </c>
      <c r="P577" s="7">
        <f>_xlfn.XLOOKUP(A577,A576:A1175,[1]Sheet3!U84:U683)</f>
        <v>6215.4</v>
      </c>
      <c r="Q577" s="11">
        <f>_xlfn.XLOOKUP(A577,A576:A1175,[1]Sheet3!V84:V683)</f>
        <v>0.19350054357233495</v>
      </c>
      <c r="R577" s="7">
        <f>_xlfn.XLOOKUP(A577,A576:A1175,[1]Sheet3!W84:W683)</f>
        <v>88.57</v>
      </c>
      <c r="S577" t="str">
        <f>_xlfn.XLOOKUP(A577,A576:A1175,[1]Sheet3!X84:X683)</f>
        <v>UPI</v>
      </c>
      <c r="T577" s="5">
        <f>_xlfn.XLOOKUP(A577,A576:A1175,[1]Sheet3!Z84:Z683)</f>
        <v>4</v>
      </c>
      <c r="U577" t="b">
        <f>_xlfn.XLOOKUP(A577,A576:A1175,[1]Sheet3!AA84:AA683)</f>
        <v>0</v>
      </c>
      <c r="V577" t="str">
        <f>_xlfn.XLOOKUP(A577,A576:A1175,[1]Sheet3!AC84:AC683)</f>
        <v>Cancelled</v>
      </c>
      <c r="W577" s="5">
        <f>_xlfn.XLOOKUP(A577,A576:A1175,[1]Sheet3!AE84:AE683)</f>
        <v>6</v>
      </c>
    </row>
    <row r="578" spans="1:23" x14ac:dyDescent="0.35">
      <c r="A578" t="s">
        <v>310</v>
      </c>
      <c r="B578" s="1">
        <f>_xlfn.XLOOKUP(A578,A577:A1176,[1]Sheet3!C289:C888)</f>
        <v>45588</v>
      </c>
      <c r="C578" t="str">
        <f>_xlfn.XLOOKUP(A578,A577:A1176,[1]Sheet3!D289:D888)</f>
        <v>CUST98496</v>
      </c>
      <c r="D578" t="str">
        <f>_xlfn.XLOOKUP(A578,A577:A1176,[1]Sheet3!E289:E888)</f>
        <v>Nisha Singh</v>
      </c>
      <c r="E578" s="5">
        <f>_xlfn.XLOOKUP(A578,A577:A1176,[1]Sheet3!G289:G888)</f>
        <v>27</v>
      </c>
      <c r="F578" t="str">
        <f>_xlfn.XLOOKUP('Retail Sales'!A290,'Retail Sales'!A289:A888,[1]Sheet3!H289:H888)</f>
        <v>Young Adult</v>
      </c>
      <c r="G578" t="str">
        <f>_xlfn.XLOOKUP(A578,A577:A1176,[1]Sheet3!J289:J888)</f>
        <v>Other</v>
      </c>
      <c r="H578" t="str">
        <f>_xlfn.XLOOKUP(A578,A577:A1176,[1]Sheet3!K289:K888)</f>
        <v>Central</v>
      </c>
      <c r="I578" t="str">
        <f>_xlfn.XLOOKUP(A578,A577:A1176,[1]Sheet3!L289:L888)</f>
        <v>Indore</v>
      </c>
      <c r="J578" t="str">
        <f>_xlfn.XLOOKUP(A578,A577:A1176,[1]Sheet3!M289:M888)</f>
        <v>Groceries</v>
      </c>
      <c r="K578" t="str">
        <f>_xlfn.XLOOKUP('Retail Sales'!A290,'Retail Sales'!A289:A888,[1]Sheet3!N289:N888)</f>
        <v>Flour</v>
      </c>
      <c r="L578" s="5">
        <f>_xlfn.XLOOKUP(A578,A577:A1176,[1]Sheet3!P289:P888)</f>
        <v>8</v>
      </c>
      <c r="M578" s="7">
        <f>_xlfn.XLOOKUP(A578,A577:A1176,[1]Sheet3!Q289:Q888)</f>
        <v>174.02</v>
      </c>
      <c r="N578" s="9">
        <f>_xlfn.XLOOKUP(A578,A577:A1176,[1]Sheet3!S289:S888)</f>
        <v>0.14000000000000001</v>
      </c>
      <c r="O578" s="7">
        <f>_xlfn.XLOOKUP(A578,A577:A1176,[1]Sheet3!T289:T888)</f>
        <v>1362</v>
      </c>
      <c r="P578" s="7">
        <f>_xlfn.XLOOKUP(A578,A577:A1176,[1]Sheet3!U289:U888)</f>
        <v>107.89</v>
      </c>
      <c r="Q578" s="11">
        <f>_xlfn.XLOOKUP(A578,A577:A1176,[1]Sheet3!V289:V888)</f>
        <v>7.9214390602055804E-2</v>
      </c>
      <c r="R578" s="7">
        <f>_xlfn.XLOOKUP(A578,A577:A1176,[1]Sheet3!W289:W888)</f>
        <v>40.35</v>
      </c>
      <c r="S578" t="str">
        <f>_xlfn.XLOOKUP(A578,A577:A1176,[1]Sheet3!X289:X888)</f>
        <v>Cash on Delivery</v>
      </c>
      <c r="T578" s="5">
        <f>_xlfn.XLOOKUP(A578,A577:A1176,[1]Sheet3!Z289:Z888)</f>
        <v>5</v>
      </c>
      <c r="U578" t="b">
        <f>_xlfn.XLOOKUP(A578,A577:A1176,[1]Sheet3!AA289:AA888)</f>
        <v>0</v>
      </c>
      <c r="V578" t="str">
        <f>_xlfn.XLOOKUP(A578,A577:A1176,[1]Sheet3!AC289:AC888)</f>
        <v>Delivered</v>
      </c>
      <c r="W578" s="5">
        <f>_xlfn.XLOOKUP(A578,A577:A1176,[1]Sheet3!AE289:AE888)</f>
        <v>10</v>
      </c>
    </row>
    <row r="579" spans="1:23" x14ac:dyDescent="0.35">
      <c r="A579" t="s">
        <v>365</v>
      </c>
      <c r="B579" s="1">
        <f>_xlfn.XLOOKUP(A579,A578:A1177,[1]Sheet3!C234:C833)</f>
        <v>45590</v>
      </c>
      <c r="C579" t="str">
        <f>_xlfn.XLOOKUP(A579,A578:A1177,[1]Sheet3!D234:D833)</f>
        <v>CUST95307</v>
      </c>
      <c r="D579" t="str">
        <f>_xlfn.XLOOKUP(A579,A578:A1177,[1]Sheet3!E234:E833)</f>
        <v>Nisha Mehta</v>
      </c>
      <c r="E579" s="5">
        <f>_xlfn.XLOOKUP(A579,A578:A1177,[1]Sheet3!G234:G833)</f>
        <v>28</v>
      </c>
      <c r="F579" t="str">
        <f>_xlfn.XLOOKUP('Retail Sales'!A235,'Retail Sales'!A234:A833,[1]Sheet3!H234:H833)</f>
        <v>Young Adult</v>
      </c>
      <c r="G579" t="str">
        <f>_xlfn.XLOOKUP(A579,A578:A1177,[1]Sheet3!J234:J833)</f>
        <v>Female</v>
      </c>
      <c r="H579" t="str">
        <f>_xlfn.XLOOKUP(A579,A578:A1177,[1]Sheet3!K234:K833)</f>
        <v>Central</v>
      </c>
      <c r="I579" t="str">
        <f>_xlfn.XLOOKUP(A579,A578:A1177,[1]Sheet3!L234:L833)</f>
        <v>Raipur</v>
      </c>
      <c r="J579" t="str">
        <f>_xlfn.XLOOKUP(A579,A578:A1177,[1]Sheet3!M234:M833)</f>
        <v>Electronics</v>
      </c>
      <c r="K579" t="str">
        <f>_xlfn.XLOOKUP('Retail Sales'!A235,'Retail Sales'!A234:A833,[1]Sheet3!N234:N833)</f>
        <v>Headphones</v>
      </c>
      <c r="L579" s="5">
        <f>_xlfn.XLOOKUP(A579,A578:A1177,[1]Sheet3!P234:P833)</f>
        <v>3</v>
      </c>
      <c r="M579" s="7">
        <f>_xlfn.XLOOKUP(A579,A578:A1177,[1]Sheet3!Q234:Q833)</f>
        <v>9261.39</v>
      </c>
      <c r="N579" s="9">
        <f>_xlfn.XLOOKUP(A579,A578:A1177,[1]Sheet3!S234:S833)</f>
        <v>0.24</v>
      </c>
      <c r="O579" s="7">
        <f>_xlfn.XLOOKUP(A579,A578:A1177,[1]Sheet3!T234:T833)</f>
        <v>25255.17</v>
      </c>
      <c r="P579" s="7">
        <f>_xlfn.XLOOKUP(A579,A578:A1177,[1]Sheet3!U234:U833)</f>
        <v>3570.94</v>
      </c>
      <c r="Q579" s="11">
        <f>_xlfn.XLOOKUP(A579,A578:A1177,[1]Sheet3!V234:V833)</f>
        <v>0.14139441548007795</v>
      </c>
      <c r="R579" s="7">
        <f>_xlfn.XLOOKUP(A579,A578:A1177,[1]Sheet3!W234:W833)</f>
        <v>42.63</v>
      </c>
      <c r="S579" t="str">
        <f>_xlfn.XLOOKUP(A579,A578:A1177,[1]Sheet3!X234:X833)</f>
        <v>EMI</v>
      </c>
      <c r="T579" s="5">
        <f>_xlfn.XLOOKUP(A579,A578:A1177,[1]Sheet3!Z234:Z833)</f>
        <v>3</v>
      </c>
      <c r="U579" t="b">
        <f>_xlfn.XLOOKUP(A579,A578:A1177,[1]Sheet3!AA234:AA833)</f>
        <v>0</v>
      </c>
      <c r="V579" t="str">
        <f>_xlfn.XLOOKUP(A579,A578:A1177,[1]Sheet3!AC234:AC833)</f>
        <v>Cancelled</v>
      </c>
      <c r="W579" s="5">
        <f>_xlfn.XLOOKUP(A579,A578:A1177,[1]Sheet3!AE234:AE833)</f>
        <v>4</v>
      </c>
    </row>
    <row r="580" spans="1:23" x14ac:dyDescent="0.35">
      <c r="A580" t="s">
        <v>465</v>
      </c>
      <c r="B580" s="1">
        <f>_xlfn.XLOOKUP(A580,A579:A1178,[1]Sheet3!C134:C733)</f>
        <v>45591</v>
      </c>
      <c r="C580" t="str">
        <f>_xlfn.XLOOKUP(A580,A579:A1178,[1]Sheet3!D134:D733)</f>
        <v>CUST99521</v>
      </c>
      <c r="D580" t="str">
        <f>_xlfn.XLOOKUP(A580,A579:A1178,[1]Sheet3!E134:E733)</f>
        <v>Kavya Pillai</v>
      </c>
      <c r="E580" s="5">
        <f>_xlfn.XLOOKUP(A580,A579:A1178,[1]Sheet3!G134:G733)</f>
        <v>42</v>
      </c>
      <c r="F580" t="str">
        <f>_xlfn.XLOOKUP('Retail Sales'!A135,'Retail Sales'!A134:A733,[1]Sheet3!H134:H733)</f>
        <v>Adult</v>
      </c>
      <c r="G580" t="str">
        <f>_xlfn.XLOOKUP(A580,A579:A1178,[1]Sheet3!J134:J733)</f>
        <v>Other</v>
      </c>
      <c r="H580" t="str">
        <f>_xlfn.XLOOKUP(A580,A579:A1178,[1]Sheet3!K134:K733)</f>
        <v>West</v>
      </c>
      <c r="I580" t="str">
        <f>_xlfn.XLOOKUP(A580,A579:A1178,[1]Sheet3!L134:L733)</f>
        <v>Ahmedabad</v>
      </c>
      <c r="J580" t="str">
        <f>_xlfn.XLOOKUP(A580,A579:A1178,[1]Sheet3!M134:M733)</f>
        <v>Furniture</v>
      </c>
      <c r="K580" t="str">
        <f>_xlfn.XLOOKUP('Retail Sales'!A135,'Retail Sales'!A134:A733,[1]Sheet3!N134:N733)</f>
        <v>Sofa</v>
      </c>
      <c r="L580" s="5">
        <f>_xlfn.XLOOKUP(A580,A579:A1178,[1]Sheet3!P134:P733)</f>
        <v>4</v>
      </c>
      <c r="M580" s="7">
        <f>_xlfn.XLOOKUP(A580,A579:A1178,[1]Sheet3!Q134:Q733)</f>
        <v>10887.68</v>
      </c>
      <c r="N580" s="9">
        <f>_xlfn.XLOOKUP(A580,A579:A1178,[1]Sheet3!S134:S733)</f>
        <v>0.14000000000000001</v>
      </c>
      <c r="O580" s="7">
        <f>_xlfn.XLOOKUP(A580,A579:A1178,[1]Sheet3!T134:T733)</f>
        <v>46926.73</v>
      </c>
      <c r="P580" s="7">
        <f>_xlfn.XLOOKUP(A580,A579:A1178,[1]Sheet3!U134:U733)</f>
        <v>14349.22</v>
      </c>
      <c r="Q580" s="11">
        <f>_xlfn.XLOOKUP(A580,A579:A1178,[1]Sheet3!V134:V733)</f>
        <v>0.30577924351430408</v>
      </c>
      <c r="R580" s="7">
        <f>_xlfn.XLOOKUP(A580,A579:A1178,[1]Sheet3!W134:W733)</f>
        <v>57.18</v>
      </c>
      <c r="S580" t="str">
        <f>_xlfn.XLOOKUP(A580,A579:A1178,[1]Sheet3!X134:X733)</f>
        <v>EMI</v>
      </c>
      <c r="T580" s="5">
        <f>_xlfn.XLOOKUP(A580,A579:A1178,[1]Sheet3!Z134:Z733)</f>
        <v>3</v>
      </c>
      <c r="U580" t="b">
        <f>_xlfn.XLOOKUP(A580,A579:A1178,[1]Sheet3!AA134:AA733)</f>
        <v>0</v>
      </c>
      <c r="V580" t="str">
        <f>_xlfn.XLOOKUP(A580,A579:A1178,[1]Sheet3!AC134:AC733)</f>
        <v>Delivered</v>
      </c>
      <c r="W580" s="5">
        <f>_xlfn.XLOOKUP(A580,A579:A1178,[1]Sheet3!AE134:AE733)</f>
        <v>6</v>
      </c>
    </row>
    <row r="581" spans="1:23" x14ac:dyDescent="0.35">
      <c r="A581" t="s">
        <v>131</v>
      </c>
      <c r="B581" s="1">
        <f>_xlfn.XLOOKUP(A581,A580:A1179,[1]Sheet3!C468:C1067)</f>
        <v>45592</v>
      </c>
      <c r="C581" t="str">
        <f>_xlfn.XLOOKUP(A581,A580:A1179,[1]Sheet3!D468:D1067)</f>
        <v>CUST83988</v>
      </c>
      <c r="D581" t="str">
        <f>_xlfn.XLOOKUP(A581,A580:A1179,[1]Sheet3!E468:E1067)</f>
        <v>Arjun Bose</v>
      </c>
      <c r="E581" s="5">
        <f>_xlfn.XLOOKUP(A581,A580:A1179,[1]Sheet3!G468:G1067)</f>
        <v>18</v>
      </c>
      <c r="F581" t="str">
        <f>_xlfn.XLOOKUP('Retail Sales'!A469,'Retail Sales'!A468:A1067,[1]Sheet3!H468:H1067)</f>
        <v>Teen</v>
      </c>
      <c r="G581" t="str">
        <f>_xlfn.XLOOKUP(A581,A580:A1179,[1]Sheet3!J468:J1067)</f>
        <v>Female</v>
      </c>
      <c r="H581" t="str">
        <f>_xlfn.XLOOKUP(A581,A580:A1179,[1]Sheet3!K468:K1067)</f>
        <v>North</v>
      </c>
      <c r="I581" t="str">
        <f>_xlfn.XLOOKUP(A581,A580:A1179,[1]Sheet3!L468:L1067)</f>
        <v>Ludhiana</v>
      </c>
      <c r="J581" t="str">
        <f>_xlfn.XLOOKUP(A581,A580:A1179,[1]Sheet3!M468:M1067)</f>
        <v>Furniture</v>
      </c>
      <c r="K581" t="str">
        <f>_xlfn.XLOOKUP('Retail Sales'!A469,'Retail Sales'!A468:A1067,[1]Sheet3!N468:N1067)</f>
        <v>Bed Frame</v>
      </c>
      <c r="L581" s="5">
        <f>_xlfn.XLOOKUP(A581,A580:A1179,[1]Sheet3!P468:P1067)</f>
        <v>1</v>
      </c>
      <c r="M581" s="7">
        <f>_xlfn.XLOOKUP(A581,A580:A1179,[1]Sheet3!Q468:Q1067)</f>
        <v>14589.01</v>
      </c>
      <c r="N581" s="9">
        <f>_xlfn.XLOOKUP(A581,A580:A1179,[1]Sheet3!S468:S1067)</f>
        <v>0.2</v>
      </c>
      <c r="O581" s="7">
        <f>_xlfn.XLOOKUP(A581,A580:A1179,[1]Sheet3!T468:T1067)</f>
        <v>13208.25</v>
      </c>
      <c r="P581" s="7">
        <f>_xlfn.XLOOKUP(A581,A580:A1179,[1]Sheet3!U468:U1067)</f>
        <v>3174.45</v>
      </c>
      <c r="Q581" s="11">
        <f>_xlfn.XLOOKUP(A581,A580:A1179,[1]Sheet3!V468:V1067)</f>
        <v>0.24033842484810627</v>
      </c>
      <c r="R581" s="7">
        <f>_xlfn.XLOOKUP(A581,A580:A1179,[1]Sheet3!W468:W1067)</f>
        <v>52.97</v>
      </c>
      <c r="S581" t="str">
        <f>_xlfn.XLOOKUP(A581,A580:A1179,[1]Sheet3!X468:X1067)</f>
        <v>Credit Card</v>
      </c>
      <c r="T581" s="5">
        <f>_xlfn.XLOOKUP(A581,A580:A1179,[1]Sheet3!Z468:Z1067)</f>
        <v>3</v>
      </c>
      <c r="U581" t="b">
        <f>_xlfn.XLOOKUP(A581,A580:A1179,[1]Sheet3!AA468:AA1067)</f>
        <v>0</v>
      </c>
      <c r="V581" t="str">
        <f>_xlfn.XLOOKUP(A581,A580:A1179,[1]Sheet3!AC468:AC1067)</f>
        <v>Delivered</v>
      </c>
      <c r="W581" s="5">
        <f>_xlfn.XLOOKUP(A581,A580:A1179,[1]Sheet3!AE468:AE1067)</f>
        <v>1</v>
      </c>
    </row>
    <row r="582" spans="1:23" x14ac:dyDescent="0.35">
      <c r="A582" t="s">
        <v>355</v>
      </c>
      <c r="B582" s="1">
        <f>_xlfn.XLOOKUP(A582,A581:A1180,[1]Sheet3!C244:C843)</f>
        <v>45603</v>
      </c>
      <c r="C582" t="str">
        <f>_xlfn.XLOOKUP(A582,A581:A1180,[1]Sheet3!D244:D843)</f>
        <v>CUST69304</v>
      </c>
      <c r="D582" t="str">
        <f>_xlfn.XLOOKUP(A582,A581:A1180,[1]Sheet3!E244:E843)</f>
        <v>Kavya Shah</v>
      </c>
      <c r="E582" s="5">
        <f>_xlfn.XLOOKUP(A582,A581:A1180,[1]Sheet3!G244:G843)</f>
        <v>57</v>
      </c>
      <c r="F582" t="str">
        <f>_xlfn.XLOOKUP('Retail Sales'!A245,'Retail Sales'!A244:A843,[1]Sheet3!H244:H843)</f>
        <v>Senior</v>
      </c>
      <c r="G582" t="str">
        <f>_xlfn.XLOOKUP(A582,A581:A1180,[1]Sheet3!J244:J843)</f>
        <v>Other</v>
      </c>
      <c r="H582" t="str">
        <f>_xlfn.XLOOKUP(A582,A581:A1180,[1]Sheet3!K244:K843)</f>
        <v>West</v>
      </c>
      <c r="I582" t="str">
        <f>_xlfn.XLOOKUP(A582,A581:A1180,[1]Sheet3!L244:L843)</f>
        <v>Ahmedabad</v>
      </c>
      <c r="J582" t="str">
        <f>_xlfn.XLOOKUP(A582,A581:A1180,[1]Sheet3!M244:M843)</f>
        <v>Electronics</v>
      </c>
      <c r="K582" t="str">
        <f>_xlfn.XLOOKUP('Retail Sales'!A245,'Retail Sales'!A244:A843,[1]Sheet3!N244:N843)</f>
        <v>Tablet</v>
      </c>
      <c r="L582" s="5">
        <f>_xlfn.XLOOKUP(A582,A581:A1180,[1]Sheet3!P244:P843)</f>
        <v>9</v>
      </c>
      <c r="M582" s="7">
        <f>_xlfn.XLOOKUP(A582,A581:A1180,[1]Sheet3!Q244:Q843)</f>
        <v>70570.87</v>
      </c>
      <c r="N582" s="9">
        <f>_xlfn.XLOOKUP(A582,A581:A1180,[1]Sheet3!S244:S843)</f>
        <v>0.27</v>
      </c>
      <c r="O582" s="7">
        <f>_xlfn.XLOOKUP(A582,A581:A1180,[1]Sheet3!T244:T843)</f>
        <v>436166.56</v>
      </c>
      <c r="P582" s="7">
        <f>_xlfn.XLOOKUP(A582,A581:A1180,[1]Sheet3!U244:U843)</f>
        <v>54481.93</v>
      </c>
      <c r="Q582" s="11">
        <f>_xlfn.XLOOKUP(A582,A581:A1180,[1]Sheet3!V244:V843)</f>
        <v>0.12491083681426655</v>
      </c>
      <c r="R582" s="7">
        <f>_xlfn.XLOOKUP(A582,A581:A1180,[1]Sheet3!W244:W843)</f>
        <v>66.680000000000007</v>
      </c>
      <c r="S582" t="str">
        <f>_xlfn.XLOOKUP(A582,A581:A1180,[1]Sheet3!X244:X843)</f>
        <v>Debit Card</v>
      </c>
      <c r="T582" s="5">
        <f>_xlfn.XLOOKUP(A582,A581:A1180,[1]Sheet3!Z244:Z843)</f>
        <v>2</v>
      </c>
      <c r="U582" t="b">
        <f>_xlfn.XLOOKUP(A582,A581:A1180,[1]Sheet3!AA244:AA843)</f>
        <v>0</v>
      </c>
      <c r="V582" t="str">
        <f>_xlfn.XLOOKUP(A582,A581:A1180,[1]Sheet3!AC244:AC843)</f>
        <v>Delivered</v>
      </c>
      <c r="W582" s="5">
        <f>_xlfn.XLOOKUP(A582,A581:A1180,[1]Sheet3!AE244:AE843)</f>
        <v>3</v>
      </c>
    </row>
    <row r="583" spans="1:23" x14ac:dyDescent="0.35">
      <c r="A583" t="s">
        <v>340</v>
      </c>
      <c r="B583" s="1">
        <f>_xlfn.XLOOKUP(A583,A582:A1181,[1]Sheet3!C259:C858)</f>
        <v>45605</v>
      </c>
      <c r="C583" t="str">
        <f>_xlfn.XLOOKUP(A583,A582:A1181,[1]Sheet3!D259:D858)</f>
        <v>CUST31562</v>
      </c>
      <c r="D583" t="str">
        <f>_xlfn.XLOOKUP(A583,A582:A1181,[1]Sheet3!E259:E858)</f>
        <v>Rohan Shah</v>
      </c>
      <c r="E583" s="5">
        <f>_xlfn.XLOOKUP(A583,A582:A1181,[1]Sheet3!G259:G858)</f>
        <v>33</v>
      </c>
      <c r="F583" t="str">
        <f>_xlfn.XLOOKUP('Retail Sales'!A260,'Retail Sales'!A259:A858,[1]Sheet3!H259:H858)</f>
        <v>Young Adult</v>
      </c>
      <c r="G583" t="str">
        <f>_xlfn.XLOOKUP(A583,A582:A1181,[1]Sheet3!J259:J858)</f>
        <v>Male</v>
      </c>
      <c r="H583" t="str">
        <f>_xlfn.XLOOKUP(A583,A582:A1181,[1]Sheet3!K259:K858)</f>
        <v>East</v>
      </c>
      <c r="I583" t="str">
        <f>_xlfn.XLOOKUP(A583,A582:A1181,[1]Sheet3!L259:L858)</f>
        <v>Patna</v>
      </c>
      <c r="J583" t="str">
        <f>_xlfn.XLOOKUP(A583,A582:A1181,[1]Sheet3!M259:M858)</f>
        <v>Clothing</v>
      </c>
      <c r="K583" t="str">
        <f>_xlfn.XLOOKUP('Retail Sales'!A260,'Retail Sales'!A259:A858,[1]Sheet3!N259:N858)</f>
        <v>Jeans</v>
      </c>
      <c r="L583" s="5">
        <f>_xlfn.XLOOKUP(A583,A582:A1181,[1]Sheet3!P259:P858)</f>
        <v>4</v>
      </c>
      <c r="M583" s="7">
        <f>_xlfn.XLOOKUP(A583,A582:A1181,[1]Sheet3!Q259:Q858)</f>
        <v>1153.04</v>
      </c>
      <c r="N583" s="9">
        <f>_xlfn.XLOOKUP(A583,A582:A1181,[1]Sheet3!S259:S858)</f>
        <v>0.23</v>
      </c>
      <c r="O583" s="7">
        <f>_xlfn.XLOOKUP(A583,A582:A1181,[1]Sheet3!T259:T858)</f>
        <v>3508.11</v>
      </c>
      <c r="P583" s="7">
        <f>_xlfn.XLOOKUP(A583,A582:A1181,[1]Sheet3!U259:U858)</f>
        <v>1237.0899999999999</v>
      </c>
      <c r="Q583" s="11">
        <f>_xlfn.XLOOKUP(A583,A582:A1181,[1]Sheet3!V259:V858)</f>
        <v>0.3526371750030643</v>
      </c>
      <c r="R583" s="7">
        <f>_xlfn.XLOOKUP(A583,A582:A1181,[1]Sheet3!W259:W858)</f>
        <v>67.930000000000007</v>
      </c>
      <c r="S583" t="str">
        <f>_xlfn.XLOOKUP(A583,A582:A1181,[1]Sheet3!X259:X858)</f>
        <v>Credit Card</v>
      </c>
      <c r="T583" s="5">
        <f>_xlfn.XLOOKUP(A583,A582:A1181,[1]Sheet3!Z259:Z858)</f>
        <v>2</v>
      </c>
      <c r="U583" t="b">
        <f>_xlfn.XLOOKUP(A583,A582:A1181,[1]Sheet3!AA259:AA858)</f>
        <v>0</v>
      </c>
      <c r="V583" t="str">
        <f>_xlfn.XLOOKUP(A583,A582:A1181,[1]Sheet3!AC259:AC858)</f>
        <v>Delivered</v>
      </c>
      <c r="W583" s="5">
        <f>_xlfn.XLOOKUP(A583,A582:A1181,[1]Sheet3!AE259:AE858)</f>
        <v>1</v>
      </c>
    </row>
    <row r="584" spans="1:23" x14ac:dyDescent="0.35">
      <c r="A584" t="s">
        <v>202</v>
      </c>
      <c r="B584" s="1">
        <f>_xlfn.XLOOKUP(A584,A583:A1182,[1]Sheet3!C397:C996)</f>
        <v>45607</v>
      </c>
      <c r="C584" t="str">
        <f>_xlfn.XLOOKUP(A584,A583:A1182,[1]Sheet3!D397:D996)</f>
        <v>CUST78442</v>
      </c>
      <c r="D584" t="str">
        <f>_xlfn.XLOOKUP(A584,A583:A1182,[1]Sheet3!E397:E996)</f>
        <v>Arjun Gupta</v>
      </c>
      <c r="E584" s="5">
        <f>_xlfn.XLOOKUP(A584,A583:A1182,[1]Sheet3!G397:G996)</f>
        <v>43</v>
      </c>
      <c r="F584" t="str">
        <f>_xlfn.XLOOKUP('Retail Sales'!A398,'Retail Sales'!A397:A996,[1]Sheet3!H397:H996)</f>
        <v>Adult</v>
      </c>
      <c r="G584" t="str">
        <f>_xlfn.XLOOKUP(A584,A583:A1182,[1]Sheet3!J397:J996)</f>
        <v>Female</v>
      </c>
      <c r="H584" t="str">
        <f>_xlfn.XLOOKUP(A584,A583:A1182,[1]Sheet3!K397:K996)</f>
        <v>South</v>
      </c>
      <c r="I584" t="str">
        <f>_xlfn.XLOOKUP(A584,A583:A1182,[1]Sheet3!L397:L996)</f>
        <v>Kochi</v>
      </c>
      <c r="J584" t="str">
        <f>_xlfn.XLOOKUP(A584,A583:A1182,[1]Sheet3!M397:M996)</f>
        <v>Furniture</v>
      </c>
      <c r="K584" t="str">
        <f>_xlfn.XLOOKUP('Retail Sales'!A398,'Retail Sales'!A397:A996,[1]Sheet3!N397:N996)</f>
        <v>Bed Frame</v>
      </c>
      <c r="L584" s="5">
        <f>_xlfn.XLOOKUP(A584,A583:A1182,[1]Sheet3!P397:P996)</f>
        <v>2</v>
      </c>
      <c r="M584" s="7">
        <f>_xlfn.XLOOKUP(A584,A583:A1182,[1]Sheet3!Q397:Q996)</f>
        <v>28947.69</v>
      </c>
      <c r="N584" s="9">
        <f>_xlfn.XLOOKUP(A584,A583:A1182,[1]Sheet3!S397:S996)</f>
        <v>0.39</v>
      </c>
      <c r="O584" s="7">
        <f>_xlfn.XLOOKUP(A584,A583:A1182,[1]Sheet3!T397:T996)</f>
        <v>35266.769999999997</v>
      </c>
      <c r="P584" s="7">
        <f>_xlfn.XLOOKUP(A584,A583:A1182,[1]Sheet3!U397:U996)</f>
        <v>8167.38</v>
      </c>
      <c r="Q584" s="11">
        <f>_xlfn.XLOOKUP(A584,A583:A1182,[1]Sheet3!V397:V996)</f>
        <v>0.23158854638516657</v>
      </c>
      <c r="R584" s="7">
        <f>_xlfn.XLOOKUP(A584,A583:A1182,[1]Sheet3!W397:W996)</f>
        <v>63.11</v>
      </c>
      <c r="S584" t="str">
        <f>_xlfn.XLOOKUP(A584,A583:A1182,[1]Sheet3!X397:X996)</f>
        <v>UPI</v>
      </c>
      <c r="T584" s="5">
        <f>_xlfn.XLOOKUP(A584,A583:A1182,[1]Sheet3!Z397:Z996)</f>
        <v>3</v>
      </c>
      <c r="U584" t="b">
        <f>_xlfn.XLOOKUP(A584,A583:A1182,[1]Sheet3!AA397:AA996)</f>
        <v>0</v>
      </c>
      <c r="V584" t="str">
        <f>_xlfn.XLOOKUP(A584,A583:A1182,[1]Sheet3!AC397:AC996)</f>
        <v>Delivered</v>
      </c>
      <c r="W584" s="5">
        <f>_xlfn.XLOOKUP(A584,A583:A1182,[1]Sheet3!AE397:AE996)</f>
        <v>1</v>
      </c>
    </row>
    <row r="585" spans="1:23" x14ac:dyDescent="0.35">
      <c r="A585" t="s">
        <v>90</v>
      </c>
      <c r="B585" s="1">
        <f>_xlfn.XLOOKUP(A585,A584:A1183,[1]Sheet3!C509:C1108)</f>
        <v>45612</v>
      </c>
      <c r="C585" t="str">
        <f>_xlfn.XLOOKUP(A585,A584:A1183,[1]Sheet3!D509:D1108)</f>
        <v>CUST53114</v>
      </c>
      <c r="D585" t="str">
        <f>_xlfn.XLOOKUP(A585,A584:A1183,[1]Sheet3!E509:E1108)</f>
        <v>Kavya Bose</v>
      </c>
      <c r="E585" s="5">
        <f>_xlfn.XLOOKUP(A585,A584:A1183,[1]Sheet3!G509:G1108)</f>
        <v>35</v>
      </c>
      <c r="F585" t="str">
        <f>_xlfn.XLOOKUP('Retail Sales'!A510,'Retail Sales'!A509:A1108,[1]Sheet3!H509:H1108)</f>
        <v>Young Adult</v>
      </c>
      <c r="G585" t="str">
        <f>_xlfn.XLOOKUP(A585,A584:A1183,[1]Sheet3!J509:J1108)</f>
        <v>Female</v>
      </c>
      <c r="H585" t="str">
        <f>_xlfn.XLOOKUP(A585,A584:A1183,[1]Sheet3!K509:K1108)</f>
        <v>West</v>
      </c>
      <c r="I585" t="str">
        <f>_xlfn.XLOOKUP(A585,A584:A1183,[1]Sheet3!L509:L1108)</f>
        <v>Pune</v>
      </c>
      <c r="J585" t="str">
        <f>_xlfn.XLOOKUP(A585,A584:A1183,[1]Sheet3!M509:M1108)</f>
        <v>Electronics</v>
      </c>
      <c r="K585" t="str">
        <f>_xlfn.XLOOKUP('Retail Sales'!A510,'Retail Sales'!A509:A1108,[1]Sheet3!N509:N1108)</f>
        <v>Headphones</v>
      </c>
      <c r="L585" s="5">
        <f>_xlfn.XLOOKUP(A585,A584:A1183,[1]Sheet3!P509:P1108)</f>
        <v>3</v>
      </c>
      <c r="M585" s="7">
        <f>_xlfn.XLOOKUP(A585,A584:A1183,[1]Sheet3!Q509:Q1108)</f>
        <v>36271.47</v>
      </c>
      <c r="N585" s="9">
        <f>_xlfn.XLOOKUP(A585,A584:A1183,[1]Sheet3!S509:S1108)</f>
        <v>0.08</v>
      </c>
      <c r="O585" s="7">
        <f>_xlfn.XLOOKUP(A585,A584:A1183,[1]Sheet3!T509:T1108)</f>
        <v>106383.22</v>
      </c>
      <c r="P585" s="7">
        <f>_xlfn.XLOOKUP(A585,A584:A1183,[1]Sheet3!U509:U1108)</f>
        <v>8562.92</v>
      </c>
      <c r="Q585" s="11">
        <f>_xlfn.XLOOKUP(A585,A584:A1183,[1]Sheet3!V509:V1108)</f>
        <v>8.0491265445809965E-2</v>
      </c>
      <c r="R585" s="7">
        <f>_xlfn.XLOOKUP(A585,A584:A1183,[1]Sheet3!W509:W1108)</f>
        <v>64.31</v>
      </c>
      <c r="S585" t="str">
        <f>_xlfn.XLOOKUP(A585,A584:A1183,[1]Sheet3!X509:X1108)</f>
        <v>Credit Card</v>
      </c>
      <c r="T585" s="5">
        <f>_xlfn.XLOOKUP(A585,A584:A1183,[1]Sheet3!Z509:Z1108)</f>
        <v>2</v>
      </c>
      <c r="U585" t="b">
        <f>_xlfn.XLOOKUP(A585,A584:A1183,[1]Sheet3!AA509:AA1108)</f>
        <v>1</v>
      </c>
      <c r="V585" t="str">
        <f>_xlfn.XLOOKUP(A585,A584:A1183,[1]Sheet3!AC509:AC1108)</f>
        <v>Returned</v>
      </c>
      <c r="W585" s="5">
        <f>_xlfn.XLOOKUP(A585,A584:A1183,[1]Sheet3!AE509:AE1108)</f>
        <v>10</v>
      </c>
    </row>
    <row r="586" spans="1:23" x14ac:dyDescent="0.35">
      <c r="A586" t="s">
        <v>477</v>
      </c>
      <c r="B586" s="1">
        <f>_xlfn.XLOOKUP(A586,A585:A1184,[1]Sheet3!C122:C721)</f>
        <v>45616</v>
      </c>
      <c r="C586" t="str">
        <f>_xlfn.XLOOKUP(A586,A585:A1184,[1]Sheet3!D122:D721)</f>
        <v>CUST36614</v>
      </c>
      <c r="D586" t="str">
        <f>_xlfn.XLOOKUP(A586,A585:A1184,[1]Sheet3!E122:E721)</f>
        <v>Shreya Pillai</v>
      </c>
      <c r="E586" s="5">
        <f>_xlfn.XLOOKUP(A586,A585:A1184,[1]Sheet3!G122:G721)</f>
        <v>27</v>
      </c>
      <c r="F586" t="str">
        <f>_xlfn.XLOOKUP('Retail Sales'!A123,'Retail Sales'!A122:A721,[1]Sheet3!H122:H721)</f>
        <v>Young Adult</v>
      </c>
      <c r="G586" t="str">
        <f>_xlfn.XLOOKUP(A586,A585:A1184,[1]Sheet3!J122:J721)</f>
        <v>Other</v>
      </c>
      <c r="H586" t="str">
        <f>_xlfn.XLOOKUP(A586,A585:A1184,[1]Sheet3!K122:K721)</f>
        <v>East</v>
      </c>
      <c r="I586" t="str">
        <f>_xlfn.XLOOKUP(A586,A585:A1184,[1]Sheet3!L122:L721)</f>
        <v>Guwahati</v>
      </c>
      <c r="J586" t="str">
        <f>_xlfn.XLOOKUP(A586,A585:A1184,[1]Sheet3!M122:M721)</f>
        <v>Books</v>
      </c>
      <c r="K586" t="str">
        <f>_xlfn.XLOOKUP('Retail Sales'!A123,'Retail Sales'!A122:A721,[1]Sheet3!N122:N721)</f>
        <v>Comic Book</v>
      </c>
      <c r="L586" s="5">
        <f>_xlfn.XLOOKUP(A586,A585:A1184,[1]Sheet3!P122:P721)</f>
        <v>9</v>
      </c>
      <c r="M586" s="7">
        <f>_xlfn.XLOOKUP(A586,A585:A1184,[1]Sheet3!Q122:Q721)</f>
        <v>1324.57</v>
      </c>
      <c r="N586" s="9">
        <f>_xlfn.XLOOKUP(A586,A585:A1184,[1]Sheet3!S122:S721)</f>
        <v>0.38</v>
      </c>
      <c r="O586" s="7">
        <f>_xlfn.XLOOKUP(A586,A585:A1184,[1]Sheet3!T122:T721)</f>
        <v>7683.45</v>
      </c>
      <c r="P586" s="7">
        <f>_xlfn.XLOOKUP(A586,A585:A1184,[1]Sheet3!U122:U721)</f>
        <v>2086.59</v>
      </c>
      <c r="Q586" s="11">
        <f>_xlfn.XLOOKUP(A586,A585:A1184,[1]Sheet3!V122:V721)</f>
        <v>0.27156941217812314</v>
      </c>
      <c r="R586" s="7">
        <f>_xlfn.XLOOKUP(A586,A585:A1184,[1]Sheet3!W122:W721)</f>
        <v>82.14</v>
      </c>
      <c r="S586" t="str">
        <f>_xlfn.XLOOKUP(A586,A585:A1184,[1]Sheet3!X122:X721)</f>
        <v>UPI</v>
      </c>
      <c r="T586" s="5">
        <f>_xlfn.XLOOKUP(A586,A585:A1184,[1]Sheet3!Z122:Z721)</f>
        <v>4</v>
      </c>
      <c r="U586" t="b">
        <f>_xlfn.XLOOKUP(A586,A585:A1184,[1]Sheet3!AA122:AA721)</f>
        <v>0</v>
      </c>
      <c r="V586" t="str">
        <f>_xlfn.XLOOKUP(A586,A585:A1184,[1]Sheet3!AC122:AC721)</f>
        <v>Delivered</v>
      </c>
      <c r="W586" s="5">
        <f>_xlfn.XLOOKUP(A586,A585:A1184,[1]Sheet3!AE122:AE721)</f>
        <v>4</v>
      </c>
    </row>
    <row r="587" spans="1:23" x14ac:dyDescent="0.35">
      <c r="A587" t="s">
        <v>551</v>
      </c>
      <c r="B587" s="1">
        <f>_xlfn.XLOOKUP(A587,A586:A1185,[1]Sheet3!C48:C647)</f>
        <v>45618</v>
      </c>
      <c r="C587" t="str">
        <f>_xlfn.XLOOKUP(A587,A586:A1185,[1]Sheet3!D48:D647)</f>
        <v>CUST99588</v>
      </c>
      <c r="D587" t="str">
        <f>_xlfn.XLOOKUP(A587,A586:A1185,[1]Sheet3!E48:E647)</f>
        <v>Meera Kumar</v>
      </c>
      <c r="E587" s="5">
        <f>_xlfn.XLOOKUP(A587,A586:A1185,[1]Sheet3!G48:G647)</f>
        <v>57</v>
      </c>
      <c r="F587" t="str">
        <f>_xlfn.XLOOKUP('Retail Sales'!A49,'Retail Sales'!A48:A647,[1]Sheet3!H48:H647)</f>
        <v>Senior</v>
      </c>
      <c r="G587" t="str">
        <f>_xlfn.XLOOKUP(A587,A586:A1185,[1]Sheet3!J48:J647)</f>
        <v>Female</v>
      </c>
      <c r="H587" t="str">
        <f>_xlfn.XLOOKUP(A587,A586:A1185,[1]Sheet3!K48:K647)</f>
        <v>Central</v>
      </c>
      <c r="I587" t="str">
        <f>_xlfn.XLOOKUP(A587,A586:A1185,[1]Sheet3!L48:L647)</f>
        <v>Indore</v>
      </c>
      <c r="J587" t="str">
        <f>_xlfn.XLOOKUP(A587,A586:A1185,[1]Sheet3!M48:M647)</f>
        <v>Books</v>
      </c>
      <c r="K587" t="str">
        <f>_xlfn.XLOOKUP('Retail Sales'!A49,'Retail Sales'!A48:A647,[1]Sheet3!N48:N647)</f>
        <v>Comic Book</v>
      </c>
      <c r="L587" s="5">
        <f>_xlfn.XLOOKUP(A587,A586:A1185,[1]Sheet3!P48:P647)</f>
        <v>7</v>
      </c>
      <c r="M587" s="7">
        <f>_xlfn.XLOOKUP(A587,A586:A1185,[1]Sheet3!Q48:Q647)</f>
        <v>785.67</v>
      </c>
      <c r="N587" s="9">
        <f>_xlfn.XLOOKUP(A587,A586:A1185,[1]Sheet3!S48:S647)</f>
        <v>0.12</v>
      </c>
      <c r="O587" s="7">
        <f>_xlfn.XLOOKUP(A587,A586:A1185,[1]Sheet3!T48:T647)</f>
        <v>4582.79</v>
      </c>
      <c r="P587" s="7">
        <f>_xlfn.XLOOKUP(A587,A586:A1185,[1]Sheet3!U48:U647)</f>
        <v>2037.5</v>
      </c>
      <c r="Q587" s="11">
        <f>_xlfn.XLOOKUP(A587,A586:A1185,[1]Sheet3!V48:V647)</f>
        <v>0.44459815963637872</v>
      </c>
      <c r="R587" s="7">
        <f>_xlfn.XLOOKUP(A587,A586:A1185,[1]Sheet3!W48:W647)</f>
        <v>63.64</v>
      </c>
      <c r="S587" t="str">
        <f>_xlfn.XLOOKUP(A587,A586:A1185,[1]Sheet3!X48:X647)</f>
        <v>Credit Card</v>
      </c>
      <c r="T587" s="5">
        <f>_xlfn.XLOOKUP(A587,A586:A1185,[1]Sheet3!Z48:Z647)</f>
        <v>3</v>
      </c>
      <c r="U587" t="b">
        <f>_xlfn.XLOOKUP(A587,A586:A1185,[1]Sheet3!AA48:AA647)</f>
        <v>0</v>
      </c>
      <c r="V587" t="str">
        <f>_xlfn.XLOOKUP(A587,A586:A1185,[1]Sheet3!AC48:AC647)</f>
        <v>Delivered</v>
      </c>
      <c r="W587" s="5">
        <f>_xlfn.XLOOKUP(A587,A586:A1185,[1]Sheet3!AE48:AE647)</f>
        <v>2</v>
      </c>
    </row>
    <row r="588" spans="1:23" x14ac:dyDescent="0.35">
      <c r="A588" t="s">
        <v>329</v>
      </c>
      <c r="B588" s="1">
        <f>_xlfn.XLOOKUP(A588,A587:A1186,[1]Sheet3!C270:C869)</f>
        <v>45621</v>
      </c>
      <c r="C588" t="str">
        <f>_xlfn.XLOOKUP(A588,A587:A1186,[1]Sheet3!D270:D869)</f>
        <v>CUST88970</v>
      </c>
      <c r="D588" t="str">
        <f>_xlfn.XLOOKUP(A588,A587:A1186,[1]Sheet3!E270:E869)</f>
        <v>Ritu Pillai</v>
      </c>
      <c r="E588" s="5">
        <f>_xlfn.XLOOKUP(A588,A587:A1186,[1]Sheet3!G270:G869)</f>
        <v>38</v>
      </c>
      <c r="F588" t="str">
        <f>_xlfn.XLOOKUP('Retail Sales'!A271,'Retail Sales'!A270:A869,[1]Sheet3!H270:H869)</f>
        <v>Adult</v>
      </c>
      <c r="G588" t="str">
        <f>_xlfn.XLOOKUP(A588,A587:A1186,[1]Sheet3!J270:J869)</f>
        <v>Other</v>
      </c>
      <c r="H588" t="str">
        <f>_xlfn.XLOOKUP(A588,A587:A1186,[1]Sheet3!K270:K869)</f>
        <v>East</v>
      </c>
      <c r="I588" t="str">
        <f>_xlfn.XLOOKUP(A588,A587:A1186,[1]Sheet3!L270:L869)</f>
        <v>Patna</v>
      </c>
      <c r="J588" t="str">
        <f>_xlfn.XLOOKUP(A588,A587:A1186,[1]Sheet3!M270:M869)</f>
        <v>Electronics</v>
      </c>
      <c r="K588" t="str">
        <f>_xlfn.XLOOKUP('Retail Sales'!A271,'Retail Sales'!A270:A869,[1]Sheet3!N270:N869)</f>
        <v>Smartwatch</v>
      </c>
      <c r="L588" s="5">
        <f>_xlfn.XLOOKUP(A588,A587:A1186,[1]Sheet3!P270:P869)</f>
        <v>9</v>
      </c>
      <c r="M588" s="7">
        <f>_xlfn.XLOOKUP(A588,A587:A1186,[1]Sheet3!Q270:Q869)</f>
        <v>76064.53</v>
      </c>
      <c r="N588" s="9">
        <f>_xlfn.XLOOKUP(A588,A587:A1186,[1]Sheet3!S270:S869)</f>
        <v>0.25</v>
      </c>
      <c r="O588" s="7">
        <f>_xlfn.XLOOKUP(A588,A587:A1186,[1]Sheet3!T270:T869)</f>
        <v>473255.79</v>
      </c>
      <c r="P588" s="7">
        <f>_xlfn.XLOOKUP(A588,A587:A1186,[1]Sheet3!U270:U869)</f>
        <v>56343.87</v>
      </c>
      <c r="Q588" s="11">
        <f>_xlfn.XLOOKUP(A588,A587:A1186,[1]Sheet3!V270:V869)</f>
        <v>0.11905584926916585</v>
      </c>
      <c r="R588" s="7">
        <f>_xlfn.XLOOKUP(A588,A587:A1186,[1]Sheet3!W270:W869)</f>
        <v>79.709999999999994</v>
      </c>
      <c r="S588" t="str">
        <f>_xlfn.XLOOKUP(A588,A587:A1186,[1]Sheet3!X270:X869)</f>
        <v>Cash on Delivery</v>
      </c>
      <c r="T588" s="5">
        <f>_xlfn.XLOOKUP(A588,A587:A1186,[1]Sheet3!Z270:Z869)</f>
        <v>3</v>
      </c>
      <c r="U588" t="b">
        <f>_xlfn.XLOOKUP(A588,A587:A1186,[1]Sheet3!AA270:AA869)</f>
        <v>0</v>
      </c>
      <c r="V588" t="str">
        <f>_xlfn.XLOOKUP(A588,A587:A1186,[1]Sheet3!AC270:AC869)</f>
        <v>Delivered</v>
      </c>
      <c r="W588" s="5">
        <f>_xlfn.XLOOKUP(A588,A587:A1186,[1]Sheet3!AE270:AE869)</f>
        <v>1</v>
      </c>
    </row>
    <row r="589" spans="1:23" x14ac:dyDescent="0.35">
      <c r="A589" t="s">
        <v>221</v>
      </c>
      <c r="B589" s="1">
        <f>_xlfn.XLOOKUP(A589,A588:A1187,[1]Sheet3!C378:C977)</f>
        <v>45626</v>
      </c>
      <c r="C589" t="str">
        <f>_xlfn.XLOOKUP(A589,A588:A1187,[1]Sheet3!D378:D977)</f>
        <v>CUST88649</v>
      </c>
      <c r="D589" t="str">
        <f>_xlfn.XLOOKUP(A589,A588:A1187,[1]Sheet3!E378:E977)</f>
        <v>Pooja Iyer</v>
      </c>
      <c r="E589" s="5">
        <f>_xlfn.XLOOKUP(A589,A588:A1187,[1]Sheet3!G378:G977)</f>
        <v>30</v>
      </c>
      <c r="F589" t="str">
        <f>_xlfn.XLOOKUP('Retail Sales'!A379,'Retail Sales'!A378:A977,[1]Sheet3!H378:H977)</f>
        <v>Young Adult</v>
      </c>
      <c r="G589" t="str">
        <f>_xlfn.XLOOKUP(A589,A588:A1187,[1]Sheet3!J378:J977)</f>
        <v>Female</v>
      </c>
      <c r="H589" t="str">
        <f>_xlfn.XLOOKUP(A589,A588:A1187,[1]Sheet3!K378:K977)</f>
        <v>South</v>
      </c>
      <c r="I589" t="str">
        <f>_xlfn.XLOOKUP(A589,A588:A1187,[1]Sheet3!L378:L977)</f>
        <v>Chennai</v>
      </c>
      <c r="J589" t="str">
        <f>_xlfn.XLOOKUP(A589,A588:A1187,[1]Sheet3!M378:M977)</f>
        <v>Books</v>
      </c>
      <c r="K589" t="str">
        <f>_xlfn.XLOOKUP('Retail Sales'!A379,'Retail Sales'!A378:A977,[1]Sheet3!N378:N977)</f>
        <v>Self-Help Book</v>
      </c>
      <c r="L589" s="5">
        <f>_xlfn.XLOOKUP(A589,A588:A1187,[1]Sheet3!P378:P977)</f>
        <v>10</v>
      </c>
      <c r="M589" s="7">
        <f>_xlfn.XLOOKUP(A589,A588:A1187,[1]Sheet3!Q378:Q977)</f>
        <v>1308.6300000000001</v>
      </c>
      <c r="N589" s="9">
        <f>_xlfn.XLOOKUP(A589,A588:A1187,[1]Sheet3!S378:S977)</f>
        <v>0.39</v>
      </c>
      <c r="O589" s="7">
        <f>_xlfn.XLOOKUP(A589,A588:A1187,[1]Sheet3!T378:T977)</f>
        <v>8038.79</v>
      </c>
      <c r="P589" s="7">
        <f>_xlfn.XLOOKUP(A589,A588:A1187,[1]Sheet3!U378:U977)</f>
        <v>3691.88</v>
      </c>
      <c r="Q589" s="11">
        <f>_xlfn.XLOOKUP(A589,A588:A1187,[1]Sheet3!V378:V977)</f>
        <v>0.45925817193881169</v>
      </c>
      <c r="R589" s="7">
        <f>_xlfn.XLOOKUP(A589,A588:A1187,[1]Sheet3!W378:W977)</f>
        <v>59.74</v>
      </c>
      <c r="S589" t="str">
        <f>_xlfn.XLOOKUP(A589,A588:A1187,[1]Sheet3!X378:X977)</f>
        <v>EMI</v>
      </c>
      <c r="T589" s="5">
        <f>_xlfn.XLOOKUP(A589,A588:A1187,[1]Sheet3!Z378:Z977)</f>
        <v>5</v>
      </c>
      <c r="U589" t="b">
        <f>_xlfn.XLOOKUP(A589,A588:A1187,[1]Sheet3!AA378:AA977)</f>
        <v>0</v>
      </c>
      <c r="V589" t="str">
        <f>_xlfn.XLOOKUP(A589,A588:A1187,[1]Sheet3!AC378:AC977)</f>
        <v>Delivered</v>
      </c>
      <c r="W589" s="5">
        <f>_xlfn.XLOOKUP(A589,A588:A1187,[1]Sheet3!AE378:AE977)</f>
        <v>9</v>
      </c>
    </row>
    <row r="590" spans="1:23" x14ac:dyDescent="0.35">
      <c r="A590" t="s">
        <v>259</v>
      </c>
      <c r="B590" s="1">
        <f>_xlfn.XLOOKUP(A590,A589:A1188,[1]Sheet3!C340:C939)</f>
        <v>45630</v>
      </c>
      <c r="C590" t="str">
        <f>_xlfn.XLOOKUP(A590,A589:A1188,[1]Sheet3!D340:D939)</f>
        <v>CUST62051</v>
      </c>
      <c r="D590" t="str">
        <f>_xlfn.XLOOKUP(A590,A589:A1188,[1]Sheet3!E340:E939)</f>
        <v>Ananya Pillai</v>
      </c>
      <c r="E590" s="5">
        <f>_xlfn.XLOOKUP(A590,A589:A1188,[1]Sheet3!G340:G939)</f>
        <v>5</v>
      </c>
      <c r="F590" t="str">
        <f>_xlfn.XLOOKUP('Retail Sales'!A341,'Retail Sales'!A340:A939,[1]Sheet3!H340:H939)</f>
        <v>Child</v>
      </c>
      <c r="G590" t="str">
        <f>_xlfn.XLOOKUP(A590,A589:A1188,[1]Sheet3!J340:J939)</f>
        <v>Other</v>
      </c>
      <c r="H590" t="str">
        <f>_xlfn.XLOOKUP(A590,A589:A1188,[1]Sheet3!K340:K939)</f>
        <v>Central</v>
      </c>
      <c r="I590" t="str">
        <f>_xlfn.XLOOKUP(A590,A589:A1188,[1]Sheet3!L340:L939)</f>
        <v>Bhopal</v>
      </c>
      <c r="J590" t="str">
        <f>_xlfn.XLOOKUP(A590,A589:A1188,[1]Sheet3!M340:M939)</f>
        <v>Electronics</v>
      </c>
      <c r="K590" t="str">
        <f>_xlfn.XLOOKUP('Retail Sales'!A341,'Retail Sales'!A340:A939,[1]Sheet3!N340:N939)</f>
        <v>Tablet</v>
      </c>
      <c r="L590" s="5">
        <f>_xlfn.XLOOKUP(A590,A589:A1188,[1]Sheet3!P340:P939)</f>
        <v>4</v>
      </c>
      <c r="M590" s="7">
        <f>_xlfn.XLOOKUP(A590,A589:A1188,[1]Sheet3!Q340:Q939)</f>
        <v>51581.35</v>
      </c>
      <c r="N590" s="9">
        <f>_xlfn.XLOOKUP(A590,A589:A1188,[1]Sheet3!S340:S939)</f>
        <v>0.38</v>
      </c>
      <c r="O590" s="7">
        <f>_xlfn.XLOOKUP(A590,A589:A1188,[1]Sheet3!T340:T939)</f>
        <v>131067.26</v>
      </c>
      <c r="P590" s="7">
        <f>_xlfn.XLOOKUP(A590,A589:A1188,[1]Sheet3!U340:U939)</f>
        <v>15238.43</v>
      </c>
      <c r="Q590" s="11">
        <f>_xlfn.XLOOKUP(A590,A589:A1188,[1]Sheet3!V340:V939)</f>
        <v>0.11626419900744092</v>
      </c>
      <c r="R590" s="7">
        <f>_xlfn.XLOOKUP(A590,A589:A1188,[1]Sheet3!W340:W939)</f>
        <v>72.66</v>
      </c>
      <c r="S590" t="str">
        <f>_xlfn.XLOOKUP(A590,A589:A1188,[1]Sheet3!X340:X939)</f>
        <v>Net Banking</v>
      </c>
      <c r="T590" s="5">
        <f>_xlfn.XLOOKUP(A590,A589:A1188,[1]Sheet3!Z340:Z939)</f>
        <v>4</v>
      </c>
      <c r="U590" t="b">
        <f>_xlfn.XLOOKUP(A590,A589:A1188,[1]Sheet3!AA340:AA939)</f>
        <v>1</v>
      </c>
      <c r="V590" t="str">
        <f>_xlfn.XLOOKUP(A590,A589:A1188,[1]Sheet3!AC340:AC939)</f>
        <v>Returned</v>
      </c>
      <c r="W590" s="5">
        <f>_xlfn.XLOOKUP(A590,A589:A1188,[1]Sheet3!AE340:AE939)</f>
        <v>8</v>
      </c>
    </row>
    <row r="591" spans="1:23" x14ac:dyDescent="0.35">
      <c r="A591" t="s">
        <v>574</v>
      </c>
      <c r="B591" s="1">
        <f>_xlfn.XLOOKUP(A591,A590:A1189,[1]Sheet3!C25:C624)</f>
        <v>45636</v>
      </c>
      <c r="C591" t="str">
        <f>_xlfn.XLOOKUP(A591,A590:A1189,[1]Sheet3!D25:D624)</f>
        <v>CUST75042</v>
      </c>
      <c r="D591" t="str">
        <f>_xlfn.XLOOKUP(A591,A590:A1189,[1]Sheet3!E25:E624)</f>
        <v>Pooja Verma</v>
      </c>
      <c r="E591" s="5">
        <f>_xlfn.XLOOKUP(A591,A590:A1189,[1]Sheet3!G25:G624)</f>
        <v>44</v>
      </c>
      <c r="F591" t="str">
        <f>_xlfn.XLOOKUP('Retail Sales'!A26,'Retail Sales'!A25:A624,[1]Sheet3!H25:H624)</f>
        <v>Adult</v>
      </c>
      <c r="G591" t="str">
        <f>_xlfn.XLOOKUP(A591,A590:A1189,[1]Sheet3!J25:J624)</f>
        <v>Female</v>
      </c>
      <c r="H591" t="str">
        <f>_xlfn.XLOOKUP(A591,A590:A1189,[1]Sheet3!K25:K624)</f>
        <v>Central</v>
      </c>
      <c r="I591" t="str">
        <f>_xlfn.XLOOKUP(A591,A590:A1189,[1]Sheet3!L25:L624)</f>
        <v>Nagpur</v>
      </c>
      <c r="J591" t="str">
        <f>_xlfn.XLOOKUP(A591,A590:A1189,[1]Sheet3!M25:M624)</f>
        <v>Books</v>
      </c>
      <c r="K591" t="str">
        <f>_xlfn.XLOOKUP('Retail Sales'!A26,'Retail Sales'!A25:A624,[1]Sheet3!N25:N624)</f>
        <v>Self-Help Book</v>
      </c>
      <c r="L591" s="5">
        <f>_xlfn.XLOOKUP(A591,A590:A1189,[1]Sheet3!P25:P624)</f>
        <v>7</v>
      </c>
      <c r="M591" s="7">
        <f>_xlfn.XLOOKUP(A591,A590:A1189,[1]Sheet3!Q25:Q624)</f>
        <v>612.70000000000005</v>
      </c>
      <c r="N591" s="9">
        <f>_xlfn.XLOOKUP(A591,A590:A1189,[1]Sheet3!S25:S624)</f>
        <v>0.22</v>
      </c>
      <c r="O591" s="7">
        <f>_xlfn.XLOOKUP(A591,A590:A1189,[1]Sheet3!T25:T624)</f>
        <v>3224.82</v>
      </c>
      <c r="P591" s="7">
        <f>_xlfn.XLOOKUP(A591,A590:A1189,[1]Sheet3!U25:U624)</f>
        <v>991.03</v>
      </c>
      <c r="Q591" s="11">
        <f>_xlfn.XLOOKUP(A591,A590:A1189,[1]Sheet3!V25:V624)</f>
        <v>0.30731327639992306</v>
      </c>
      <c r="R591" s="7">
        <f>_xlfn.XLOOKUP(A591,A590:A1189,[1]Sheet3!W25:W624)</f>
        <v>55.8</v>
      </c>
      <c r="S591" t="str">
        <f>_xlfn.XLOOKUP(A591,A590:A1189,[1]Sheet3!X25:X624)</f>
        <v>Credit Card</v>
      </c>
      <c r="T591" s="5">
        <f>_xlfn.XLOOKUP(A591,A590:A1189,[1]Sheet3!Z25:Z624)</f>
        <v>5</v>
      </c>
      <c r="U591" t="b">
        <f>_xlfn.XLOOKUP(A591,A590:A1189,[1]Sheet3!AA25:AA624)</f>
        <v>0</v>
      </c>
      <c r="V591" t="str">
        <f>_xlfn.XLOOKUP(A591,A590:A1189,[1]Sheet3!AC25:AC624)</f>
        <v>Delivered</v>
      </c>
      <c r="W591" s="5">
        <f>_xlfn.XLOOKUP(A591,A590:A1189,[1]Sheet3!AE25:AE624)</f>
        <v>4</v>
      </c>
    </row>
    <row r="592" spans="1:23" x14ac:dyDescent="0.35">
      <c r="A592" t="s">
        <v>335</v>
      </c>
      <c r="B592" s="1">
        <f>_xlfn.XLOOKUP(A592,A591:A1190,[1]Sheet3!C264:C863)</f>
        <v>45637</v>
      </c>
      <c r="C592" t="str">
        <f>_xlfn.XLOOKUP(A592,A591:A1190,[1]Sheet3!D264:D863)</f>
        <v>CUST91116</v>
      </c>
      <c r="D592" t="str">
        <f>_xlfn.XLOOKUP(A592,A591:A1190,[1]Sheet3!E264:E863)</f>
        <v>Rohan Patel</v>
      </c>
      <c r="E592" s="5">
        <f>_xlfn.XLOOKUP(A592,A591:A1190,[1]Sheet3!G264:G863)</f>
        <v>36</v>
      </c>
      <c r="F592" t="str">
        <f>_xlfn.XLOOKUP('Retail Sales'!A265,'Retail Sales'!A264:A863,[1]Sheet3!H264:H863)</f>
        <v>Adult</v>
      </c>
      <c r="G592" t="str">
        <f>_xlfn.XLOOKUP(A592,A591:A1190,[1]Sheet3!J264:J863)</f>
        <v>Male</v>
      </c>
      <c r="H592" t="str">
        <f>_xlfn.XLOOKUP(A592,A591:A1190,[1]Sheet3!K264:K863)</f>
        <v>South</v>
      </c>
      <c r="I592" t="str">
        <f>_xlfn.XLOOKUP(A592,A591:A1190,[1]Sheet3!L264:L863)</f>
        <v>Hyderabad</v>
      </c>
      <c r="J592" t="str">
        <f>_xlfn.XLOOKUP(A592,A591:A1190,[1]Sheet3!M264:M863)</f>
        <v>Books</v>
      </c>
      <c r="K592" t="str">
        <f>_xlfn.XLOOKUP('Retail Sales'!A265,'Retail Sales'!A264:A863,[1]Sheet3!N264:N863)</f>
        <v>Biography</v>
      </c>
      <c r="L592" s="5">
        <f>_xlfn.XLOOKUP(A592,A591:A1190,[1]Sheet3!P264:P863)</f>
        <v>7</v>
      </c>
      <c r="M592" s="7">
        <f>_xlfn.XLOOKUP(A592,A591:A1190,[1]Sheet3!Q264:Q863)</f>
        <v>609.79</v>
      </c>
      <c r="N592" s="9">
        <f>_xlfn.XLOOKUP(A592,A591:A1190,[1]Sheet3!S264:S863)</f>
        <v>0.25</v>
      </c>
      <c r="O592" s="7">
        <f>_xlfn.XLOOKUP(A592,A591:A1190,[1]Sheet3!T264:T863)</f>
        <v>2905.61</v>
      </c>
      <c r="P592" s="7">
        <f>_xlfn.XLOOKUP(A592,A591:A1190,[1]Sheet3!U264:U863)</f>
        <v>1079.08</v>
      </c>
      <c r="Q592" s="11">
        <f>_xlfn.XLOOKUP(A592,A591:A1190,[1]Sheet3!V264:V863)</f>
        <v>0.3713781271402562</v>
      </c>
      <c r="R592" s="7">
        <f>_xlfn.XLOOKUP(A592,A591:A1190,[1]Sheet3!W264:W863)</f>
        <v>68.86</v>
      </c>
      <c r="S592" t="str">
        <f>_xlfn.XLOOKUP(A592,A591:A1190,[1]Sheet3!X264:X863)</f>
        <v>UPI</v>
      </c>
      <c r="T592" s="5">
        <f>_xlfn.XLOOKUP(A592,A591:A1190,[1]Sheet3!Z264:Z863)</f>
        <v>3</v>
      </c>
      <c r="U592" t="b">
        <f>_xlfn.XLOOKUP(A592,A591:A1190,[1]Sheet3!AA264:AA863)</f>
        <v>0</v>
      </c>
      <c r="V592" t="str">
        <f>_xlfn.XLOOKUP(A592,A591:A1190,[1]Sheet3!AC264:AC863)</f>
        <v>Delivered</v>
      </c>
      <c r="W592" s="5">
        <f>_xlfn.XLOOKUP(A592,A591:A1190,[1]Sheet3!AE264:AE863)</f>
        <v>7</v>
      </c>
    </row>
    <row r="593" spans="1:23" x14ac:dyDescent="0.35">
      <c r="A593" t="s">
        <v>32</v>
      </c>
      <c r="B593" s="1">
        <f>_xlfn.XLOOKUP(A593,A592:A1191,[1]Sheet3!C567:C1166)</f>
        <v>45637</v>
      </c>
      <c r="C593" t="str">
        <f>_xlfn.XLOOKUP(A593,A592:A1191,[1]Sheet3!D567:D1166)</f>
        <v>CUST28262</v>
      </c>
      <c r="D593" t="str">
        <f>_xlfn.XLOOKUP(A593,A592:A1191,[1]Sheet3!E567:E1166)</f>
        <v>Aarav Patel</v>
      </c>
      <c r="E593" s="5">
        <f>_xlfn.XLOOKUP(A593,A592:A1191,[1]Sheet3!G567:G1166)</f>
        <v>22</v>
      </c>
      <c r="F593" t="str">
        <f>_xlfn.XLOOKUP('Retail Sales'!A568,'Retail Sales'!A567:A1166,[1]Sheet3!H567:H1166)</f>
        <v>Young Adult</v>
      </c>
      <c r="G593" t="str">
        <f>_xlfn.XLOOKUP(A593,A592:A1191,[1]Sheet3!J567:J1166)</f>
        <v>Male</v>
      </c>
      <c r="H593" t="str">
        <f>_xlfn.XLOOKUP(A593,A592:A1191,[1]Sheet3!K567:K1166)</f>
        <v>South</v>
      </c>
      <c r="I593" t="str">
        <f>_xlfn.XLOOKUP(A593,A592:A1191,[1]Sheet3!L567:L1166)</f>
        <v>Chennai</v>
      </c>
      <c r="J593" t="str">
        <f>_xlfn.XLOOKUP(A593,A592:A1191,[1]Sheet3!M567:M1166)</f>
        <v>Groceries</v>
      </c>
      <c r="K593" t="str">
        <f>_xlfn.XLOOKUP('Retail Sales'!A568,'Retail Sales'!A567:A1166,[1]Sheet3!N567:N1166)</f>
        <v>Rice (5kg)</v>
      </c>
      <c r="L593" s="5">
        <f>_xlfn.XLOOKUP(A593,A592:A1191,[1]Sheet3!P567:P1166)</f>
        <v>3</v>
      </c>
      <c r="M593" s="7">
        <f>_xlfn.XLOOKUP(A593,A592:A1191,[1]Sheet3!Q567:Q1166)</f>
        <v>55.73</v>
      </c>
      <c r="N593" s="9">
        <f>_xlfn.XLOOKUP(A593,A592:A1191,[1]Sheet3!S567:S1166)</f>
        <v>0.25</v>
      </c>
      <c r="O593" s="7">
        <f>_xlfn.XLOOKUP(A593,A592:A1191,[1]Sheet3!T567:T1166)</f>
        <v>132.26</v>
      </c>
      <c r="P593" s="7">
        <f>_xlfn.XLOOKUP(A593,A592:A1191,[1]Sheet3!U567:U1166)</f>
        <v>9.16</v>
      </c>
      <c r="Q593" s="11">
        <f>_xlfn.XLOOKUP(A593,A592:A1191,[1]Sheet3!V567:V1166)</f>
        <v>6.9257523060638149E-2</v>
      </c>
      <c r="R593" s="7">
        <f>_xlfn.XLOOKUP(A593,A592:A1191,[1]Sheet3!W567:W1166)</f>
        <v>67.069999999999993</v>
      </c>
      <c r="S593" t="str">
        <f>_xlfn.XLOOKUP(A593,A592:A1191,[1]Sheet3!X567:X1166)</f>
        <v>Credit Card</v>
      </c>
      <c r="T593" s="5">
        <f>_xlfn.XLOOKUP(A593,A592:A1191,[1]Sheet3!Z567:Z1166)</f>
        <v>4</v>
      </c>
      <c r="U593" t="b">
        <f>_xlfn.XLOOKUP(A593,A592:A1191,[1]Sheet3!AA567:AA1166)</f>
        <v>1</v>
      </c>
      <c r="V593" t="str">
        <f>_xlfn.XLOOKUP(A593,A592:A1191,[1]Sheet3!AC567:AC1166)</f>
        <v>Returned</v>
      </c>
      <c r="W593" s="5">
        <f>_xlfn.XLOOKUP(A593,A592:A1191,[1]Sheet3!AE567:AE1166)</f>
        <v>9</v>
      </c>
    </row>
    <row r="594" spans="1:23" x14ac:dyDescent="0.35">
      <c r="A594" t="s">
        <v>153</v>
      </c>
      <c r="B594" s="1">
        <f>_xlfn.XLOOKUP(A594,A593:A1192,[1]Sheet3!C446:C1045)</f>
        <v>45640</v>
      </c>
      <c r="C594" t="str">
        <f>_xlfn.XLOOKUP(A594,A593:A1192,[1]Sheet3!D446:D1045)</f>
        <v>CUST96903</v>
      </c>
      <c r="D594" t="str">
        <f>_xlfn.XLOOKUP(A594,A593:A1192,[1]Sheet3!E446:E1045)</f>
        <v>Deepa Kapoor</v>
      </c>
      <c r="E594" s="5">
        <f>_xlfn.XLOOKUP(A594,A593:A1192,[1]Sheet3!G446:G1045)</f>
        <v>46</v>
      </c>
      <c r="F594" t="str">
        <f>_xlfn.XLOOKUP('Retail Sales'!A447,'Retail Sales'!A446:A1045,[1]Sheet3!H446:H1045)</f>
        <v>Adult</v>
      </c>
      <c r="G594" t="str">
        <f>_xlfn.XLOOKUP(A594,A593:A1192,[1]Sheet3!J446:J1045)</f>
        <v>Other</v>
      </c>
      <c r="H594" t="str">
        <f>_xlfn.XLOOKUP(A594,A593:A1192,[1]Sheet3!K446:K1045)</f>
        <v>North</v>
      </c>
      <c r="I594" t="str">
        <f>_xlfn.XLOOKUP(A594,A593:A1192,[1]Sheet3!L446:L1045)</f>
        <v>Amritsar</v>
      </c>
      <c r="J594" t="str">
        <f>_xlfn.XLOOKUP(A594,A593:A1192,[1]Sheet3!M446:M1045)</f>
        <v>Furniture</v>
      </c>
      <c r="K594" t="str">
        <f>_xlfn.XLOOKUP('Retail Sales'!A447,'Retail Sales'!A446:A1045,[1]Sheet3!N446:N1045)</f>
        <v>Chair</v>
      </c>
      <c r="L594" s="5">
        <f>_xlfn.XLOOKUP(A594,A593:A1192,[1]Sheet3!P446:P1045)</f>
        <v>1</v>
      </c>
      <c r="M594" s="7">
        <f>_xlfn.XLOOKUP(A594,A593:A1192,[1]Sheet3!Q446:Q1045)</f>
        <v>9449.94</v>
      </c>
      <c r="N594" s="9">
        <f>_xlfn.XLOOKUP(A594,A593:A1192,[1]Sheet3!S446:S1045)</f>
        <v>0.15</v>
      </c>
      <c r="O594" s="7">
        <f>_xlfn.XLOOKUP(A594,A593:A1192,[1]Sheet3!T446:T1045)</f>
        <v>7223.61</v>
      </c>
      <c r="P594" s="7">
        <f>_xlfn.XLOOKUP(A594,A593:A1192,[1]Sheet3!U446:U1045)</f>
        <v>2224.5100000000002</v>
      </c>
      <c r="Q594" s="11">
        <f>_xlfn.XLOOKUP(A594,A593:A1192,[1]Sheet3!V446:V1045)</f>
        <v>0.30794990316476117</v>
      </c>
      <c r="R594" s="7">
        <f>_xlfn.XLOOKUP(A594,A593:A1192,[1]Sheet3!W446:W1045)</f>
        <v>32.57</v>
      </c>
      <c r="S594" t="str">
        <f>_xlfn.XLOOKUP(A594,A593:A1192,[1]Sheet3!X446:X1045)</f>
        <v>UPI</v>
      </c>
      <c r="T594" s="5">
        <f>_xlfn.XLOOKUP(A594,A593:A1192,[1]Sheet3!Z446:Z1045)</f>
        <v>1</v>
      </c>
      <c r="U594" t="b">
        <f>_xlfn.XLOOKUP(A594,A593:A1192,[1]Sheet3!AA446:AA1045)</f>
        <v>1</v>
      </c>
      <c r="V594" t="str">
        <f>_xlfn.XLOOKUP(A594,A593:A1192,[1]Sheet3!AC446:AC1045)</f>
        <v>Returned</v>
      </c>
      <c r="W594" s="5">
        <f>_xlfn.XLOOKUP(A594,A593:A1192,[1]Sheet3!AE446:AE1045)</f>
        <v>2</v>
      </c>
    </row>
    <row r="595" spans="1:23" x14ac:dyDescent="0.35">
      <c r="A595" t="s">
        <v>187</v>
      </c>
      <c r="B595" s="1">
        <f>_xlfn.XLOOKUP(A595,A594:A1193,[1]Sheet3!C412:C1011)</f>
        <v>45642</v>
      </c>
      <c r="C595" t="str">
        <f>_xlfn.XLOOKUP(A595,A594:A1193,[1]Sheet3!D412:D1011)</f>
        <v>CUST68700</v>
      </c>
      <c r="D595" t="str">
        <f>_xlfn.XLOOKUP(A595,A594:A1193,[1]Sheet3!E412:E1011)</f>
        <v>Aditya Mehta</v>
      </c>
      <c r="E595" s="5">
        <f>_xlfn.XLOOKUP(A595,A594:A1193,[1]Sheet3!G412:G1011)</f>
        <v>33</v>
      </c>
      <c r="F595" t="str">
        <f>_xlfn.XLOOKUP('Retail Sales'!A413,'Retail Sales'!A412:A1011,[1]Sheet3!H412:H1011)</f>
        <v>Young Adult</v>
      </c>
      <c r="G595" t="str">
        <f>_xlfn.XLOOKUP(A595,A594:A1193,[1]Sheet3!J412:J1011)</f>
        <v>Female</v>
      </c>
      <c r="H595" t="str">
        <f>_xlfn.XLOOKUP(A595,A594:A1193,[1]Sheet3!K412:K1011)</f>
        <v>South</v>
      </c>
      <c r="I595" t="str">
        <f>_xlfn.XLOOKUP(A595,A594:A1193,[1]Sheet3!L412:L1011)</f>
        <v>Bangalore</v>
      </c>
      <c r="J595" t="str">
        <f>_xlfn.XLOOKUP(A595,A594:A1193,[1]Sheet3!M412:M1011)</f>
        <v>Sports</v>
      </c>
      <c r="K595" t="str">
        <f>_xlfn.XLOOKUP('Retail Sales'!A413,'Retail Sales'!A412:A1011,[1]Sheet3!N412:N1011)</f>
        <v>Football</v>
      </c>
      <c r="L595" s="5">
        <f>_xlfn.XLOOKUP(A595,A594:A1193,[1]Sheet3!P412:P1011)</f>
        <v>9</v>
      </c>
      <c r="M595" s="7">
        <f>_xlfn.XLOOKUP(A595,A594:A1193,[1]Sheet3!Q412:Q1011)</f>
        <v>7976.73</v>
      </c>
      <c r="N595" s="9">
        <f>_xlfn.XLOOKUP(A595,A594:A1193,[1]Sheet3!S412:S1011)</f>
        <v>0.19793402777777783</v>
      </c>
      <c r="O595" s="7">
        <f>_xlfn.XLOOKUP(A595,A594:A1193,[1]Sheet3!T412:T1011)</f>
        <v>57905.39</v>
      </c>
      <c r="P595" s="7">
        <f>_xlfn.XLOOKUP(A595,A594:A1193,[1]Sheet3!U412:U1011)</f>
        <v>13844.42</v>
      </c>
      <c r="Q595" s="11">
        <f>_xlfn.XLOOKUP(A595,A594:A1193,[1]Sheet3!V412:V1011)</f>
        <v>0.2390868967465723</v>
      </c>
      <c r="R595" s="7">
        <f>_xlfn.XLOOKUP(A595,A594:A1193,[1]Sheet3!W412:W1011)</f>
        <v>69.849999999999994</v>
      </c>
      <c r="S595" t="str">
        <f>_xlfn.XLOOKUP(A595,A594:A1193,[1]Sheet3!X412:X1011)</f>
        <v>EMI</v>
      </c>
      <c r="T595" s="5">
        <f>_xlfn.XLOOKUP(A595,A594:A1193,[1]Sheet3!Z412:Z1011)</f>
        <v>1</v>
      </c>
      <c r="U595" t="b">
        <f>_xlfn.XLOOKUP(A595,A594:A1193,[1]Sheet3!AA412:AA1011)</f>
        <v>0</v>
      </c>
      <c r="V595" t="str">
        <f>_xlfn.XLOOKUP(A595,A594:A1193,[1]Sheet3!AC412:AC1011)</f>
        <v>Delivered</v>
      </c>
      <c r="W595" s="5">
        <f>_xlfn.XLOOKUP(A595,A594:A1193,[1]Sheet3!AE412:AE1011)</f>
        <v>8</v>
      </c>
    </row>
    <row r="596" spans="1:23" x14ac:dyDescent="0.35">
      <c r="A596" t="s">
        <v>157</v>
      </c>
      <c r="B596" s="1">
        <f>_xlfn.XLOOKUP(A596,A595:A1194,[1]Sheet3!C442:C1041)</f>
        <v>45642</v>
      </c>
      <c r="C596" t="str">
        <f>_xlfn.XLOOKUP(A596,A595:A1194,[1]Sheet3!D442:D1041)</f>
        <v>CUST70820</v>
      </c>
      <c r="D596" t="str">
        <f>_xlfn.XLOOKUP(A596,A595:A1194,[1]Sheet3!E442:E1041)</f>
        <v>Nikhil Iyer</v>
      </c>
      <c r="E596" s="5">
        <f>_xlfn.XLOOKUP(A596,A595:A1194,[1]Sheet3!G442:G1041)</f>
        <v>14</v>
      </c>
      <c r="F596" t="str">
        <f>_xlfn.XLOOKUP('Retail Sales'!A443,'Retail Sales'!A442:A1041,[1]Sheet3!H442:H1041)</f>
        <v>Teen</v>
      </c>
      <c r="G596" t="str">
        <f>_xlfn.XLOOKUP(A596,A595:A1194,[1]Sheet3!J442:J1041)</f>
        <v>Male</v>
      </c>
      <c r="H596" t="str">
        <f>_xlfn.XLOOKUP(A596,A595:A1194,[1]Sheet3!K442:K1041)</f>
        <v>East</v>
      </c>
      <c r="I596" t="str">
        <f>_xlfn.XLOOKUP(A596,A595:A1194,[1]Sheet3!L442:L1041)</f>
        <v>Kolkata</v>
      </c>
      <c r="J596" t="str">
        <f>_xlfn.XLOOKUP(A596,A595:A1194,[1]Sheet3!M442:M1041)</f>
        <v>Clothing</v>
      </c>
      <c r="K596" t="str">
        <f>_xlfn.XLOOKUP('Retail Sales'!A443,'Retail Sales'!A442:A1041,[1]Sheet3!N442:N1041)</f>
        <v>Jeans</v>
      </c>
      <c r="L596" s="5">
        <f>_xlfn.XLOOKUP(A596,A595:A1194,[1]Sheet3!P442:P1041)</f>
        <v>4</v>
      </c>
      <c r="M596" s="7">
        <f>_xlfn.XLOOKUP(A596,A595:A1194,[1]Sheet3!Q442:Q1041)</f>
        <v>1999.6</v>
      </c>
      <c r="N596" s="9">
        <f>_xlfn.XLOOKUP(A596,A595:A1194,[1]Sheet3!S442:S1041)</f>
        <v>0.4</v>
      </c>
      <c r="O596" s="7">
        <f>_xlfn.XLOOKUP(A596,A595:A1194,[1]Sheet3!T442:T1041)</f>
        <v>4690.45</v>
      </c>
      <c r="P596" s="7">
        <f>_xlfn.XLOOKUP(A596,A595:A1194,[1]Sheet3!U442:U1041)</f>
        <v>1146.5999999999999</v>
      </c>
      <c r="Q596" s="11">
        <f>_xlfn.XLOOKUP(A596,A595:A1194,[1]Sheet3!V442:V1041)</f>
        <v>0.244454156850622</v>
      </c>
      <c r="R596" s="7">
        <f>_xlfn.XLOOKUP(A596,A595:A1194,[1]Sheet3!W442:W1041)</f>
        <v>66.84</v>
      </c>
      <c r="S596" t="str">
        <f>_xlfn.XLOOKUP(A596,A595:A1194,[1]Sheet3!X442:X1041)</f>
        <v>Net Banking</v>
      </c>
      <c r="T596" s="5">
        <f>_xlfn.XLOOKUP(A596,A595:A1194,[1]Sheet3!Z442:Z1041)</f>
        <v>3</v>
      </c>
      <c r="U596" t="b">
        <f>_xlfn.XLOOKUP(A596,A595:A1194,[1]Sheet3!AA442:AA1041)</f>
        <v>0</v>
      </c>
      <c r="V596" t="str">
        <f>_xlfn.XLOOKUP(A596,A595:A1194,[1]Sheet3!AC442:AC1041)</f>
        <v>Delivered</v>
      </c>
      <c r="W596" s="5">
        <f>_xlfn.XLOOKUP(A596,A595:A1194,[1]Sheet3!AE442:AE1041)</f>
        <v>5</v>
      </c>
    </row>
    <row r="597" spans="1:23" x14ac:dyDescent="0.35">
      <c r="A597" t="s">
        <v>580</v>
      </c>
      <c r="B597" s="1">
        <f>_xlfn.XLOOKUP(A597,A596:A1195,[1]Sheet3!C19:C618)</f>
        <v>45643</v>
      </c>
      <c r="C597" t="str">
        <f>_xlfn.XLOOKUP(A597,A596:A1195,[1]Sheet3!D19:D618)</f>
        <v>CUST15084</v>
      </c>
      <c r="D597" t="str">
        <f>_xlfn.XLOOKUP(A597,A596:A1195,[1]Sheet3!E19:E618)</f>
        <v>Nikhil Mishra</v>
      </c>
      <c r="E597" s="5">
        <f>_xlfn.XLOOKUP(A597,A596:A1195,[1]Sheet3!G19:G618)</f>
        <v>43</v>
      </c>
      <c r="F597" t="str">
        <f>_xlfn.XLOOKUP('Retail Sales'!A20,'Retail Sales'!A19:A618,[1]Sheet3!H19:H618)</f>
        <v>Adult</v>
      </c>
      <c r="G597" t="str">
        <f>_xlfn.XLOOKUP(A597,A596:A1195,[1]Sheet3!J19:J618)</f>
        <v>Male</v>
      </c>
      <c r="H597" t="str">
        <f>_xlfn.XLOOKUP(A597,A596:A1195,[1]Sheet3!K19:K618)</f>
        <v>South</v>
      </c>
      <c r="I597" t="str">
        <f>_xlfn.XLOOKUP(A597,A596:A1195,[1]Sheet3!L19:L618)</f>
        <v>Kochi</v>
      </c>
      <c r="J597" t="str">
        <f>_xlfn.XLOOKUP(A597,A596:A1195,[1]Sheet3!M19:M618)</f>
        <v>Clothing</v>
      </c>
      <c r="K597" t="str">
        <f>_xlfn.XLOOKUP('Retail Sales'!A20,'Retail Sales'!A19:A618,[1]Sheet3!N19:N618)</f>
        <v>Jacket</v>
      </c>
      <c r="L597" s="5">
        <f>_xlfn.XLOOKUP(A597,A596:A1195,[1]Sheet3!P19:P618)</f>
        <v>5</v>
      </c>
      <c r="M597" s="7">
        <f>_xlfn.XLOOKUP(A597,A596:A1195,[1]Sheet3!Q19:Q618)</f>
        <v>3006.52</v>
      </c>
      <c r="N597" s="9">
        <f>_xlfn.XLOOKUP(A597,A596:A1195,[1]Sheet3!S19:S618)</f>
        <v>0.12</v>
      </c>
      <c r="O597" s="7">
        <f>_xlfn.XLOOKUP(A597,A596:A1195,[1]Sheet3!T19:T618)</f>
        <v>10622.32</v>
      </c>
      <c r="P597" s="7">
        <f>_xlfn.XLOOKUP(A597,A596:A1195,[1]Sheet3!U19:U618)</f>
        <v>4837.79</v>
      </c>
      <c r="Q597" s="11">
        <f>_xlfn.XLOOKUP(A597,A596:A1195,[1]Sheet3!V19:V618)</f>
        <v>0.45543628887098109</v>
      </c>
      <c r="R597" s="7">
        <f>_xlfn.XLOOKUP(A597,A596:A1195,[1]Sheet3!W19:W618)</f>
        <v>75.97</v>
      </c>
      <c r="S597" t="str">
        <f>_xlfn.XLOOKUP(A597,A596:A1195,[1]Sheet3!X19:X618)</f>
        <v>Credit Card</v>
      </c>
      <c r="T597" s="5">
        <f>_xlfn.XLOOKUP(A597,A596:A1195,[1]Sheet3!Z19:Z618)</f>
        <v>1</v>
      </c>
      <c r="U597" t="b">
        <f>_xlfn.XLOOKUP(A597,A596:A1195,[1]Sheet3!AA19:AA618)</f>
        <v>0</v>
      </c>
      <c r="V597" t="str">
        <f>_xlfn.XLOOKUP(A597,A596:A1195,[1]Sheet3!AC19:AC618)</f>
        <v>Delivered</v>
      </c>
      <c r="W597" s="5">
        <f>_xlfn.XLOOKUP(A597,A596:A1195,[1]Sheet3!AE19:AE618)</f>
        <v>5</v>
      </c>
    </row>
    <row r="598" spans="1:23" x14ac:dyDescent="0.35">
      <c r="A598" t="s">
        <v>273</v>
      </c>
      <c r="B598" s="1">
        <f>_xlfn.XLOOKUP(A598,A597:A1196,[1]Sheet3!C326:C925)</f>
        <v>45647</v>
      </c>
      <c r="C598" t="str">
        <f>_xlfn.XLOOKUP(A598,A597:A1196,[1]Sheet3!D326:D925)</f>
        <v>CUST37046</v>
      </c>
      <c r="D598" t="str">
        <f>_xlfn.XLOOKUP(A598,A597:A1196,[1]Sheet3!E326:E925)</f>
        <v>Rohan Bhat</v>
      </c>
      <c r="E598" s="5">
        <f>_xlfn.XLOOKUP(A598,A597:A1196,[1]Sheet3!G326:G925)</f>
        <v>30</v>
      </c>
      <c r="F598" t="str">
        <f>_xlfn.XLOOKUP('Retail Sales'!A327,'Retail Sales'!A326:A925,[1]Sheet3!H326:H925)</f>
        <v>Young Adult</v>
      </c>
      <c r="G598" t="str">
        <f>_xlfn.XLOOKUP(A598,A597:A1196,[1]Sheet3!J326:J925)</f>
        <v>Other</v>
      </c>
      <c r="H598" t="str">
        <f>_xlfn.XLOOKUP(A598,A597:A1196,[1]Sheet3!K326:K925)</f>
        <v>West</v>
      </c>
      <c r="I598" t="str">
        <f>_xlfn.XLOOKUP(A598,A597:A1196,[1]Sheet3!L326:L925)</f>
        <v>Surat</v>
      </c>
      <c r="J598" t="str">
        <f>_xlfn.XLOOKUP(A598,A597:A1196,[1]Sheet3!M326:M925)</f>
        <v>Electronics</v>
      </c>
      <c r="K598" t="str">
        <f>_xlfn.XLOOKUP('Retail Sales'!A327,'Retail Sales'!A326:A925,[1]Sheet3!N326:N925)</f>
        <v>Headphones</v>
      </c>
      <c r="L598" s="5">
        <f>_xlfn.XLOOKUP(A598,A597:A1196,[1]Sheet3!P326:P925)</f>
        <v>6</v>
      </c>
      <c r="M598" s="7">
        <f>_xlfn.XLOOKUP(A598,A597:A1196,[1]Sheet3!Q326:Q925)</f>
        <v>61234.43</v>
      </c>
      <c r="N598" s="9">
        <f>_xlfn.XLOOKUP(A598,A597:A1196,[1]Sheet3!S326:S925)</f>
        <v>0.24</v>
      </c>
      <c r="O598" s="7">
        <f>_xlfn.XLOOKUP(A598,A597:A1196,[1]Sheet3!T326:T925)</f>
        <v>268632.52</v>
      </c>
      <c r="P598" s="7">
        <f>_xlfn.XLOOKUP(A598,A597:A1196,[1]Sheet3!U326:U925)</f>
        <v>31422.9</v>
      </c>
      <c r="Q598" s="11">
        <f>_xlfn.XLOOKUP(A598,A597:A1196,[1]Sheet3!V326:V925)</f>
        <v>0.11697355182462645</v>
      </c>
      <c r="R598" s="7">
        <f>_xlfn.XLOOKUP(A598,A597:A1196,[1]Sheet3!W326:W925)</f>
        <v>48.82</v>
      </c>
      <c r="S598" t="str">
        <f>_xlfn.XLOOKUP(A598,A597:A1196,[1]Sheet3!X326:X925)</f>
        <v>Credit Card</v>
      </c>
      <c r="T598" s="5">
        <f>_xlfn.XLOOKUP(A598,A597:A1196,[1]Sheet3!Z326:Z925)</f>
        <v>3</v>
      </c>
      <c r="U598" t="b">
        <f>_xlfn.XLOOKUP(A598,A597:A1196,[1]Sheet3!AA326:AA925)</f>
        <v>0</v>
      </c>
      <c r="V598" t="str">
        <f>_xlfn.XLOOKUP(A598,A597:A1196,[1]Sheet3!AC326:AC925)</f>
        <v>Delivered</v>
      </c>
      <c r="W598" s="5">
        <f>_xlfn.XLOOKUP(A598,A597:A1196,[1]Sheet3!AE326:AE925)</f>
        <v>4</v>
      </c>
    </row>
    <row r="599" spans="1:23" x14ac:dyDescent="0.35">
      <c r="A599" t="s">
        <v>484</v>
      </c>
      <c r="B599" s="1">
        <f>_xlfn.XLOOKUP(A599,A598:A1197,[1]Sheet3!C115:C714)</f>
        <v>45647</v>
      </c>
      <c r="C599" t="str">
        <f>_xlfn.XLOOKUP(A599,A598:A1197,[1]Sheet3!D115:D714)</f>
        <v>CUST44560</v>
      </c>
      <c r="D599" t="str">
        <f>_xlfn.XLOOKUP(A599,A598:A1197,[1]Sheet3!E115:E714)</f>
        <v>Amit Verma</v>
      </c>
      <c r="E599" s="5">
        <f>_xlfn.XLOOKUP(A599,A598:A1197,[1]Sheet3!G115:G714)</f>
        <v>49</v>
      </c>
      <c r="F599" t="str">
        <f>_xlfn.XLOOKUP('Retail Sales'!A116,'Retail Sales'!A115:A714,[1]Sheet3!H115:H714)</f>
        <v>Adult</v>
      </c>
      <c r="G599" t="str">
        <f>_xlfn.XLOOKUP(A599,A598:A1197,[1]Sheet3!J115:J714)</f>
        <v>Female</v>
      </c>
      <c r="H599" t="str">
        <f>_xlfn.XLOOKUP(A599,A598:A1197,[1]Sheet3!K115:K714)</f>
        <v>South</v>
      </c>
      <c r="I599" t="str">
        <f>_xlfn.XLOOKUP(A599,A598:A1197,[1]Sheet3!L115:L714)</f>
        <v>Bangalore</v>
      </c>
      <c r="J599" t="str">
        <f>_xlfn.XLOOKUP(A599,A598:A1197,[1]Sheet3!M115:M714)</f>
        <v>Sports</v>
      </c>
      <c r="K599" t="str">
        <f>_xlfn.XLOOKUP('Retail Sales'!A116,'Retail Sales'!A115:A714,[1]Sheet3!N115:N714)</f>
        <v>Dumbbells</v>
      </c>
      <c r="L599" s="5">
        <f>_xlfn.XLOOKUP(A599,A598:A1197,[1]Sheet3!P115:P714)</f>
        <v>2</v>
      </c>
      <c r="M599" s="7">
        <f>_xlfn.XLOOKUP(A599,A598:A1197,[1]Sheet3!Q115:Q714)</f>
        <v>13057.02</v>
      </c>
      <c r="N599" s="9">
        <f>_xlfn.XLOOKUP(A599,A598:A1197,[1]Sheet3!S115:S714)</f>
        <v>0.35</v>
      </c>
      <c r="O599" s="7">
        <f>_xlfn.XLOOKUP(A599,A598:A1197,[1]Sheet3!T115:T714)</f>
        <v>14206.67</v>
      </c>
      <c r="P599" s="7">
        <f>_xlfn.XLOOKUP(A599,A598:A1197,[1]Sheet3!U115:U714)</f>
        <v>3578.76</v>
      </c>
      <c r="Q599" s="11">
        <f>_xlfn.XLOOKUP(A599,A598:A1197,[1]Sheet3!V115:V714)</f>
        <v>0.25190702676982013</v>
      </c>
      <c r="R599" s="7">
        <f>_xlfn.XLOOKUP(A599,A598:A1197,[1]Sheet3!W115:W714)</f>
        <v>69.31</v>
      </c>
      <c r="S599" t="str">
        <f>_xlfn.XLOOKUP(A599,A598:A1197,[1]Sheet3!X115:X714)</f>
        <v>Credit Card</v>
      </c>
      <c r="T599" s="5">
        <f>_xlfn.XLOOKUP(A599,A598:A1197,[1]Sheet3!Z115:Z714)</f>
        <v>5</v>
      </c>
      <c r="U599" t="b">
        <f>_xlfn.XLOOKUP(A599,A598:A1197,[1]Sheet3!AA115:AA714)</f>
        <v>0</v>
      </c>
      <c r="V599" t="str">
        <f>_xlfn.XLOOKUP(A599,A598:A1197,[1]Sheet3!AC115:AC714)</f>
        <v>Delivered</v>
      </c>
      <c r="W599" s="5">
        <f>_xlfn.XLOOKUP(A599,A598:A1197,[1]Sheet3!AE115:AE714)</f>
        <v>10</v>
      </c>
    </row>
    <row r="600" spans="1:23" x14ac:dyDescent="0.35">
      <c r="A600" t="s">
        <v>96</v>
      </c>
      <c r="B600" s="1">
        <f>_xlfn.XLOOKUP(A600,A599:A1198,[1]Sheet3!C503:C1102)</f>
        <v>45654</v>
      </c>
      <c r="C600" t="str">
        <f>_xlfn.XLOOKUP(A600,A599:A1198,[1]Sheet3!D503:D1102)</f>
        <v>CUST13220</v>
      </c>
      <c r="D600" t="str">
        <f>_xlfn.XLOOKUP(A600,A599:A1198,[1]Sheet3!E503:E1102)</f>
        <v>Ritu Gupta</v>
      </c>
      <c r="E600" s="5">
        <f>_xlfn.XLOOKUP(A600,A599:A1198,[1]Sheet3!G503:G1102)</f>
        <v>36</v>
      </c>
      <c r="F600" t="str">
        <f>_xlfn.XLOOKUP('Retail Sales'!A504,'Retail Sales'!A503:A1102,[1]Sheet3!H503:H1102)</f>
        <v>Adult</v>
      </c>
      <c r="G600" t="str">
        <f>_xlfn.XLOOKUP(A600,A599:A1198,[1]Sheet3!J503:J1102)</f>
        <v>Other</v>
      </c>
      <c r="H600" t="str">
        <f>_xlfn.XLOOKUP(A600,A599:A1198,[1]Sheet3!K503:K1102)</f>
        <v>East</v>
      </c>
      <c r="I600" t="str">
        <f>_xlfn.XLOOKUP(A600,A599:A1198,[1]Sheet3!L503:L1102)</f>
        <v>Bhubaneswar</v>
      </c>
      <c r="J600" t="str">
        <f>_xlfn.XLOOKUP(A600,A599:A1198,[1]Sheet3!M503:M1102)</f>
        <v>Furniture</v>
      </c>
      <c r="K600" t="str">
        <f>_xlfn.XLOOKUP('Retail Sales'!A504,'Retail Sales'!A503:A1102,[1]Sheet3!N503:N1102)</f>
        <v>Desk</v>
      </c>
      <c r="L600" s="5">
        <f>_xlfn.XLOOKUP(A600,A599:A1198,[1]Sheet3!P503:P1102)</f>
        <v>9</v>
      </c>
      <c r="M600" s="7">
        <f>_xlfn.XLOOKUP(A600,A599:A1198,[1]Sheet3!Q503:Q1102)</f>
        <v>21875.15</v>
      </c>
      <c r="N600" s="9">
        <f>_xlfn.XLOOKUP(A600,A599:A1198,[1]Sheet3!S503:S1102)</f>
        <v>0.01</v>
      </c>
      <c r="O600" s="7">
        <f>_xlfn.XLOOKUP(A600,A599:A1198,[1]Sheet3!T503:T1102)</f>
        <v>161990.01</v>
      </c>
      <c r="P600" s="7">
        <f>_xlfn.XLOOKUP(A600,A599:A1198,[1]Sheet3!U503:U1102)</f>
        <v>51700.42</v>
      </c>
      <c r="Q600" s="11">
        <f>_xlfn.XLOOKUP(A600,A599:A1198,[1]Sheet3!V503:V1102)</f>
        <v>0.3191580764764444</v>
      </c>
      <c r="R600" s="7">
        <f>_xlfn.XLOOKUP(A600,A599:A1198,[1]Sheet3!W503:W1102)</f>
        <v>87.08</v>
      </c>
      <c r="S600" t="str">
        <f>_xlfn.XLOOKUP(A600,A599:A1198,[1]Sheet3!X503:X1102)</f>
        <v>Credit Card</v>
      </c>
      <c r="T600" s="5">
        <f>_xlfn.XLOOKUP(A600,A599:A1198,[1]Sheet3!Z503:Z1102)</f>
        <v>4</v>
      </c>
      <c r="U600" t="b">
        <f>_xlfn.XLOOKUP(A600,A599:A1198,[1]Sheet3!AA503:AA1102)</f>
        <v>0</v>
      </c>
      <c r="V600" t="str">
        <f>_xlfn.XLOOKUP(A600,A599:A1198,[1]Sheet3!AC503:AC1102)</f>
        <v>Delivered</v>
      </c>
      <c r="W600" s="5">
        <f>_xlfn.XLOOKUP(A600,A599:A1198,[1]Sheet3!AE503:AE1102)</f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cv</dc:creator>
  <cp:lastModifiedBy>adithya cv</cp:lastModifiedBy>
  <dcterms:created xsi:type="dcterms:W3CDTF">2015-06-05T18:17:20Z</dcterms:created>
  <dcterms:modified xsi:type="dcterms:W3CDTF">2026-08-11T17:01:14Z</dcterms:modified>
</cp:coreProperties>
</file>